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mc:AlternateContent xmlns:mc="http://schemas.openxmlformats.org/markup-compatibility/2006">
    <mc:Choice Requires="x15">
      <x15ac:absPath xmlns:x15ac="http://schemas.microsoft.com/office/spreadsheetml/2010/11/ac" url="https://d.docs.live.net/7da006ae59dc4d3a/Challengue/"/>
    </mc:Choice>
  </mc:AlternateContent>
  <xr:revisionPtr revIDLastSave="227" documentId="8_{A276248B-BEAD-4D79-A5D8-B765613F2160}" xr6:coauthVersionLast="47" xr6:coauthVersionMax="47" xr10:uidLastSave="{BFD22A5A-CA64-4D7F-9794-6D5BEB8B6BE1}"/>
  <bookViews>
    <workbookView xWindow="-120" yWindow="-120" windowWidth="29040" windowHeight="15840" activeTab="2" xr2:uid="{00000000-000D-0000-FFFF-FFFF00000000}"/>
  </bookViews>
  <sheets>
    <sheet name="Mapas de Riesgo" sheetId="4" r:id="rId1"/>
    <sheet name="Resumen" sheetId="5" r:id="rId2"/>
    <sheet name="Matriz" sheetId="1" r:id="rId3"/>
    <sheet name="Gráficos" sheetId="6" state="veryHidden" r:id="rId4"/>
    <sheet name="Tablas" sheetId="2" r:id="rId5"/>
    <sheet name="Ensayos" sheetId="3" state="veryHidden" r:id="rId6"/>
  </sheets>
  <definedNames>
    <definedName name="_xlnm._FilterDatabase" localSheetId="4" hidden="1">Tablas!$Q$2:$U$27</definedName>
    <definedName name="amb_control">Tablas!$C$11:$D$13</definedName>
    <definedName name="cobert_control">Tablas!$G$11:$H$15</definedName>
    <definedName name="cuadrante_sev">Tablas!$S$2:$U$27</definedName>
    <definedName name="cub_control">Tablas!$G$11:$H$13</definedName>
    <definedName name="doc_control">Tablas!$K$2:$L$5</definedName>
    <definedName name="ejec_control">Tablas!$E$11:$F$13</definedName>
    <definedName name="escala_imp">Tablas!$B$19:$B$23</definedName>
    <definedName name="escala_prob">Tablas!$A$19:$A$23</definedName>
    <definedName name="ev_control">Tablas!$G$3:$H$4</definedName>
    <definedName name="frec_control">Tablas!$I$2:$J$6</definedName>
    <definedName name="mad_control">Tablas!$C$11:$D$14</definedName>
    <definedName name="método">Tablas!$A$3:$A$7</definedName>
    <definedName name="nat_control">Tablas!$E$3:$F$6</definedName>
    <definedName name="peso_dis">Tablas!$M$3</definedName>
    <definedName name="peso_ejec">Tablas!$M$5</definedName>
    <definedName name="pesocuadrante">Tablas!$S$2:$T$27</definedName>
    <definedName name="solver_adj" localSheetId="4" hidden="1">Tablas!$W$2:$W$6</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Tablas!$W$6</definedName>
    <definedName name="solver_lhs2" localSheetId="4" hidden="1">Tablas!$W$8</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2</definedName>
    <definedName name="solver_nwt" localSheetId="4" hidden="1">1</definedName>
    <definedName name="solver_opt" localSheetId="4" hidden="1">Tablas!$AF$9</definedName>
    <definedName name="solver_pre" localSheetId="4" hidden="1">0.000001</definedName>
    <definedName name="solver_rbv" localSheetId="4" hidden="1">1</definedName>
    <definedName name="solver_rel1" localSheetId="4" hidden="1">3</definedName>
    <definedName name="solver_rel2" localSheetId="4" hidden="1">1</definedName>
    <definedName name="solver_rhs1" localSheetId="4" hidden="1">0.01</definedName>
    <definedName name="solver_rhs2" localSheetId="4" hidden="1">100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1</definedName>
    <definedName name="solver_val" localSheetId="4" hidden="1">0</definedName>
    <definedName name="solver_ver" localSheetId="4" hidden="1">3</definedName>
    <definedName name="tabla_z">Tablas!$Y$12:$AA$17</definedName>
    <definedName name="tabla01">Tablas!$A$18:$C$23</definedName>
    <definedName name="tabla02">Tablas!$B$18:$C$23</definedName>
    <definedName name="tabla03">Tablas!$C$3:$O$5</definedName>
    <definedName name="tabla04">Tablas!$C$18:$E$23</definedName>
    <definedName name="tipo_control">Tablas!$C$3:$D$5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22" i="1" l="1"/>
  <c r="O122" i="1"/>
  <c r="N122" i="1"/>
  <c r="M122" i="1"/>
  <c r="L122" i="1"/>
  <c r="Q122" i="1" s="1"/>
  <c r="R122" i="1" s="1"/>
  <c r="F122" i="1"/>
  <c r="P117" i="1"/>
  <c r="O117" i="1"/>
  <c r="N117" i="1"/>
  <c r="M117" i="1"/>
  <c r="Q117" i="1" s="1"/>
  <c r="R117" i="1" s="1"/>
  <c r="L117" i="1"/>
  <c r="F117" i="1"/>
  <c r="P112" i="1"/>
  <c r="O112" i="1"/>
  <c r="N112" i="1"/>
  <c r="M112" i="1"/>
  <c r="L112" i="1"/>
  <c r="Q112" i="1" s="1"/>
  <c r="R112" i="1" s="1"/>
  <c r="F112" i="1"/>
  <c r="Q107" i="1"/>
  <c r="R107" i="1" s="1"/>
  <c r="P107" i="1"/>
  <c r="O107" i="1"/>
  <c r="N107" i="1"/>
  <c r="M107" i="1"/>
  <c r="L107" i="1"/>
  <c r="F107" i="1"/>
  <c r="K24" i="6"/>
  <c r="K23" i="6"/>
  <c r="K22" i="6"/>
  <c r="K16" i="6"/>
  <c r="K15" i="6"/>
  <c r="K14" i="6"/>
  <c r="K13" i="6"/>
  <c r="K7" i="6"/>
  <c r="K6" i="6"/>
  <c r="K5" i="6"/>
  <c r="C7" i="6"/>
  <c r="C6" i="6"/>
  <c r="C5" i="6"/>
  <c r="C4" i="6"/>
  <c r="C3" i="6"/>
  <c r="K25" i="6" l="1"/>
  <c r="L22" i="6" s="1"/>
  <c r="K17" i="6"/>
  <c r="L13" i="6" s="1"/>
  <c r="C9" i="6"/>
  <c r="K8" i="6"/>
  <c r="L8" i="6" s="1"/>
  <c r="L25" i="6" l="1"/>
  <c r="L17" i="6"/>
  <c r="L7" i="6"/>
  <c r="L16" i="6"/>
  <c r="L5" i="6"/>
  <c r="L15" i="6"/>
  <c r="L6" i="6"/>
  <c r="D6" i="6"/>
  <c r="D3" i="6"/>
  <c r="D4" i="6"/>
  <c r="D5" i="6"/>
  <c r="L23" i="6"/>
  <c r="D7" i="6"/>
  <c r="L24" i="6"/>
  <c r="L14" i="6"/>
  <c r="D9" i="6" l="1"/>
  <c r="E3" i="6"/>
  <c r="E4" i="6" s="1"/>
  <c r="E5" i="6" s="1"/>
  <c r="E7" i="6" s="1"/>
  <c r="E6" i="6" s="1"/>
  <c r="C19" i="5" l="1"/>
  <c r="C20" i="5"/>
  <c r="C21" i="5"/>
  <c r="C22" i="5"/>
  <c r="C23" i="5"/>
  <c r="C24" i="5"/>
  <c r="C25" i="5"/>
  <c r="C26" i="5"/>
  <c r="C18" i="5"/>
  <c r="B26" i="5"/>
  <c r="B25" i="5"/>
  <c r="B24" i="5"/>
  <c r="B23" i="5"/>
  <c r="B22" i="5"/>
  <c r="B21" i="5"/>
  <c r="B20" i="5"/>
  <c r="B19" i="5"/>
  <c r="B18" i="5"/>
  <c r="AQ7" i="1" l="1"/>
  <c r="AM7" i="1"/>
  <c r="C17" i="5" l="1"/>
  <c r="C16" i="5"/>
  <c r="C15" i="5"/>
  <c r="B17" i="5"/>
  <c r="B16" i="5"/>
  <c r="B15" i="5"/>
  <c r="C8" i="5" l="1"/>
  <c r="F7" i="1" l="1"/>
  <c r="F1002" i="1" l="1"/>
  <c r="AY1002" i="1" s="1"/>
  <c r="F997" i="1"/>
  <c r="AY997" i="1" s="1"/>
  <c r="F992" i="1"/>
  <c r="AY992" i="1" s="1"/>
  <c r="F987" i="1"/>
  <c r="AY987" i="1" s="1"/>
  <c r="F982" i="1"/>
  <c r="AY982" i="1" s="1"/>
  <c r="F977" i="1"/>
  <c r="AY977" i="1" s="1"/>
  <c r="F972" i="1"/>
  <c r="AY972" i="1" s="1"/>
  <c r="AX972" i="1" s="1"/>
  <c r="F967" i="1"/>
  <c r="AY967" i="1" s="1"/>
  <c r="F962" i="1"/>
  <c r="AY962" i="1" s="1"/>
  <c r="F957" i="1"/>
  <c r="AY957" i="1" s="1"/>
  <c r="F952" i="1"/>
  <c r="AY952" i="1" s="1"/>
  <c r="F947" i="1"/>
  <c r="AY947" i="1" s="1"/>
  <c r="F942" i="1"/>
  <c r="AY942" i="1" s="1"/>
  <c r="F937" i="1"/>
  <c r="AY937" i="1" s="1"/>
  <c r="F932" i="1"/>
  <c r="AY932" i="1" s="1"/>
  <c r="F927" i="1"/>
  <c r="AY927" i="1" s="1"/>
  <c r="F922" i="1"/>
  <c r="AY922" i="1" s="1"/>
  <c r="F917" i="1"/>
  <c r="AY917" i="1" s="1"/>
  <c r="F912" i="1"/>
  <c r="AY912" i="1" s="1"/>
  <c r="F907" i="1"/>
  <c r="AY907" i="1" s="1"/>
  <c r="F902" i="1"/>
  <c r="AY902" i="1" s="1"/>
  <c r="F897" i="1"/>
  <c r="AY897" i="1" s="1"/>
  <c r="F892" i="1"/>
  <c r="AY892" i="1" s="1"/>
  <c r="F887" i="1"/>
  <c r="AY887" i="1" s="1"/>
  <c r="F882" i="1"/>
  <c r="AY882" i="1" s="1"/>
  <c r="F877" i="1"/>
  <c r="AY877" i="1" s="1"/>
  <c r="F872" i="1"/>
  <c r="AY872" i="1" s="1"/>
  <c r="F867" i="1"/>
  <c r="AY867" i="1" s="1"/>
  <c r="F862" i="1"/>
  <c r="AY862" i="1" s="1"/>
  <c r="F857" i="1"/>
  <c r="AY857" i="1" s="1"/>
  <c r="F852" i="1"/>
  <c r="AY852" i="1" s="1"/>
  <c r="F847" i="1"/>
  <c r="AY847" i="1" s="1"/>
  <c r="F842" i="1"/>
  <c r="AY842" i="1" s="1"/>
  <c r="F837" i="1"/>
  <c r="AY837" i="1" s="1"/>
  <c r="F832" i="1"/>
  <c r="AY832" i="1" s="1"/>
  <c r="F827" i="1"/>
  <c r="AY827" i="1" s="1"/>
  <c r="F822" i="1"/>
  <c r="AY822" i="1" s="1"/>
  <c r="F817" i="1"/>
  <c r="AY817" i="1" s="1"/>
  <c r="F812" i="1"/>
  <c r="AY812" i="1" s="1"/>
  <c r="F807" i="1"/>
  <c r="AY807" i="1" s="1"/>
  <c r="F802" i="1"/>
  <c r="AY802" i="1" s="1"/>
  <c r="F797" i="1"/>
  <c r="AY797" i="1" s="1"/>
  <c r="F792" i="1"/>
  <c r="AY792" i="1" s="1"/>
  <c r="F787" i="1"/>
  <c r="AY787" i="1" s="1"/>
  <c r="F782" i="1"/>
  <c r="AY782" i="1" s="1"/>
  <c r="F777" i="1"/>
  <c r="AY777" i="1" s="1"/>
  <c r="F772" i="1"/>
  <c r="AY772" i="1" s="1"/>
  <c r="F767" i="1"/>
  <c r="AY767" i="1" s="1"/>
  <c r="F762" i="1"/>
  <c r="AY762" i="1" s="1"/>
  <c r="F757" i="1"/>
  <c r="AY757" i="1" s="1"/>
  <c r="F752" i="1"/>
  <c r="AY752" i="1" s="1"/>
  <c r="F747" i="1"/>
  <c r="AY747" i="1" s="1"/>
  <c r="F742" i="1"/>
  <c r="AY742" i="1" s="1"/>
  <c r="F737" i="1"/>
  <c r="AY737" i="1" s="1"/>
  <c r="F732" i="1"/>
  <c r="AY732" i="1" s="1"/>
  <c r="F727" i="1"/>
  <c r="AY727" i="1" s="1"/>
  <c r="F722" i="1"/>
  <c r="AY722" i="1" s="1"/>
  <c r="F717" i="1"/>
  <c r="AY717" i="1" s="1"/>
  <c r="F712" i="1"/>
  <c r="AY712" i="1" s="1"/>
  <c r="F707" i="1"/>
  <c r="AY707" i="1" s="1"/>
  <c r="F702" i="1"/>
  <c r="AY702" i="1" s="1"/>
  <c r="F697" i="1"/>
  <c r="AY697" i="1" s="1"/>
  <c r="F692" i="1"/>
  <c r="AY692" i="1" s="1"/>
  <c r="F687" i="1"/>
  <c r="AY687" i="1" s="1"/>
  <c r="F682" i="1"/>
  <c r="AY682" i="1" s="1"/>
  <c r="F677" i="1"/>
  <c r="AY677" i="1" s="1"/>
  <c r="F672" i="1"/>
  <c r="AY672" i="1" s="1"/>
  <c r="F667" i="1"/>
  <c r="AY667" i="1" s="1"/>
  <c r="F662" i="1"/>
  <c r="AY662" i="1" s="1"/>
  <c r="F657" i="1"/>
  <c r="AY657" i="1" s="1"/>
  <c r="F652" i="1"/>
  <c r="AY652" i="1" s="1"/>
  <c r="F647" i="1"/>
  <c r="AY647" i="1" s="1"/>
  <c r="F642" i="1"/>
  <c r="AY642" i="1" s="1"/>
  <c r="F637" i="1"/>
  <c r="AY637" i="1" s="1"/>
  <c r="F632" i="1"/>
  <c r="AY632" i="1" s="1"/>
  <c r="F627" i="1"/>
  <c r="AY627" i="1" s="1"/>
  <c r="F622" i="1"/>
  <c r="AY622" i="1" s="1"/>
  <c r="F617" i="1"/>
  <c r="AY617" i="1" s="1"/>
  <c r="F612" i="1"/>
  <c r="AY612" i="1" s="1"/>
  <c r="F607" i="1"/>
  <c r="AY607" i="1" s="1"/>
  <c r="F602" i="1"/>
  <c r="AY602" i="1" s="1"/>
  <c r="F597" i="1"/>
  <c r="AY597" i="1" s="1"/>
  <c r="F592" i="1"/>
  <c r="AY592" i="1" s="1"/>
  <c r="F587" i="1"/>
  <c r="AY587" i="1" s="1"/>
  <c r="F582" i="1"/>
  <c r="AY582" i="1" s="1"/>
  <c r="F577" i="1"/>
  <c r="AY577" i="1" s="1"/>
  <c r="F572" i="1"/>
  <c r="AY572" i="1" s="1"/>
  <c r="F567" i="1"/>
  <c r="AY567" i="1" s="1"/>
  <c r="F562" i="1"/>
  <c r="AY562" i="1" s="1"/>
  <c r="F557" i="1"/>
  <c r="AY557" i="1" s="1"/>
  <c r="F552" i="1"/>
  <c r="AY552" i="1" s="1"/>
  <c r="F547" i="1"/>
  <c r="AY547" i="1" s="1"/>
  <c r="F542" i="1"/>
  <c r="AY542" i="1" s="1"/>
  <c r="F537" i="1"/>
  <c r="AY537" i="1" s="1"/>
  <c r="F532" i="1"/>
  <c r="AY532" i="1" s="1"/>
  <c r="F527" i="1"/>
  <c r="AY527" i="1" s="1"/>
  <c r="F522" i="1"/>
  <c r="AY522" i="1" s="1"/>
  <c r="F517" i="1"/>
  <c r="AY517" i="1" s="1"/>
  <c r="F512" i="1"/>
  <c r="AY512" i="1" s="1"/>
  <c r="F507" i="1"/>
  <c r="AY507" i="1" s="1"/>
  <c r="F502" i="1"/>
  <c r="AY502" i="1" s="1"/>
  <c r="F497" i="1"/>
  <c r="AY497" i="1" s="1"/>
  <c r="F492" i="1"/>
  <c r="AY492" i="1" s="1"/>
  <c r="F487" i="1"/>
  <c r="AY487" i="1" s="1"/>
  <c r="F482" i="1"/>
  <c r="AY482" i="1" s="1"/>
  <c r="F477" i="1"/>
  <c r="AY477" i="1" s="1"/>
  <c r="F472" i="1"/>
  <c r="AY472" i="1" s="1"/>
  <c r="F467" i="1"/>
  <c r="AY467" i="1" s="1"/>
  <c r="F462" i="1"/>
  <c r="AY462" i="1" s="1"/>
  <c r="F457" i="1"/>
  <c r="AY457" i="1" s="1"/>
  <c r="F452" i="1"/>
  <c r="AY452" i="1" s="1"/>
  <c r="F447" i="1"/>
  <c r="AY447" i="1" s="1"/>
  <c r="F442" i="1"/>
  <c r="AY442" i="1" s="1"/>
  <c r="F437" i="1"/>
  <c r="AY437" i="1" s="1"/>
  <c r="F432" i="1"/>
  <c r="AY432" i="1" s="1"/>
  <c r="F427" i="1"/>
  <c r="AY427" i="1" s="1"/>
  <c r="F422" i="1"/>
  <c r="AY422" i="1" s="1"/>
  <c r="F417" i="1"/>
  <c r="AY417" i="1" s="1"/>
  <c r="F412" i="1"/>
  <c r="AY412" i="1" s="1"/>
  <c r="F407" i="1"/>
  <c r="AY407" i="1" s="1"/>
  <c r="F402" i="1"/>
  <c r="AY402" i="1" s="1"/>
  <c r="F397" i="1"/>
  <c r="F392" i="1"/>
  <c r="F387" i="1"/>
  <c r="F382" i="1"/>
  <c r="F377" i="1"/>
  <c r="F372" i="1"/>
  <c r="AY372" i="1" s="1"/>
  <c r="F367" i="1"/>
  <c r="F362" i="1"/>
  <c r="F357" i="1"/>
  <c r="F352" i="1"/>
  <c r="AY352" i="1" s="1"/>
  <c r="F347" i="1"/>
  <c r="AY347" i="1" s="1"/>
  <c r="F342" i="1"/>
  <c r="AY342" i="1" s="1"/>
  <c r="F337" i="1"/>
  <c r="F332" i="1"/>
  <c r="AY332" i="1" s="1"/>
  <c r="F327" i="1"/>
  <c r="F322" i="1"/>
  <c r="F317" i="1"/>
  <c r="F312" i="1"/>
  <c r="AY312" i="1" s="1"/>
  <c r="F307" i="1"/>
  <c r="AY307" i="1" s="1"/>
  <c r="F302" i="1"/>
  <c r="AY302" i="1" s="1"/>
  <c r="F297" i="1"/>
  <c r="F292" i="1"/>
  <c r="AY292" i="1" s="1"/>
  <c r="F287" i="1"/>
  <c r="F282" i="1"/>
  <c r="F277" i="1"/>
  <c r="F272" i="1"/>
  <c r="F267" i="1"/>
  <c r="AY267" i="1" s="1"/>
  <c r="F262" i="1"/>
  <c r="AY262" i="1" s="1"/>
  <c r="F257" i="1"/>
  <c r="F252" i="1"/>
  <c r="AY252" i="1" s="1"/>
  <c r="F247" i="1"/>
  <c r="AY247" i="1" s="1"/>
  <c r="F242" i="1"/>
  <c r="AY242" i="1" s="1"/>
  <c r="F237" i="1"/>
  <c r="AY237" i="1" s="1"/>
  <c r="F232" i="1"/>
  <c r="AY232" i="1" s="1"/>
  <c r="F227" i="1"/>
  <c r="F222" i="1"/>
  <c r="AY222" i="1" s="1"/>
  <c r="F217" i="1"/>
  <c r="AY217" i="1" s="1"/>
  <c r="F212" i="1"/>
  <c r="F207" i="1"/>
  <c r="F202" i="1"/>
  <c r="AY202" i="1" s="1"/>
  <c r="F197" i="1"/>
  <c r="AY197" i="1" s="1"/>
  <c r="F192" i="1"/>
  <c r="AY192" i="1" s="1"/>
  <c r="F187" i="1"/>
  <c r="AY187" i="1" s="1"/>
  <c r="F182" i="1"/>
  <c r="AY182" i="1" s="1"/>
  <c r="F177" i="1"/>
  <c r="AY177" i="1" s="1"/>
  <c r="F172" i="1"/>
  <c r="AY172" i="1" s="1"/>
  <c r="F167" i="1"/>
  <c r="AY167" i="1" s="1"/>
  <c r="F162" i="1"/>
  <c r="AY162" i="1" s="1"/>
  <c r="F157" i="1"/>
  <c r="F152" i="1"/>
  <c r="AY152" i="1" s="1"/>
  <c r="F147" i="1"/>
  <c r="AY147" i="1" s="1"/>
  <c r="F142" i="1"/>
  <c r="AY142" i="1" s="1"/>
  <c r="F137" i="1"/>
  <c r="AY137" i="1" s="1"/>
  <c r="F132" i="1"/>
  <c r="AY132" i="1" s="1"/>
  <c r="F127" i="1"/>
  <c r="F102" i="1"/>
  <c r="AY102" i="1" s="1"/>
  <c r="F97" i="1"/>
  <c r="AY97" i="1" s="1"/>
  <c r="F92" i="1"/>
  <c r="F87" i="1"/>
  <c r="F82" i="1"/>
  <c r="F77" i="1"/>
  <c r="F72" i="1"/>
  <c r="F67" i="1"/>
  <c r="F62" i="1"/>
  <c r="F57" i="1"/>
  <c r="F52" i="1"/>
  <c r="AY52" i="1" s="1"/>
  <c r="F47" i="1"/>
  <c r="AY47" i="1" s="1"/>
  <c r="F42" i="1"/>
  <c r="AY42" i="1" s="1"/>
  <c r="F37" i="1"/>
  <c r="F32" i="1"/>
  <c r="F27" i="1"/>
  <c r="F22" i="1"/>
  <c r="F17" i="1"/>
  <c r="F12" i="1"/>
  <c r="B11" i="5"/>
  <c r="B12" i="5"/>
  <c r="B13" i="5"/>
  <c r="B14" i="5"/>
  <c r="Z7" i="1" l="1"/>
  <c r="AB7" i="1" s="1"/>
  <c r="Z957" i="1"/>
  <c r="AB957" i="1" s="1"/>
  <c r="D26" i="5" s="1"/>
  <c r="J26" i="5" s="1"/>
  <c r="Z907" i="1"/>
  <c r="AB907" i="1" s="1"/>
  <c r="D25" i="5" s="1"/>
  <c r="J25" i="5" s="1"/>
  <c r="Z857" i="1"/>
  <c r="AB857" i="1" s="1"/>
  <c r="D24" i="5" s="1"/>
  <c r="J24" i="5" s="1"/>
  <c r="Z807" i="1"/>
  <c r="Z757" i="1"/>
  <c r="AB757" i="1" s="1"/>
  <c r="D22" i="5" s="1"/>
  <c r="J22" i="5" s="1"/>
  <c r="Z707" i="1"/>
  <c r="Z657" i="1"/>
  <c r="AB657" i="1" s="1"/>
  <c r="D20" i="5" s="1"/>
  <c r="J20" i="5" s="1"/>
  <c r="Z607" i="1"/>
  <c r="AB607" i="1" s="1"/>
  <c r="D19" i="5" s="1"/>
  <c r="J19" i="5" s="1"/>
  <c r="Z557" i="1"/>
  <c r="AB557" i="1" s="1"/>
  <c r="D18" i="5" s="1"/>
  <c r="J18" i="5" s="1"/>
  <c r="Z507" i="1"/>
  <c r="AB507" i="1" s="1"/>
  <c r="Z457" i="1"/>
  <c r="AB457" i="1" s="1"/>
  <c r="D16" i="5" s="1"/>
  <c r="J16" i="5" s="1"/>
  <c r="Z407" i="1"/>
  <c r="Z357" i="1"/>
  <c r="AB357" i="1" s="1"/>
  <c r="Z307" i="1"/>
  <c r="Z257" i="1"/>
  <c r="AB257" i="1" s="1"/>
  <c r="Z207" i="1"/>
  <c r="AB207" i="1" s="1"/>
  <c r="Z157" i="1"/>
  <c r="AB157" i="1" s="1"/>
  <c r="Z107" i="1"/>
  <c r="AB107" i="1" s="1"/>
  <c r="Z57" i="1"/>
  <c r="AB57" i="1" s="1"/>
  <c r="D17" i="5" l="1"/>
  <c r="J17" i="5" s="1"/>
  <c r="AB307" i="1"/>
  <c r="D13" i="5" s="1"/>
  <c r="J13" i="5" s="1"/>
  <c r="AB707" i="1"/>
  <c r="D21" i="5" s="1"/>
  <c r="J21" i="5" s="1"/>
  <c r="AB407" i="1"/>
  <c r="D15" i="5" s="1"/>
  <c r="J15" i="5" s="1"/>
  <c r="AB807" i="1"/>
  <c r="D23" i="5" s="1"/>
  <c r="J23" i="5" s="1"/>
  <c r="D10" i="5"/>
  <c r="J10" i="5" s="1"/>
  <c r="C14" i="5"/>
  <c r="C13" i="5"/>
  <c r="C12" i="5"/>
  <c r="C11" i="5"/>
  <c r="C10" i="5"/>
  <c r="B10" i="5"/>
  <c r="D9" i="5"/>
  <c r="J9" i="5" s="1"/>
  <c r="C9" i="5"/>
  <c r="B9" i="5"/>
  <c r="AT1006" i="1"/>
  <c r="AW1006" i="1" s="1"/>
  <c r="AS1006" i="1"/>
  <c r="AV1006" i="1" s="1"/>
  <c r="AQ1006" i="1"/>
  <c r="AM1006" i="1"/>
  <c r="AT1005" i="1"/>
  <c r="AW1005" i="1" s="1"/>
  <c r="AS1005" i="1"/>
  <c r="AV1005" i="1" s="1"/>
  <c r="AQ1005" i="1"/>
  <c r="AM1005" i="1"/>
  <c r="BF1004" i="1"/>
  <c r="AT1004" i="1"/>
  <c r="AW1004" i="1" s="1"/>
  <c r="AS1004" i="1"/>
  <c r="AV1004" i="1" s="1"/>
  <c r="AQ1004" i="1"/>
  <c r="AM1004" i="1"/>
  <c r="BF1003" i="1"/>
  <c r="AT1003" i="1"/>
  <c r="AW1003" i="1" s="1"/>
  <c r="AS1003" i="1"/>
  <c r="AV1003" i="1" s="1"/>
  <c r="AQ1003" i="1"/>
  <c r="AM1003" i="1"/>
  <c r="AT1002" i="1"/>
  <c r="AW1002" i="1" s="1"/>
  <c r="AS1002" i="1"/>
  <c r="AV1002" i="1" s="1"/>
  <c r="AQ1002" i="1"/>
  <c r="AM1002" i="1"/>
  <c r="P1002" i="1"/>
  <c r="O1002" i="1"/>
  <c r="N1002" i="1"/>
  <c r="M1002" i="1"/>
  <c r="L1002" i="1"/>
  <c r="AT1001" i="1"/>
  <c r="AW1001" i="1" s="1"/>
  <c r="AS1001" i="1"/>
  <c r="AV1001" i="1" s="1"/>
  <c r="AQ1001" i="1"/>
  <c r="AM1001" i="1"/>
  <c r="AT1000" i="1"/>
  <c r="AW1000" i="1" s="1"/>
  <c r="AS1000" i="1"/>
  <c r="AV1000" i="1" s="1"/>
  <c r="AQ1000" i="1"/>
  <c r="AM1000" i="1"/>
  <c r="BF999" i="1"/>
  <c r="AT999" i="1"/>
  <c r="AW999" i="1" s="1"/>
  <c r="AS999" i="1"/>
  <c r="AV999" i="1" s="1"/>
  <c r="AQ999" i="1"/>
  <c r="AM999" i="1"/>
  <c r="BF998" i="1"/>
  <c r="AT998" i="1"/>
  <c r="AW998" i="1" s="1"/>
  <c r="AS998" i="1"/>
  <c r="AV998" i="1" s="1"/>
  <c r="AQ998" i="1"/>
  <c r="AM998" i="1"/>
  <c r="AT997" i="1"/>
  <c r="AW997" i="1" s="1"/>
  <c r="AS997" i="1"/>
  <c r="AV997" i="1" s="1"/>
  <c r="AQ997" i="1"/>
  <c r="AM997" i="1"/>
  <c r="P997" i="1"/>
  <c r="O997" i="1"/>
  <c r="N997" i="1"/>
  <c r="M997" i="1"/>
  <c r="L997" i="1"/>
  <c r="AT996" i="1"/>
  <c r="AW996" i="1" s="1"/>
  <c r="AS996" i="1"/>
  <c r="AV996" i="1" s="1"/>
  <c r="AQ996" i="1"/>
  <c r="AM996" i="1"/>
  <c r="AT995" i="1"/>
  <c r="AW995" i="1" s="1"/>
  <c r="AS995" i="1"/>
  <c r="AV995" i="1" s="1"/>
  <c r="AQ995" i="1"/>
  <c r="AM995" i="1"/>
  <c r="BF994" i="1"/>
  <c r="AT994" i="1"/>
  <c r="AW994" i="1" s="1"/>
  <c r="AS994" i="1"/>
  <c r="AV994" i="1" s="1"/>
  <c r="AQ994" i="1"/>
  <c r="AM994" i="1"/>
  <c r="BF993" i="1"/>
  <c r="AT993" i="1"/>
  <c r="AW993" i="1" s="1"/>
  <c r="AS993" i="1"/>
  <c r="AV993" i="1" s="1"/>
  <c r="AQ993" i="1"/>
  <c r="AM993" i="1"/>
  <c r="AT992" i="1"/>
  <c r="AW992" i="1" s="1"/>
  <c r="AS992" i="1"/>
  <c r="AV992" i="1" s="1"/>
  <c r="AQ992" i="1"/>
  <c r="AM992" i="1"/>
  <c r="P992" i="1"/>
  <c r="O992" i="1"/>
  <c r="N992" i="1"/>
  <c r="M992" i="1"/>
  <c r="L992" i="1"/>
  <c r="AT991" i="1"/>
  <c r="AW991" i="1" s="1"/>
  <c r="AS991" i="1"/>
  <c r="AV991" i="1" s="1"/>
  <c r="AQ991" i="1"/>
  <c r="AM991" i="1"/>
  <c r="AT990" i="1"/>
  <c r="AW990" i="1" s="1"/>
  <c r="AS990" i="1"/>
  <c r="AV990" i="1" s="1"/>
  <c r="AQ990" i="1"/>
  <c r="AM990" i="1"/>
  <c r="BF989" i="1"/>
  <c r="AT989" i="1"/>
  <c r="AW989" i="1" s="1"/>
  <c r="AS989" i="1"/>
  <c r="AV989" i="1" s="1"/>
  <c r="AQ989" i="1"/>
  <c r="AM989" i="1"/>
  <c r="BF988" i="1"/>
  <c r="AT988" i="1"/>
  <c r="AW988" i="1" s="1"/>
  <c r="AS988" i="1"/>
  <c r="AV988" i="1" s="1"/>
  <c r="AQ988" i="1"/>
  <c r="AM988" i="1"/>
  <c r="AT987" i="1"/>
  <c r="AW987" i="1" s="1"/>
  <c r="AS987" i="1"/>
  <c r="AV987" i="1" s="1"/>
  <c r="AQ987" i="1"/>
  <c r="AM987" i="1"/>
  <c r="P987" i="1"/>
  <c r="O987" i="1"/>
  <c r="N987" i="1"/>
  <c r="M987" i="1"/>
  <c r="L987" i="1"/>
  <c r="AT986" i="1"/>
  <c r="AW986" i="1" s="1"/>
  <c r="AS986" i="1"/>
  <c r="AV986" i="1" s="1"/>
  <c r="AQ986" i="1"/>
  <c r="AM986" i="1"/>
  <c r="AT985" i="1"/>
  <c r="AW985" i="1" s="1"/>
  <c r="AS985" i="1"/>
  <c r="AV985" i="1" s="1"/>
  <c r="AQ985" i="1"/>
  <c r="AM985" i="1"/>
  <c r="BF984" i="1"/>
  <c r="AT984" i="1"/>
  <c r="AW984" i="1" s="1"/>
  <c r="AS984" i="1"/>
  <c r="AV984" i="1" s="1"/>
  <c r="AQ984" i="1"/>
  <c r="AM984" i="1"/>
  <c r="BF983" i="1"/>
  <c r="AT983" i="1"/>
  <c r="AW983" i="1" s="1"/>
  <c r="AS983" i="1"/>
  <c r="AV983" i="1" s="1"/>
  <c r="AQ983" i="1"/>
  <c r="AM983" i="1"/>
  <c r="AT982" i="1"/>
  <c r="AW982" i="1" s="1"/>
  <c r="AS982" i="1"/>
  <c r="AV982" i="1" s="1"/>
  <c r="AQ982" i="1"/>
  <c r="AM982" i="1"/>
  <c r="P982" i="1"/>
  <c r="O982" i="1"/>
  <c r="N982" i="1"/>
  <c r="M982" i="1"/>
  <c r="L982" i="1"/>
  <c r="AT981" i="1"/>
  <c r="AW981" i="1" s="1"/>
  <c r="AS981" i="1"/>
  <c r="AV981" i="1" s="1"/>
  <c r="AQ981" i="1"/>
  <c r="AM981" i="1"/>
  <c r="AT980" i="1"/>
  <c r="AW980" i="1" s="1"/>
  <c r="AS980" i="1"/>
  <c r="AV980" i="1" s="1"/>
  <c r="AQ980" i="1"/>
  <c r="AM980" i="1"/>
  <c r="BF979" i="1"/>
  <c r="AT979" i="1"/>
  <c r="AW979" i="1" s="1"/>
  <c r="AS979" i="1"/>
  <c r="AV979" i="1" s="1"/>
  <c r="AQ979" i="1"/>
  <c r="AM979" i="1"/>
  <c r="BF978" i="1"/>
  <c r="AT978" i="1"/>
  <c r="AW978" i="1" s="1"/>
  <c r="AS978" i="1"/>
  <c r="AV978" i="1" s="1"/>
  <c r="AQ978" i="1"/>
  <c r="AM978" i="1"/>
  <c r="AT977" i="1"/>
  <c r="AW977" i="1" s="1"/>
  <c r="AS977" i="1"/>
  <c r="AV977" i="1" s="1"/>
  <c r="AQ977" i="1"/>
  <c r="AM977" i="1"/>
  <c r="P977" i="1"/>
  <c r="O977" i="1"/>
  <c r="N977" i="1"/>
  <c r="M977" i="1"/>
  <c r="L977" i="1"/>
  <c r="AT976" i="1"/>
  <c r="AW976" i="1" s="1"/>
  <c r="AS976" i="1"/>
  <c r="AV976" i="1" s="1"/>
  <c r="AQ976" i="1"/>
  <c r="AM976" i="1"/>
  <c r="AT975" i="1"/>
  <c r="AW975" i="1" s="1"/>
  <c r="AS975" i="1"/>
  <c r="AV975" i="1" s="1"/>
  <c r="AQ975" i="1"/>
  <c r="AM975" i="1"/>
  <c r="BF974" i="1"/>
  <c r="AT974" i="1"/>
  <c r="AW974" i="1" s="1"/>
  <c r="AS974" i="1"/>
  <c r="AV974" i="1" s="1"/>
  <c r="AQ974" i="1"/>
  <c r="AM974" i="1"/>
  <c r="BF973" i="1"/>
  <c r="AW973" i="1"/>
  <c r="AT973" i="1"/>
  <c r="AS973" i="1"/>
  <c r="AV973" i="1" s="1"/>
  <c r="AQ973" i="1"/>
  <c r="AM973" i="1"/>
  <c r="AT972" i="1"/>
  <c r="AW972" i="1" s="1"/>
  <c r="AS972" i="1"/>
  <c r="AV972" i="1" s="1"/>
  <c r="AQ972" i="1"/>
  <c r="AM972" i="1"/>
  <c r="P972" i="1"/>
  <c r="O972" i="1"/>
  <c r="N972" i="1"/>
  <c r="M972" i="1"/>
  <c r="L972" i="1"/>
  <c r="AT971" i="1"/>
  <c r="AW971" i="1" s="1"/>
  <c r="AS971" i="1"/>
  <c r="AV971" i="1" s="1"/>
  <c r="AQ971" i="1"/>
  <c r="AM971" i="1"/>
  <c r="AT970" i="1"/>
  <c r="AW970" i="1" s="1"/>
  <c r="AS970" i="1"/>
  <c r="AV970" i="1" s="1"/>
  <c r="AQ970" i="1"/>
  <c r="AM970" i="1"/>
  <c r="BF969" i="1"/>
  <c r="AT969" i="1"/>
  <c r="AW969" i="1" s="1"/>
  <c r="AS969" i="1"/>
  <c r="AV969" i="1" s="1"/>
  <c r="AQ969" i="1"/>
  <c r="AM969" i="1"/>
  <c r="BF968" i="1"/>
  <c r="AT968" i="1"/>
  <c r="AW968" i="1" s="1"/>
  <c r="AS968" i="1"/>
  <c r="AV968" i="1" s="1"/>
  <c r="AQ968" i="1"/>
  <c r="AM968" i="1"/>
  <c r="AT967" i="1"/>
  <c r="AW967" i="1" s="1"/>
  <c r="AS967" i="1"/>
  <c r="AV967" i="1" s="1"/>
  <c r="AQ967" i="1"/>
  <c r="AM967" i="1"/>
  <c r="P967" i="1"/>
  <c r="O967" i="1"/>
  <c r="N967" i="1"/>
  <c r="M967" i="1"/>
  <c r="L967" i="1"/>
  <c r="AT966" i="1"/>
  <c r="AW966" i="1" s="1"/>
  <c r="AS966" i="1"/>
  <c r="AV966" i="1" s="1"/>
  <c r="AQ966" i="1"/>
  <c r="AM966" i="1"/>
  <c r="AT965" i="1"/>
  <c r="AW965" i="1" s="1"/>
  <c r="AS965" i="1"/>
  <c r="AV965" i="1" s="1"/>
  <c r="AQ965" i="1"/>
  <c r="AM965" i="1"/>
  <c r="BF964" i="1"/>
  <c r="AT964" i="1"/>
  <c r="AW964" i="1" s="1"/>
  <c r="AS964" i="1"/>
  <c r="AV964" i="1" s="1"/>
  <c r="AQ964" i="1"/>
  <c r="AM964" i="1"/>
  <c r="BF963" i="1"/>
  <c r="AT963" i="1"/>
  <c r="AW963" i="1" s="1"/>
  <c r="AS963" i="1"/>
  <c r="AV963" i="1" s="1"/>
  <c r="AQ963" i="1"/>
  <c r="AM963" i="1"/>
  <c r="AT962" i="1"/>
  <c r="AW962" i="1" s="1"/>
  <c r="AS962" i="1"/>
  <c r="AV962" i="1" s="1"/>
  <c r="AQ962" i="1"/>
  <c r="AM962" i="1"/>
  <c r="P962" i="1"/>
  <c r="O962" i="1"/>
  <c r="N962" i="1"/>
  <c r="M962" i="1"/>
  <c r="L962" i="1"/>
  <c r="AT961" i="1"/>
  <c r="AW961" i="1" s="1"/>
  <c r="AS961" i="1"/>
  <c r="AV961" i="1" s="1"/>
  <c r="AQ961" i="1"/>
  <c r="AM961" i="1"/>
  <c r="AT960" i="1"/>
  <c r="AW960" i="1" s="1"/>
  <c r="AS960" i="1"/>
  <c r="AV960" i="1" s="1"/>
  <c r="AQ960" i="1"/>
  <c r="AM960" i="1"/>
  <c r="AT959" i="1"/>
  <c r="AW959" i="1" s="1"/>
  <c r="AS959" i="1"/>
  <c r="AV959" i="1" s="1"/>
  <c r="AQ959" i="1"/>
  <c r="AM959" i="1"/>
  <c r="AT958" i="1"/>
  <c r="AW958" i="1" s="1"/>
  <c r="AS958" i="1"/>
  <c r="AV958" i="1" s="1"/>
  <c r="AQ958" i="1"/>
  <c r="AM958" i="1"/>
  <c r="AT957" i="1"/>
  <c r="AW957" i="1" s="1"/>
  <c r="AS957" i="1"/>
  <c r="AV957" i="1" s="1"/>
  <c r="AQ957" i="1"/>
  <c r="AM957" i="1"/>
  <c r="P957" i="1"/>
  <c r="O957" i="1"/>
  <c r="N957" i="1"/>
  <c r="M957" i="1"/>
  <c r="L957" i="1"/>
  <c r="AT956" i="1"/>
  <c r="AW956" i="1" s="1"/>
  <c r="AS956" i="1"/>
  <c r="AV956" i="1" s="1"/>
  <c r="AQ956" i="1"/>
  <c r="AM956" i="1"/>
  <c r="AT955" i="1"/>
  <c r="AW955" i="1" s="1"/>
  <c r="AS955" i="1"/>
  <c r="AV955" i="1" s="1"/>
  <c r="AQ955" i="1"/>
  <c r="AM955" i="1"/>
  <c r="BF954" i="1"/>
  <c r="AT954" i="1"/>
  <c r="AW954" i="1" s="1"/>
  <c r="AS954" i="1"/>
  <c r="AV954" i="1" s="1"/>
  <c r="AQ954" i="1"/>
  <c r="AM954" i="1"/>
  <c r="BF953" i="1"/>
  <c r="AT953" i="1"/>
  <c r="AW953" i="1" s="1"/>
  <c r="AS953" i="1"/>
  <c r="AV953" i="1" s="1"/>
  <c r="AQ953" i="1"/>
  <c r="AM953" i="1"/>
  <c r="AT952" i="1"/>
  <c r="AW952" i="1" s="1"/>
  <c r="AS952" i="1"/>
  <c r="AV952" i="1" s="1"/>
  <c r="AQ952" i="1"/>
  <c r="AM952" i="1"/>
  <c r="P952" i="1"/>
  <c r="O952" i="1"/>
  <c r="N952" i="1"/>
  <c r="M952" i="1"/>
  <c r="L952" i="1"/>
  <c r="AT951" i="1"/>
  <c r="AW951" i="1" s="1"/>
  <c r="AS951" i="1"/>
  <c r="AV951" i="1" s="1"/>
  <c r="AQ951" i="1"/>
  <c r="AM951" i="1"/>
  <c r="AT950" i="1"/>
  <c r="AW950" i="1" s="1"/>
  <c r="AS950" i="1"/>
  <c r="AV950" i="1" s="1"/>
  <c r="AQ950" i="1"/>
  <c r="AM950" i="1"/>
  <c r="BF949" i="1"/>
  <c r="AT949" i="1"/>
  <c r="AW949" i="1" s="1"/>
  <c r="AS949" i="1"/>
  <c r="AV949" i="1" s="1"/>
  <c r="AQ949" i="1"/>
  <c r="AM949" i="1"/>
  <c r="BF948" i="1"/>
  <c r="AT948" i="1"/>
  <c r="AW948" i="1" s="1"/>
  <c r="AS948" i="1"/>
  <c r="AV948" i="1" s="1"/>
  <c r="AQ948" i="1"/>
  <c r="AM948" i="1"/>
  <c r="AT947" i="1"/>
  <c r="AW947" i="1" s="1"/>
  <c r="AS947" i="1"/>
  <c r="AV947" i="1" s="1"/>
  <c r="AQ947" i="1"/>
  <c r="AM947" i="1"/>
  <c r="P947" i="1"/>
  <c r="O947" i="1"/>
  <c r="N947" i="1"/>
  <c r="M947" i="1"/>
  <c r="L947" i="1"/>
  <c r="AT946" i="1"/>
  <c r="AW946" i="1" s="1"/>
  <c r="AS946" i="1"/>
  <c r="AV946" i="1" s="1"/>
  <c r="AQ946" i="1"/>
  <c r="AM946" i="1"/>
  <c r="AT945" i="1"/>
  <c r="AW945" i="1" s="1"/>
  <c r="AS945" i="1"/>
  <c r="AV945" i="1" s="1"/>
  <c r="AQ945" i="1"/>
  <c r="AM945" i="1"/>
  <c r="BF944" i="1"/>
  <c r="AT944" i="1"/>
  <c r="AW944" i="1" s="1"/>
  <c r="AS944" i="1"/>
  <c r="AV944" i="1" s="1"/>
  <c r="AQ944" i="1"/>
  <c r="AM944" i="1"/>
  <c r="BF943" i="1"/>
  <c r="AT943" i="1"/>
  <c r="AW943" i="1" s="1"/>
  <c r="AS943" i="1"/>
  <c r="AV943" i="1" s="1"/>
  <c r="AQ943" i="1"/>
  <c r="AM943" i="1"/>
  <c r="AT942" i="1"/>
  <c r="AW942" i="1" s="1"/>
  <c r="AS942" i="1"/>
  <c r="AV942" i="1" s="1"/>
  <c r="AQ942" i="1"/>
  <c r="AM942" i="1"/>
  <c r="P942" i="1"/>
  <c r="O942" i="1"/>
  <c r="N942" i="1"/>
  <c r="M942" i="1"/>
  <c r="L942" i="1"/>
  <c r="AT941" i="1"/>
  <c r="AW941" i="1" s="1"/>
  <c r="AS941" i="1"/>
  <c r="AV941" i="1" s="1"/>
  <c r="AQ941" i="1"/>
  <c r="AM941" i="1"/>
  <c r="AT940" i="1"/>
  <c r="AW940" i="1" s="1"/>
  <c r="AS940" i="1"/>
  <c r="AV940" i="1" s="1"/>
  <c r="AQ940" i="1"/>
  <c r="AM940" i="1"/>
  <c r="BF939" i="1"/>
  <c r="AT939" i="1"/>
  <c r="AW939" i="1" s="1"/>
  <c r="AS939" i="1"/>
  <c r="AV939" i="1" s="1"/>
  <c r="AQ939" i="1"/>
  <c r="AM939" i="1"/>
  <c r="BF938" i="1"/>
  <c r="AT938" i="1"/>
  <c r="AW938" i="1" s="1"/>
  <c r="AS938" i="1"/>
  <c r="AV938" i="1" s="1"/>
  <c r="AQ938" i="1"/>
  <c r="AM938" i="1"/>
  <c r="AT937" i="1"/>
  <c r="AW937" i="1" s="1"/>
  <c r="AS937" i="1"/>
  <c r="AV937" i="1" s="1"/>
  <c r="AQ937" i="1"/>
  <c r="AM937" i="1"/>
  <c r="P937" i="1"/>
  <c r="O937" i="1"/>
  <c r="N937" i="1"/>
  <c r="M937" i="1"/>
  <c r="L937" i="1"/>
  <c r="AT936" i="1"/>
  <c r="AW936" i="1" s="1"/>
  <c r="AS936" i="1"/>
  <c r="AV936" i="1" s="1"/>
  <c r="AQ936" i="1"/>
  <c r="AM936" i="1"/>
  <c r="AT935" i="1"/>
  <c r="AW935" i="1" s="1"/>
  <c r="AS935" i="1"/>
  <c r="AV935" i="1" s="1"/>
  <c r="AQ935" i="1"/>
  <c r="AM935" i="1"/>
  <c r="BF934" i="1"/>
  <c r="AT934" i="1"/>
  <c r="AW934" i="1" s="1"/>
  <c r="AS934" i="1"/>
  <c r="AV934" i="1" s="1"/>
  <c r="AQ934" i="1"/>
  <c r="AM934" i="1"/>
  <c r="BF933" i="1"/>
  <c r="AT933" i="1"/>
  <c r="AW933" i="1" s="1"/>
  <c r="AS933" i="1"/>
  <c r="AV933" i="1" s="1"/>
  <c r="AQ933" i="1"/>
  <c r="AM933" i="1"/>
  <c r="AT932" i="1"/>
  <c r="AW932" i="1" s="1"/>
  <c r="AS932" i="1"/>
  <c r="AV932" i="1" s="1"/>
  <c r="AQ932" i="1"/>
  <c r="AM932" i="1"/>
  <c r="P932" i="1"/>
  <c r="O932" i="1"/>
  <c r="N932" i="1"/>
  <c r="M932" i="1"/>
  <c r="L932" i="1"/>
  <c r="AT931" i="1"/>
  <c r="AW931" i="1" s="1"/>
  <c r="AS931" i="1"/>
  <c r="AV931" i="1" s="1"/>
  <c r="AQ931" i="1"/>
  <c r="AM931" i="1"/>
  <c r="AT930" i="1"/>
  <c r="AW930" i="1" s="1"/>
  <c r="AS930" i="1"/>
  <c r="AV930" i="1" s="1"/>
  <c r="AQ930" i="1"/>
  <c r="AM930" i="1"/>
  <c r="BF929" i="1"/>
  <c r="AT929" i="1"/>
  <c r="AW929" i="1" s="1"/>
  <c r="AS929" i="1"/>
  <c r="AV929" i="1" s="1"/>
  <c r="AQ929" i="1"/>
  <c r="AM929" i="1"/>
  <c r="BF928" i="1"/>
  <c r="AT928" i="1"/>
  <c r="AW928" i="1" s="1"/>
  <c r="AS928" i="1"/>
  <c r="AV928" i="1" s="1"/>
  <c r="AQ928" i="1"/>
  <c r="AM928" i="1"/>
  <c r="AT927" i="1"/>
  <c r="AW927" i="1" s="1"/>
  <c r="AS927" i="1"/>
  <c r="AV927" i="1" s="1"/>
  <c r="AQ927" i="1"/>
  <c r="AM927" i="1"/>
  <c r="P927" i="1"/>
  <c r="O927" i="1"/>
  <c r="N927" i="1"/>
  <c r="M927" i="1"/>
  <c r="L927" i="1"/>
  <c r="AT926" i="1"/>
  <c r="AW926" i="1" s="1"/>
  <c r="AS926" i="1"/>
  <c r="AV926" i="1" s="1"/>
  <c r="AQ926" i="1"/>
  <c r="AM926" i="1"/>
  <c r="AT925" i="1"/>
  <c r="AW925" i="1" s="1"/>
  <c r="AS925" i="1"/>
  <c r="AV925" i="1" s="1"/>
  <c r="AQ925" i="1"/>
  <c r="AM925" i="1"/>
  <c r="BF924" i="1"/>
  <c r="AT924" i="1"/>
  <c r="AW924" i="1" s="1"/>
  <c r="AS924" i="1"/>
  <c r="AV924" i="1" s="1"/>
  <c r="AQ924" i="1"/>
  <c r="AM924" i="1"/>
  <c r="BF923" i="1"/>
  <c r="AT923" i="1"/>
  <c r="AW923" i="1" s="1"/>
  <c r="AS923" i="1"/>
  <c r="AV923" i="1" s="1"/>
  <c r="AQ923" i="1"/>
  <c r="AM923" i="1"/>
  <c r="AT922" i="1"/>
  <c r="AW922" i="1" s="1"/>
  <c r="AS922" i="1"/>
  <c r="AV922" i="1" s="1"/>
  <c r="AQ922" i="1"/>
  <c r="AM922" i="1"/>
  <c r="P922" i="1"/>
  <c r="O922" i="1"/>
  <c r="N922" i="1"/>
  <c r="M922" i="1"/>
  <c r="L922" i="1"/>
  <c r="AT921" i="1"/>
  <c r="AW921" i="1" s="1"/>
  <c r="AS921" i="1"/>
  <c r="AV921" i="1" s="1"/>
  <c r="AQ921" i="1"/>
  <c r="AM921" i="1"/>
  <c r="AT920" i="1"/>
  <c r="AW920" i="1" s="1"/>
  <c r="AS920" i="1"/>
  <c r="AV920" i="1" s="1"/>
  <c r="AQ920" i="1"/>
  <c r="AM920" i="1"/>
  <c r="BF919" i="1"/>
  <c r="AT919" i="1"/>
  <c r="AW919" i="1" s="1"/>
  <c r="AS919" i="1"/>
  <c r="AV919" i="1" s="1"/>
  <c r="AQ919" i="1"/>
  <c r="AM919" i="1"/>
  <c r="BF918" i="1"/>
  <c r="AT918" i="1"/>
  <c r="AW918" i="1" s="1"/>
  <c r="AS918" i="1"/>
  <c r="AV918" i="1" s="1"/>
  <c r="AQ918" i="1"/>
  <c r="AM918" i="1"/>
  <c r="AT917" i="1"/>
  <c r="AW917" i="1" s="1"/>
  <c r="AS917" i="1"/>
  <c r="AV917" i="1" s="1"/>
  <c r="AQ917" i="1"/>
  <c r="AM917" i="1"/>
  <c r="P917" i="1"/>
  <c r="O917" i="1"/>
  <c r="N917" i="1"/>
  <c r="M917" i="1"/>
  <c r="L917" i="1"/>
  <c r="AT916" i="1"/>
  <c r="AW916" i="1" s="1"/>
  <c r="AS916" i="1"/>
  <c r="AV916" i="1" s="1"/>
  <c r="AQ916" i="1"/>
  <c r="AM916" i="1"/>
  <c r="AT915" i="1"/>
  <c r="AW915" i="1" s="1"/>
  <c r="AS915" i="1"/>
  <c r="AV915" i="1" s="1"/>
  <c r="AQ915" i="1"/>
  <c r="AM915" i="1"/>
  <c r="BF914" i="1"/>
  <c r="AT914" i="1"/>
  <c r="AW914" i="1" s="1"/>
  <c r="AS914" i="1"/>
  <c r="AV914" i="1" s="1"/>
  <c r="AQ914" i="1"/>
  <c r="AM914" i="1"/>
  <c r="BF913" i="1"/>
  <c r="AT913" i="1"/>
  <c r="AW913" i="1" s="1"/>
  <c r="AS913" i="1"/>
  <c r="AV913" i="1" s="1"/>
  <c r="AQ913" i="1"/>
  <c r="AM913" i="1"/>
  <c r="AT912" i="1"/>
  <c r="AW912" i="1" s="1"/>
  <c r="AS912" i="1"/>
  <c r="AV912" i="1" s="1"/>
  <c r="AQ912" i="1"/>
  <c r="AM912" i="1"/>
  <c r="P912" i="1"/>
  <c r="O912" i="1"/>
  <c r="N912" i="1"/>
  <c r="M912" i="1"/>
  <c r="L912" i="1"/>
  <c r="AT911" i="1"/>
  <c r="AW911" i="1" s="1"/>
  <c r="AS911" i="1"/>
  <c r="AV911" i="1" s="1"/>
  <c r="AQ911" i="1"/>
  <c r="AM911" i="1"/>
  <c r="AT910" i="1"/>
  <c r="AW910" i="1" s="1"/>
  <c r="AS910" i="1"/>
  <c r="AV910" i="1" s="1"/>
  <c r="AQ910" i="1"/>
  <c r="AM910" i="1"/>
  <c r="AT909" i="1"/>
  <c r="AW909" i="1" s="1"/>
  <c r="AS909" i="1"/>
  <c r="AV909" i="1" s="1"/>
  <c r="AQ909" i="1"/>
  <c r="AM909" i="1"/>
  <c r="AT908" i="1"/>
  <c r="AW908" i="1" s="1"/>
  <c r="AS908" i="1"/>
  <c r="AV908" i="1" s="1"/>
  <c r="AQ908" i="1"/>
  <c r="AM908" i="1"/>
  <c r="AT907" i="1"/>
  <c r="AW907" i="1" s="1"/>
  <c r="AS907" i="1"/>
  <c r="AV907" i="1" s="1"/>
  <c r="AQ907" i="1"/>
  <c r="AM907" i="1"/>
  <c r="P907" i="1"/>
  <c r="O907" i="1"/>
  <c r="N907" i="1"/>
  <c r="M907" i="1"/>
  <c r="L907" i="1"/>
  <c r="AT906" i="1"/>
  <c r="AW906" i="1" s="1"/>
  <c r="AS906" i="1"/>
  <c r="AV906" i="1" s="1"/>
  <c r="AQ906" i="1"/>
  <c r="AM906" i="1"/>
  <c r="AT905" i="1"/>
  <c r="AW905" i="1" s="1"/>
  <c r="AS905" i="1"/>
  <c r="AV905" i="1" s="1"/>
  <c r="AQ905" i="1"/>
  <c r="AM905" i="1"/>
  <c r="BF904" i="1"/>
  <c r="AT904" i="1"/>
  <c r="AW904" i="1" s="1"/>
  <c r="AS904" i="1"/>
  <c r="AV904" i="1" s="1"/>
  <c r="AQ904" i="1"/>
  <c r="AM904" i="1"/>
  <c r="BF903" i="1"/>
  <c r="AT903" i="1"/>
  <c r="AW903" i="1" s="1"/>
  <c r="AS903" i="1"/>
  <c r="AV903" i="1" s="1"/>
  <c r="AQ903" i="1"/>
  <c r="AM903" i="1"/>
  <c r="AT902" i="1"/>
  <c r="AW902" i="1" s="1"/>
  <c r="AS902" i="1"/>
  <c r="AV902" i="1" s="1"/>
  <c r="AQ902" i="1"/>
  <c r="AM902" i="1"/>
  <c r="P902" i="1"/>
  <c r="O902" i="1"/>
  <c r="N902" i="1"/>
  <c r="M902" i="1"/>
  <c r="L902" i="1"/>
  <c r="AT901" i="1"/>
  <c r="AW901" i="1" s="1"/>
  <c r="AS901" i="1"/>
  <c r="AV901" i="1" s="1"/>
  <c r="AQ901" i="1"/>
  <c r="AM901" i="1"/>
  <c r="AT900" i="1"/>
  <c r="AW900" i="1" s="1"/>
  <c r="AS900" i="1"/>
  <c r="AV900" i="1" s="1"/>
  <c r="AQ900" i="1"/>
  <c r="AM900" i="1"/>
  <c r="BF899" i="1"/>
  <c r="AT899" i="1"/>
  <c r="AW899" i="1" s="1"/>
  <c r="AS899" i="1"/>
  <c r="AV899" i="1" s="1"/>
  <c r="AQ899" i="1"/>
  <c r="AM899" i="1"/>
  <c r="BF898" i="1"/>
  <c r="AT898" i="1"/>
  <c r="AW898" i="1" s="1"/>
  <c r="AS898" i="1"/>
  <c r="AV898" i="1" s="1"/>
  <c r="AQ898" i="1"/>
  <c r="AM898" i="1"/>
  <c r="AT897" i="1"/>
  <c r="AW897" i="1" s="1"/>
  <c r="AS897" i="1"/>
  <c r="AV897" i="1" s="1"/>
  <c r="AQ897" i="1"/>
  <c r="AM897" i="1"/>
  <c r="P897" i="1"/>
  <c r="O897" i="1"/>
  <c r="N897" i="1"/>
  <c r="M897" i="1"/>
  <c r="L897" i="1"/>
  <c r="AT896" i="1"/>
  <c r="AW896" i="1" s="1"/>
  <c r="AS896" i="1"/>
  <c r="AV896" i="1" s="1"/>
  <c r="AQ896" i="1"/>
  <c r="AM896" i="1"/>
  <c r="AT895" i="1"/>
  <c r="AW895" i="1" s="1"/>
  <c r="AS895" i="1"/>
  <c r="AV895" i="1" s="1"/>
  <c r="AQ895" i="1"/>
  <c r="AM895" i="1"/>
  <c r="BF894" i="1"/>
  <c r="AT894" i="1"/>
  <c r="AW894" i="1" s="1"/>
  <c r="AS894" i="1"/>
  <c r="AV894" i="1" s="1"/>
  <c r="AQ894" i="1"/>
  <c r="AM894" i="1"/>
  <c r="BF893" i="1"/>
  <c r="AT893" i="1"/>
  <c r="AW893" i="1" s="1"/>
  <c r="AS893" i="1"/>
  <c r="AV893" i="1" s="1"/>
  <c r="AQ893" i="1"/>
  <c r="AM893" i="1"/>
  <c r="AT892" i="1"/>
  <c r="AW892" i="1" s="1"/>
  <c r="AS892" i="1"/>
  <c r="AV892" i="1" s="1"/>
  <c r="AQ892" i="1"/>
  <c r="AM892" i="1"/>
  <c r="P892" i="1"/>
  <c r="O892" i="1"/>
  <c r="N892" i="1"/>
  <c r="M892" i="1"/>
  <c r="L892" i="1"/>
  <c r="AT891" i="1"/>
  <c r="AW891" i="1" s="1"/>
  <c r="AS891" i="1"/>
  <c r="AV891" i="1" s="1"/>
  <c r="AQ891" i="1"/>
  <c r="AM891" i="1"/>
  <c r="AT890" i="1"/>
  <c r="AW890" i="1" s="1"/>
  <c r="AS890" i="1"/>
  <c r="AV890" i="1" s="1"/>
  <c r="AQ890" i="1"/>
  <c r="AM890" i="1"/>
  <c r="BF889" i="1"/>
  <c r="AT889" i="1"/>
  <c r="AW889" i="1" s="1"/>
  <c r="AS889" i="1"/>
  <c r="AV889" i="1" s="1"/>
  <c r="AQ889" i="1"/>
  <c r="AM889" i="1"/>
  <c r="BF888" i="1"/>
  <c r="AT888" i="1"/>
  <c r="AW888" i="1" s="1"/>
  <c r="AS888" i="1"/>
  <c r="AV888" i="1" s="1"/>
  <c r="AQ888" i="1"/>
  <c r="AM888" i="1"/>
  <c r="AT887" i="1"/>
  <c r="AW887" i="1" s="1"/>
  <c r="AS887" i="1"/>
  <c r="AV887" i="1" s="1"/>
  <c r="AQ887" i="1"/>
  <c r="AM887" i="1"/>
  <c r="P887" i="1"/>
  <c r="O887" i="1"/>
  <c r="N887" i="1"/>
  <c r="M887" i="1"/>
  <c r="L887" i="1"/>
  <c r="AT886" i="1"/>
  <c r="AW886" i="1" s="1"/>
  <c r="AS886" i="1"/>
  <c r="AV886" i="1" s="1"/>
  <c r="AQ886" i="1"/>
  <c r="AM886" i="1"/>
  <c r="AT885" i="1"/>
  <c r="AW885" i="1" s="1"/>
  <c r="AS885" i="1"/>
  <c r="AV885" i="1" s="1"/>
  <c r="AQ885" i="1"/>
  <c r="AM885" i="1"/>
  <c r="BF884" i="1"/>
  <c r="AT884" i="1"/>
  <c r="AW884" i="1" s="1"/>
  <c r="AS884" i="1"/>
  <c r="AV884" i="1" s="1"/>
  <c r="AQ884" i="1"/>
  <c r="AM884" i="1"/>
  <c r="BF883" i="1"/>
  <c r="AT883" i="1"/>
  <c r="AW883" i="1" s="1"/>
  <c r="AS883" i="1"/>
  <c r="AV883" i="1" s="1"/>
  <c r="AQ883" i="1"/>
  <c r="AM883" i="1"/>
  <c r="AT882" i="1"/>
  <c r="AW882" i="1" s="1"/>
  <c r="AS882" i="1"/>
  <c r="AV882" i="1" s="1"/>
  <c r="AQ882" i="1"/>
  <c r="AM882" i="1"/>
  <c r="P882" i="1"/>
  <c r="O882" i="1"/>
  <c r="N882" i="1"/>
  <c r="M882" i="1"/>
  <c r="L882" i="1"/>
  <c r="AT881" i="1"/>
  <c r="AW881" i="1" s="1"/>
  <c r="AS881" i="1"/>
  <c r="AV881" i="1" s="1"/>
  <c r="AQ881" i="1"/>
  <c r="AM881" i="1"/>
  <c r="AT880" i="1"/>
  <c r="AW880" i="1" s="1"/>
  <c r="AS880" i="1"/>
  <c r="AV880" i="1" s="1"/>
  <c r="AQ880" i="1"/>
  <c r="AM880" i="1"/>
  <c r="BF879" i="1"/>
  <c r="AT879" i="1"/>
  <c r="AW879" i="1" s="1"/>
  <c r="AS879" i="1"/>
  <c r="AV879" i="1" s="1"/>
  <c r="AQ879" i="1"/>
  <c r="AM879" i="1"/>
  <c r="BF878" i="1"/>
  <c r="AT878" i="1"/>
  <c r="AW878" i="1" s="1"/>
  <c r="AS878" i="1"/>
  <c r="AV878" i="1" s="1"/>
  <c r="AQ878" i="1"/>
  <c r="AM878" i="1"/>
  <c r="AT877" i="1"/>
  <c r="AW877" i="1" s="1"/>
  <c r="AS877" i="1"/>
  <c r="AV877" i="1" s="1"/>
  <c r="AQ877" i="1"/>
  <c r="AM877" i="1"/>
  <c r="P877" i="1"/>
  <c r="O877" i="1"/>
  <c r="N877" i="1"/>
  <c r="M877" i="1"/>
  <c r="L877" i="1"/>
  <c r="AT876" i="1"/>
  <c r="AW876" i="1" s="1"/>
  <c r="AS876" i="1"/>
  <c r="AV876" i="1" s="1"/>
  <c r="AQ876" i="1"/>
  <c r="AM876" i="1"/>
  <c r="AT875" i="1"/>
  <c r="AW875" i="1" s="1"/>
  <c r="AS875" i="1"/>
  <c r="AV875" i="1" s="1"/>
  <c r="AQ875" i="1"/>
  <c r="AM875" i="1"/>
  <c r="BF874" i="1"/>
  <c r="AT874" i="1"/>
  <c r="AW874" i="1" s="1"/>
  <c r="AS874" i="1"/>
  <c r="AV874" i="1" s="1"/>
  <c r="AQ874" i="1"/>
  <c r="AM874" i="1"/>
  <c r="BF873" i="1"/>
  <c r="AT873" i="1"/>
  <c r="AW873" i="1" s="1"/>
  <c r="AS873" i="1"/>
  <c r="AV873" i="1" s="1"/>
  <c r="AQ873" i="1"/>
  <c r="AM873" i="1"/>
  <c r="AT872" i="1"/>
  <c r="AW872" i="1" s="1"/>
  <c r="AS872" i="1"/>
  <c r="AV872" i="1" s="1"/>
  <c r="AQ872" i="1"/>
  <c r="AM872" i="1"/>
  <c r="P872" i="1"/>
  <c r="O872" i="1"/>
  <c r="N872" i="1"/>
  <c r="M872" i="1"/>
  <c r="L872" i="1"/>
  <c r="AT871" i="1"/>
  <c r="AW871" i="1" s="1"/>
  <c r="AS871" i="1"/>
  <c r="AV871" i="1" s="1"/>
  <c r="AQ871" i="1"/>
  <c r="AM871" i="1"/>
  <c r="AT870" i="1"/>
  <c r="AW870" i="1" s="1"/>
  <c r="AS870" i="1"/>
  <c r="AV870" i="1" s="1"/>
  <c r="AQ870" i="1"/>
  <c r="AM870" i="1"/>
  <c r="BF869" i="1"/>
  <c r="AT869" i="1"/>
  <c r="AW869" i="1" s="1"/>
  <c r="AS869" i="1"/>
  <c r="AV869" i="1" s="1"/>
  <c r="AQ869" i="1"/>
  <c r="AM869" i="1"/>
  <c r="BF868" i="1"/>
  <c r="AT868" i="1"/>
  <c r="AW868" i="1" s="1"/>
  <c r="AS868" i="1"/>
  <c r="AV868" i="1" s="1"/>
  <c r="AQ868" i="1"/>
  <c r="AM868" i="1"/>
  <c r="AT867" i="1"/>
  <c r="AW867" i="1" s="1"/>
  <c r="AS867" i="1"/>
  <c r="AV867" i="1" s="1"/>
  <c r="AQ867" i="1"/>
  <c r="AM867" i="1"/>
  <c r="P867" i="1"/>
  <c r="O867" i="1"/>
  <c r="N867" i="1"/>
  <c r="M867" i="1"/>
  <c r="L867" i="1"/>
  <c r="AT866" i="1"/>
  <c r="AW866" i="1" s="1"/>
  <c r="AS866" i="1"/>
  <c r="AV866" i="1" s="1"/>
  <c r="AQ866" i="1"/>
  <c r="AM866" i="1"/>
  <c r="AT865" i="1"/>
  <c r="AW865" i="1" s="1"/>
  <c r="AS865" i="1"/>
  <c r="AV865" i="1" s="1"/>
  <c r="AQ865" i="1"/>
  <c r="AM865" i="1"/>
  <c r="BF864" i="1"/>
  <c r="AT864" i="1"/>
  <c r="AW864" i="1" s="1"/>
  <c r="AS864" i="1"/>
  <c r="AV864" i="1" s="1"/>
  <c r="AQ864" i="1"/>
  <c r="AM864" i="1"/>
  <c r="BF863" i="1"/>
  <c r="AT863" i="1"/>
  <c r="AW863" i="1" s="1"/>
  <c r="AS863" i="1"/>
  <c r="AV863" i="1" s="1"/>
  <c r="AQ863" i="1"/>
  <c r="AM863" i="1"/>
  <c r="AT862" i="1"/>
  <c r="AW862" i="1" s="1"/>
  <c r="AS862" i="1"/>
  <c r="AV862" i="1" s="1"/>
  <c r="AQ862" i="1"/>
  <c r="AM862" i="1"/>
  <c r="P862" i="1"/>
  <c r="O862" i="1"/>
  <c r="N862" i="1"/>
  <c r="M862" i="1"/>
  <c r="L862" i="1"/>
  <c r="AT861" i="1"/>
  <c r="AW861" i="1" s="1"/>
  <c r="AS861" i="1"/>
  <c r="AV861" i="1" s="1"/>
  <c r="AQ861" i="1"/>
  <c r="AM861" i="1"/>
  <c r="AT860" i="1"/>
  <c r="AW860" i="1" s="1"/>
  <c r="AS860" i="1"/>
  <c r="AV860" i="1" s="1"/>
  <c r="AQ860" i="1"/>
  <c r="AM860" i="1"/>
  <c r="AT859" i="1"/>
  <c r="AW859" i="1" s="1"/>
  <c r="AS859" i="1"/>
  <c r="AV859" i="1" s="1"/>
  <c r="AQ859" i="1"/>
  <c r="AM859" i="1"/>
  <c r="AT858" i="1"/>
  <c r="AW858" i="1" s="1"/>
  <c r="AS858" i="1"/>
  <c r="AV858" i="1" s="1"/>
  <c r="AQ858" i="1"/>
  <c r="AM858" i="1"/>
  <c r="AT857" i="1"/>
  <c r="AW857" i="1" s="1"/>
  <c r="AS857" i="1"/>
  <c r="AV857" i="1" s="1"/>
  <c r="AQ857" i="1"/>
  <c r="AM857" i="1"/>
  <c r="P857" i="1"/>
  <c r="O857" i="1"/>
  <c r="N857" i="1"/>
  <c r="M857" i="1"/>
  <c r="L857" i="1"/>
  <c r="AT856" i="1"/>
  <c r="AW856" i="1" s="1"/>
  <c r="AS856" i="1"/>
  <c r="AV856" i="1" s="1"/>
  <c r="AQ856" i="1"/>
  <c r="AM856" i="1"/>
  <c r="AT855" i="1"/>
  <c r="AW855" i="1" s="1"/>
  <c r="AS855" i="1"/>
  <c r="AV855" i="1" s="1"/>
  <c r="AQ855" i="1"/>
  <c r="AM855" i="1"/>
  <c r="BF854" i="1"/>
  <c r="AT854" i="1"/>
  <c r="AW854" i="1" s="1"/>
  <c r="AS854" i="1"/>
  <c r="AV854" i="1" s="1"/>
  <c r="AQ854" i="1"/>
  <c r="AM854" i="1"/>
  <c r="BF853" i="1"/>
  <c r="AT853" i="1"/>
  <c r="AW853" i="1" s="1"/>
  <c r="AS853" i="1"/>
  <c r="AV853" i="1" s="1"/>
  <c r="AQ853" i="1"/>
  <c r="AM853" i="1"/>
  <c r="AT852" i="1"/>
  <c r="AW852" i="1" s="1"/>
  <c r="AS852" i="1"/>
  <c r="AV852" i="1" s="1"/>
  <c r="AQ852" i="1"/>
  <c r="AM852" i="1"/>
  <c r="P852" i="1"/>
  <c r="O852" i="1"/>
  <c r="N852" i="1"/>
  <c r="M852" i="1"/>
  <c r="L852" i="1"/>
  <c r="AT851" i="1"/>
  <c r="AW851" i="1" s="1"/>
  <c r="AS851" i="1"/>
  <c r="AV851" i="1" s="1"/>
  <c r="AQ851" i="1"/>
  <c r="AM851" i="1"/>
  <c r="AT850" i="1"/>
  <c r="AW850" i="1" s="1"/>
  <c r="AS850" i="1"/>
  <c r="AV850" i="1" s="1"/>
  <c r="AQ850" i="1"/>
  <c r="AM850" i="1"/>
  <c r="BF849" i="1"/>
  <c r="AT849" i="1"/>
  <c r="AW849" i="1" s="1"/>
  <c r="AS849" i="1"/>
  <c r="AV849" i="1" s="1"/>
  <c r="AQ849" i="1"/>
  <c r="AM849" i="1"/>
  <c r="BF848" i="1"/>
  <c r="AT848" i="1"/>
  <c r="AW848" i="1" s="1"/>
  <c r="AS848" i="1"/>
  <c r="AV848" i="1" s="1"/>
  <c r="AQ848" i="1"/>
  <c r="AM848" i="1"/>
  <c r="AT847" i="1"/>
  <c r="AW847" i="1" s="1"/>
  <c r="AS847" i="1"/>
  <c r="AV847" i="1" s="1"/>
  <c r="AQ847" i="1"/>
  <c r="AM847" i="1"/>
  <c r="P847" i="1"/>
  <c r="O847" i="1"/>
  <c r="N847" i="1"/>
  <c r="M847" i="1"/>
  <c r="L847" i="1"/>
  <c r="AT846" i="1"/>
  <c r="AW846" i="1" s="1"/>
  <c r="AS846" i="1"/>
  <c r="AV846" i="1" s="1"/>
  <c r="AQ846" i="1"/>
  <c r="AM846" i="1"/>
  <c r="AT845" i="1"/>
  <c r="AW845" i="1" s="1"/>
  <c r="AS845" i="1"/>
  <c r="AV845" i="1" s="1"/>
  <c r="AQ845" i="1"/>
  <c r="AM845" i="1"/>
  <c r="BF844" i="1"/>
  <c r="AT844" i="1"/>
  <c r="AW844" i="1" s="1"/>
  <c r="AS844" i="1"/>
  <c r="AV844" i="1" s="1"/>
  <c r="AQ844" i="1"/>
  <c r="AM844" i="1"/>
  <c r="BF843" i="1"/>
  <c r="AT843" i="1"/>
  <c r="AW843" i="1" s="1"/>
  <c r="AS843" i="1"/>
  <c r="AV843" i="1" s="1"/>
  <c r="AQ843" i="1"/>
  <c r="AM843" i="1"/>
  <c r="AT842" i="1"/>
  <c r="AW842" i="1" s="1"/>
  <c r="AS842" i="1"/>
  <c r="AV842" i="1" s="1"/>
  <c r="AQ842" i="1"/>
  <c r="AM842" i="1"/>
  <c r="P842" i="1"/>
  <c r="O842" i="1"/>
  <c r="N842" i="1"/>
  <c r="M842" i="1"/>
  <c r="L842" i="1"/>
  <c r="AT841" i="1"/>
  <c r="AW841" i="1" s="1"/>
  <c r="AS841" i="1"/>
  <c r="AV841" i="1" s="1"/>
  <c r="AQ841" i="1"/>
  <c r="AM841" i="1"/>
  <c r="AT840" i="1"/>
  <c r="AW840" i="1" s="1"/>
  <c r="AS840" i="1"/>
  <c r="AV840" i="1" s="1"/>
  <c r="AQ840" i="1"/>
  <c r="AM840" i="1"/>
  <c r="BF839" i="1"/>
  <c r="AT839" i="1"/>
  <c r="AW839" i="1" s="1"/>
  <c r="AS839" i="1"/>
  <c r="AV839" i="1" s="1"/>
  <c r="AQ839" i="1"/>
  <c r="AM839" i="1"/>
  <c r="BF838" i="1"/>
  <c r="AT838" i="1"/>
  <c r="AW838" i="1" s="1"/>
  <c r="AS838" i="1"/>
  <c r="AV838" i="1" s="1"/>
  <c r="AQ838" i="1"/>
  <c r="AM838" i="1"/>
  <c r="AT837" i="1"/>
  <c r="AW837" i="1" s="1"/>
  <c r="AS837" i="1"/>
  <c r="AV837" i="1" s="1"/>
  <c r="AQ837" i="1"/>
  <c r="AM837" i="1"/>
  <c r="P837" i="1"/>
  <c r="O837" i="1"/>
  <c r="N837" i="1"/>
  <c r="M837" i="1"/>
  <c r="L837" i="1"/>
  <c r="AT836" i="1"/>
  <c r="AW836" i="1" s="1"/>
  <c r="AS836" i="1"/>
  <c r="AV836" i="1" s="1"/>
  <c r="AQ836" i="1"/>
  <c r="AM836" i="1"/>
  <c r="AT835" i="1"/>
  <c r="AW835" i="1" s="1"/>
  <c r="AS835" i="1"/>
  <c r="AV835" i="1" s="1"/>
  <c r="AQ835" i="1"/>
  <c r="AM835" i="1"/>
  <c r="BF834" i="1"/>
  <c r="AT834" i="1"/>
  <c r="AW834" i="1" s="1"/>
  <c r="AS834" i="1"/>
  <c r="AV834" i="1" s="1"/>
  <c r="AQ834" i="1"/>
  <c r="AM834" i="1"/>
  <c r="BF833" i="1"/>
  <c r="AT833" i="1"/>
  <c r="AW833" i="1" s="1"/>
  <c r="AS833" i="1"/>
  <c r="AV833" i="1" s="1"/>
  <c r="AQ833" i="1"/>
  <c r="AM833" i="1"/>
  <c r="AT832" i="1"/>
  <c r="AW832" i="1" s="1"/>
  <c r="AS832" i="1"/>
  <c r="AV832" i="1" s="1"/>
  <c r="AQ832" i="1"/>
  <c r="AM832" i="1"/>
  <c r="P832" i="1"/>
  <c r="O832" i="1"/>
  <c r="N832" i="1"/>
  <c r="M832" i="1"/>
  <c r="L832" i="1"/>
  <c r="AT831" i="1"/>
  <c r="AW831" i="1" s="1"/>
  <c r="AS831" i="1"/>
  <c r="AV831" i="1" s="1"/>
  <c r="AQ831" i="1"/>
  <c r="AM831" i="1"/>
  <c r="AT830" i="1"/>
  <c r="AW830" i="1" s="1"/>
  <c r="AS830" i="1"/>
  <c r="AV830" i="1" s="1"/>
  <c r="AQ830" i="1"/>
  <c r="AM830" i="1"/>
  <c r="BF829" i="1"/>
  <c r="AT829" i="1"/>
  <c r="AW829" i="1" s="1"/>
  <c r="AS829" i="1"/>
  <c r="AV829" i="1" s="1"/>
  <c r="AQ829" i="1"/>
  <c r="AM829" i="1"/>
  <c r="BF828" i="1"/>
  <c r="AT828" i="1"/>
  <c r="AW828" i="1" s="1"/>
  <c r="AS828" i="1"/>
  <c r="AV828" i="1" s="1"/>
  <c r="AQ828" i="1"/>
  <c r="AM828" i="1"/>
  <c r="AT827" i="1"/>
  <c r="AW827" i="1" s="1"/>
  <c r="AS827" i="1"/>
  <c r="AV827" i="1" s="1"/>
  <c r="AQ827" i="1"/>
  <c r="AM827" i="1"/>
  <c r="P827" i="1"/>
  <c r="O827" i="1"/>
  <c r="N827" i="1"/>
  <c r="M827" i="1"/>
  <c r="L827" i="1"/>
  <c r="AT826" i="1"/>
  <c r="AW826" i="1" s="1"/>
  <c r="AS826" i="1"/>
  <c r="AV826" i="1" s="1"/>
  <c r="AQ826" i="1"/>
  <c r="AM826" i="1"/>
  <c r="AT825" i="1"/>
  <c r="AW825" i="1" s="1"/>
  <c r="AS825" i="1"/>
  <c r="AV825" i="1" s="1"/>
  <c r="AQ825" i="1"/>
  <c r="AM825" i="1"/>
  <c r="BF824" i="1"/>
  <c r="AT824" i="1"/>
  <c r="AW824" i="1" s="1"/>
  <c r="AS824" i="1"/>
  <c r="AV824" i="1" s="1"/>
  <c r="AQ824" i="1"/>
  <c r="AM824" i="1"/>
  <c r="BF823" i="1"/>
  <c r="AT823" i="1"/>
  <c r="AW823" i="1" s="1"/>
  <c r="AS823" i="1"/>
  <c r="AV823" i="1" s="1"/>
  <c r="AQ823" i="1"/>
  <c r="AM823" i="1"/>
  <c r="AT822" i="1"/>
  <c r="AW822" i="1" s="1"/>
  <c r="AS822" i="1"/>
  <c r="AV822" i="1" s="1"/>
  <c r="AQ822" i="1"/>
  <c r="AM822" i="1"/>
  <c r="P822" i="1"/>
  <c r="O822" i="1"/>
  <c r="N822" i="1"/>
  <c r="M822" i="1"/>
  <c r="L822" i="1"/>
  <c r="AT821" i="1"/>
  <c r="AW821" i="1" s="1"/>
  <c r="AS821" i="1"/>
  <c r="AV821" i="1" s="1"/>
  <c r="AQ821" i="1"/>
  <c r="AM821" i="1"/>
  <c r="AT820" i="1"/>
  <c r="AW820" i="1" s="1"/>
  <c r="AS820" i="1"/>
  <c r="AV820" i="1" s="1"/>
  <c r="AQ820" i="1"/>
  <c r="AM820" i="1"/>
  <c r="BF819" i="1"/>
  <c r="AT819" i="1"/>
  <c r="AW819" i="1" s="1"/>
  <c r="AS819" i="1"/>
  <c r="AV819" i="1" s="1"/>
  <c r="AQ819" i="1"/>
  <c r="AM819" i="1"/>
  <c r="BF818" i="1"/>
  <c r="AT818" i="1"/>
  <c r="AW818" i="1" s="1"/>
  <c r="AS818" i="1"/>
  <c r="AV818" i="1" s="1"/>
  <c r="AQ818" i="1"/>
  <c r="AM818" i="1"/>
  <c r="AT817" i="1"/>
  <c r="AW817" i="1" s="1"/>
  <c r="AS817" i="1"/>
  <c r="AV817" i="1" s="1"/>
  <c r="AQ817" i="1"/>
  <c r="AM817" i="1"/>
  <c r="P817" i="1"/>
  <c r="O817" i="1"/>
  <c r="N817" i="1"/>
  <c r="M817" i="1"/>
  <c r="L817" i="1"/>
  <c r="AT816" i="1"/>
  <c r="AW816" i="1" s="1"/>
  <c r="AS816" i="1"/>
  <c r="AV816" i="1" s="1"/>
  <c r="AQ816" i="1"/>
  <c r="AM816" i="1"/>
  <c r="AT815" i="1"/>
  <c r="AW815" i="1" s="1"/>
  <c r="AS815" i="1"/>
  <c r="AV815" i="1" s="1"/>
  <c r="AQ815" i="1"/>
  <c r="AM815" i="1"/>
  <c r="BF814" i="1"/>
  <c r="AT814" i="1"/>
  <c r="AW814" i="1" s="1"/>
  <c r="AS814" i="1"/>
  <c r="AV814" i="1" s="1"/>
  <c r="AQ814" i="1"/>
  <c r="AM814" i="1"/>
  <c r="BF813" i="1"/>
  <c r="AT813" i="1"/>
  <c r="AW813" i="1" s="1"/>
  <c r="AS813" i="1"/>
  <c r="AV813" i="1" s="1"/>
  <c r="AQ813" i="1"/>
  <c r="AM813" i="1"/>
  <c r="AT812" i="1"/>
  <c r="AW812" i="1" s="1"/>
  <c r="AS812" i="1"/>
  <c r="AV812" i="1" s="1"/>
  <c r="AQ812" i="1"/>
  <c r="AM812" i="1"/>
  <c r="P812" i="1"/>
  <c r="O812" i="1"/>
  <c r="N812" i="1"/>
  <c r="M812" i="1"/>
  <c r="L812" i="1"/>
  <c r="AT811" i="1"/>
  <c r="AW811" i="1" s="1"/>
  <c r="AS811" i="1"/>
  <c r="AV811" i="1" s="1"/>
  <c r="AQ811" i="1"/>
  <c r="AM811" i="1"/>
  <c r="AT810" i="1"/>
  <c r="AW810" i="1" s="1"/>
  <c r="AS810" i="1"/>
  <c r="AV810" i="1" s="1"/>
  <c r="AQ810" i="1"/>
  <c r="AM810" i="1"/>
  <c r="AT809" i="1"/>
  <c r="AW809" i="1" s="1"/>
  <c r="AS809" i="1"/>
  <c r="AV809" i="1" s="1"/>
  <c r="AQ809" i="1"/>
  <c r="AM809" i="1"/>
  <c r="AT808" i="1"/>
  <c r="AW808" i="1" s="1"/>
  <c r="AS808" i="1"/>
  <c r="AV808" i="1" s="1"/>
  <c r="AQ808" i="1"/>
  <c r="AM808" i="1"/>
  <c r="AT807" i="1"/>
  <c r="AW807" i="1" s="1"/>
  <c r="AS807" i="1"/>
  <c r="AV807" i="1" s="1"/>
  <c r="AQ807" i="1"/>
  <c r="AM807" i="1"/>
  <c r="P807" i="1"/>
  <c r="O807" i="1"/>
  <c r="N807" i="1"/>
  <c r="M807" i="1"/>
  <c r="L807" i="1"/>
  <c r="AT806" i="1"/>
  <c r="AW806" i="1" s="1"/>
  <c r="AS806" i="1"/>
  <c r="AV806" i="1" s="1"/>
  <c r="AQ806" i="1"/>
  <c r="AM806" i="1"/>
  <c r="AT805" i="1"/>
  <c r="AW805" i="1" s="1"/>
  <c r="AS805" i="1"/>
  <c r="AV805" i="1" s="1"/>
  <c r="AQ805" i="1"/>
  <c r="AM805" i="1"/>
  <c r="BF804" i="1"/>
  <c r="AT804" i="1"/>
  <c r="AW804" i="1" s="1"/>
  <c r="AS804" i="1"/>
  <c r="AV804" i="1" s="1"/>
  <c r="AQ804" i="1"/>
  <c r="AM804" i="1"/>
  <c r="BF803" i="1"/>
  <c r="AT803" i="1"/>
  <c r="AW803" i="1" s="1"/>
  <c r="AS803" i="1"/>
  <c r="AV803" i="1" s="1"/>
  <c r="AQ803" i="1"/>
  <c r="AM803" i="1"/>
  <c r="AT802" i="1"/>
  <c r="AW802" i="1" s="1"/>
  <c r="AS802" i="1"/>
  <c r="AV802" i="1" s="1"/>
  <c r="AQ802" i="1"/>
  <c r="AM802" i="1"/>
  <c r="P802" i="1"/>
  <c r="O802" i="1"/>
  <c r="N802" i="1"/>
  <c r="M802" i="1"/>
  <c r="L802" i="1"/>
  <c r="AT801" i="1"/>
  <c r="AW801" i="1" s="1"/>
  <c r="AS801" i="1"/>
  <c r="AV801" i="1" s="1"/>
  <c r="AQ801" i="1"/>
  <c r="AM801" i="1"/>
  <c r="AT800" i="1"/>
  <c r="AW800" i="1" s="1"/>
  <c r="AS800" i="1"/>
  <c r="AV800" i="1" s="1"/>
  <c r="AQ800" i="1"/>
  <c r="AM800" i="1"/>
  <c r="BF799" i="1"/>
  <c r="AT799" i="1"/>
  <c r="AW799" i="1" s="1"/>
  <c r="AS799" i="1"/>
  <c r="AV799" i="1" s="1"/>
  <c r="AQ799" i="1"/>
  <c r="AM799" i="1"/>
  <c r="BF798" i="1"/>
  <c r="AT798" i="1"/>
  <c r="AW798" i="1" s="1"/>
  <c r="AS798" i="1"/>
  <c r="AV798" i="1" s="1"/>
  <c r="AQ798" i="1"/>
  <c r="AM798" i="1"/>
  <c r="AT797" i="1"/>
  <c r="AW797" i="1" s="1"/>
  <c r="AS797" i="1"/>
  <c r="AV797" i="1" s="1"/>
  <c r="AQ797" i="1"/>
  <c r="AM797" i="1"/>
  <c r="P797" i="1"/>
  <c r="O797" i="1"/>
  <c r="N797" i="1"/>
  <c r="M797" i="1"/>
  <c r="L797" i="1"/>
  <c r="AT796" i="1"/>
  <c r="AW796" i="1" s="1"/>
  <c r="AS796" i="1"/>
  <c r="AV796" i="1" s="1"/>
  <c r="AQ796" i="1"/>
  <c r="AM796" i="1"/>
  <c r="AT795" i="1"/>
  <c r="AW795" i="1" s="1"/>
  <c r="AS795" i="1"/>
  <c r="AV795" i="1" s="1"/>
  <c r="AQ795" i="1"/>
  <c r="AM795" i="1"/>
  <c r="BF794" i="1"/>
  <c r="AT794" i="1"/>
  <c r="AW794" i="1" s="1"/>
  <c r="AS794" i="1"/>
  <c r="AV794" i="1" s="1"/>
  <c r="AQ794" i="1"/>
  <c r="AM794" i="1"/>
  <c r="BF793" i="1"/>
  <c r="AT793" i="1"/>
  <c r="AW793" i="1" s="1"/>
  <c r="AS793" i="1"/>
  <c r="AV793" i="1" s="1"/>
  <c r="AQ793" i="1"/>
  <c r="AM793" i="1"/>
  <c r="AT792" i="1"/>
  <c r="AW792" i="1" s="1"/>
  <c r="AS792" i="1"/>
  <c r="AV792" i="1" s="1"/>
  <c r="AQ792" i="1"/>
  <c r="AM792" i="1"/>
  <c r="P792" i="1"/>
  <c r="O792" i="1"/>
  <c r="N792" i="1"/>
  <c r="M792" i="1"/>
  <c r="L792" i="1"/>
  <c r="AT791" i="1"/>
  <c r="AW791" i="1" s="1"/>
  <c r="AS791" i="1"/>
  <c r="AV791" i="1" s="1"/>
  <c r="AQ791" i="1"/>
  <c r="AM791" i="1"/>
  <c r="AT790" i="1"/>
  <c r="AW790" i="1" s="1"/>
  <c r="AS790" i="1"/>
  <c r="AV790" i="1" s="1"/>
  <c r="AQ790" i="1"/>
  <c r="AM790" i="1"/>
  <c r="BF789" i="1"/>
  <c r="AT789" i="1"/>
  <c r="AW789" i="1" s="1"/>
  <c r="AS789" i="1"/>
  <c r="AV789" i="1" s="1"/>
  <c r="AQ789" i="1"/>
  <c r="AM789" i="1"/>
  <c r="BF788" i="1"/>
  <c r="AT788" i="1"/>
  <c r="AW788" i="1" s="1"/>
  <c r="AS788" i="1"/>
  <c r="AV788" i="1" s="1"/>
  <c r="AQ788" i="1"/>
  <c r="AM788" i="1"/>
  <c r="AT787" i="1"/>
  <c r="AW787" i="1" s="1"/>
  <c r="AS787" i="1"/>
  <c r="AV787" i="1" s="1"/>
  <c r="AQ787" i="1"/>
  <c r="AM787" i="1"/>
  <c r="P787" i="1"/>
  <c r="O787" i="1"/>
  <c r="N787" i="1"/>
  <c r="M787" i="1"/>
  <c r="L787" i="1"/>
  <c r="AT786" i="1"/>
  <c r="AW786" i="1" s="1"/>
  <c r="AS786" i="1"/>
  <c r="AV786" i="1" s="1"/>
  <c r="AQ786" i="1"/>
  <c r="AM786" i="1"/>
  <c r="AT785" i="1"/>
  <c r="AW785" i="1" s="1"/>
  <c r="AS785" i="1"/>
  <c r="AV785" i="1" s="1"/>
  <c r="AQ785" i="1"/>
  <c r="AM785" i="1"/>
  <c r="BF784" i="1"/>
  <c r="AT784" i="1"/>
  <c r="AW784" i="1" s="1"/>
  <c r="AS784" i="1"/>
  <c r="AV784" i="1" s="1"/>
  <c r="AQ784" i="1"/>
  <c r="AM784" i="1"/>
  <c r="BF783" i="1"/>
  <c r="AT783" i="1"/>
  <c r="AW783" i="1" s="1"/>
  <c r="AS783" i="1"/>
  <c r="AV783" i="1" s="1"/>
  <c r="AQ783" i="1"/>
  <c r="AM783" i="1"/>
  <c r="AT782" i="1"/>
  <c r="AW782" i="1" s="1"/>
  <c r="AS782" i="1"/>
  <c r="AV782" i="1" s="1"/>
  <c r="AQ782" i="1"/>
  <c r="AM782" i="1"/>
  <c r="P782" i="1"/>
  <c r="O782" i="1"/>
  <c r="N782" i="1"/>
  <c r="M782" i="1"/>
  <c r="L782" i="1"/>
  <c r="AT781" i="1"/>
  <c r="AW781" i="1" s="1"/>
  <c r="AS781" i="1"/>
  <c r="AV781" i="1" s="1"/>
  <c r="AQ781" i="1"/>
  <c r="AM781" i="1"/>
  <c r="AT780" i="1"/>
  <c r="AW780" i="1" s="1"/>
  <c r="AS780" i="1"/>
  <c r="AV780" i="1" s="1"/>
  <c r="AQ780" i="1"/>
  <c r="AM780" i="1"/>
  <c r="BF779" i="1"/>
  <c r="AT779" i="1"/>
  <c r="AW779" i="1" s="1"/>
  <c r="AS779" i="1"/>
  <c r="AV779" i="1" s="1"/>
  <c r="AQ779" i="1"/>
  <c r="AM779" i="1"/>
  <c r="BF778" i="1"/>
  <c r="AT778" i="1"/>
  <c r="AW778" i="1" s="1"/>
  <c r="AS778" i="1"/>
  <c r="AV778" i="1" s="1"/>
  <c r="AQ778" i="1"/>
  <c r="AM778" i="1"/>
  <c r="AT777" i="1"/>
  <c r="AW777" i="1" s="1"/>
  <c r="AS777" i="1"/>
  <c r="AV777" i="1" s="1"/>
  <c r="AQ777" i="1"/>
  <c r="AM777" i="1"/>
  <c r="P777" i="1"/>
  <c r="O777" i="1"/>
  <c r="N777" i="1"/>
  <c r="M777" i="1"/>
  <c r="L777" i="1"/>
  <c r="AT776" i="1"/>
  <c r="AW776" i="1" s="1"/>
  <c r="AS776" i="1"/>
  <c r="AV776" i="1" s="1"/>
  <c r="AQ776" i="1"/>
  <c r="AM776" i="1"/>
  <c r="AT775" i="1"/>
  <c r="AW775" i="1" s="1"/>
  <c r="AS775" i="1"/>
  <c r="AV775" i="1" s="1"/>
  <c r="AQ775" i="1"/>
  <c r="AM775" i="1"/>
  <c r="BF774" i="1"/>
  <c r="AT774" i="1"/>
  <c r="AW774" i="1" s="1"/>
  <c r="AS774" i="1"/>
  <c r="AV774" i="1" s="1"/>
  <c r="AQ774" i="1"/>
  <c r="AM774" i="1"/>
  <c r="BF773" i="1"/>
  <c r="AT773" i="1"/>
  <c r="AW773" i="1" s="1"/>
  <c r="AS773" i="1"/>
  <c r="AV773" i="1" s="1"/>
  <c r="AQ773" i="1"/>
  <c r="AM773" i="1"/>
  <c r="AT772" i="1"/>
  <c r="AW772" i="1" s="1"/>
  <c r="AS772" i="1"/>
  <c r="AV772" i="1" s="1"/>
  <c r="AQ772" i="1"/>
  <c r="AM772" i="1"/>
  <c r="P772" i="1"/>
  <c r="O772" i="1"/>
  <c r="N772" i="1"/>
  <c r="M772" i="1"/>
  <c r="L772" i="1"/>
  <c r="AT771" i="1"/>
  <c r="AW771" i="1" s="1"/>
  <c r="AS771" i="1"/>
  <c r="AV771" i="1" s="1"/>
  <c r="AQ771" i="1"/>
  <c r="AM771" i="1"/>
  <c r="AT770" i="1"/>
  <c r="AW770" i="1" s="1"/>
  <c r="AS770" i="1"/>
  <c r="AV770" i="1" s="1"/>
  <c r="AQ770" i="1"/>
  <c r="AM770" i="1"/>
  <c r="BF769" i="1"/>
  <c r="AT769" i="1"/>
  <c r="AW769" i="1" s="1"/>
  <c r="AS769" i="1"/>
  <c r="AV769" i="1" s="1"/>
  <c r="AQ769" i="1"/>
  <c r="AM769" i="1"/>
  <c r="BF768" i="1"/>
  <c r="AT768" i="1"/>
  <c r="AW768" i="1" s="1"/>
  <c r="AS768" i="1"/>
  <c r="AV768" i="1" s="1"/>
  <c r="AQ768" i="1"/>
  <c r="AM768" i="1"/>
  <c r="AT767" i="1"/>
  <c r="AW767" i="1" s="1"/>
  <c r="AS767" i="1"/>
  <c r="AV767" i="1" s="1"/>
  <c r="AQ767" i="1"/>
  <c r="AM767" i="1"/>
  <c r="P767" i="1"/>
  <c r="O767" i="1"/>
  <c r="N767" i="1"/>
  <c r="M767" i="1"/>
  <c r="L767" i="1"/>
  <c r="AT766" i="1"/>
  <c r="AW766" i="1" s="1"/>
  <c r="AS766" i="1"/>
  <c r="AV766" i="1" s="1"/>
  <c r="AQ766" i="1"/>
  <c r="AM766" i="1"/>
  <c r="AT765" i="1"/>
  <c r="AW765" i="1" s="1"/>
  <c r="AS765" i="1"/>
  <c r="AV765" i="1" s="1"/>
  <c r="AQ765" i="1"/>
  <c r="AM765" i="1"/>
  <c r="BF764" i="1"/>
  <c r="AT764" i="1"/>
  <c r="AW764" i="1" s="1"/>
  <c r="AS764" i="1"/>
  <c r="AV764" i="1" s="1"/>
  <c r="AQ764" i="1"/>
  <c r="AM764" i="1"/>
  <c r="BF763" i="1"/>
  <c r="AT763" i="1"/>
  <c r="AW763" i="1" s="1"/>
  <c r="AS763" i="1"/>
  <c r="AV763" i="1" s="1"/>
  <c r="AQ763" i="1"/>
  <c r="AM763" i="1"/>
  <c r="AT762" i="1"/>
  <c r="AW762" i="1" s="1"/>
  <c r="AS762" i="1"/>
  <c r="AV762" i="1" s="1"/>
  <c r="AQ762" i="1"/>
  <c r="AM762" i="1"/>
  <c r="P762" i="1"/>
  <c r="O762" i="1"/>
  <c r="N762" i="1"/>
  <c r="M762" i="1"/>
  <c r="L762" i="1"/>
  <c r="AT761" i="1"/>
  <c r="AW761" i="1" s="1"/>
  <c r="AS761" i="1"/>
  <c r="AV761" i="1" s="1"/>
  <c r="AQ761" i="1"/>
  <c r="AM761" i="1"/>
  <c r="AT760" i="1"/>
  <c r="AW760" i="1" s="1"/>
  <c r="AS760" i="1"/>
  <c r="AV760" i="1" s="1"/>
  <c r="AQ760" i="1"/>
  <c r="AM760" i="1"/>
  <c r="AT759" i="1"/>
  <c r="AW759" i="1" s="1"/>
  <c r="AS759" i="1"/>
  <c r="AV759" i="1" s="1"/>
  <c r="AQ759" i="1"/>
  <c r="AM759" i="1"/>
  <c r="AT758" i="1"/>
  <c r="AW758" i="1" s="1"/>
  <c r="AS758" i="1"/>
  <c r="AV758" i="1" s="1"/>
  <c r="AQ758" i="1"/>
  <c r="AM758" i="1"/>
  <c r="AT757" i="1"/>
  <c r="AW757" i="1" s="1"/>
  <c r="AS757" i="1"/>
  <c r="AV757" i="1" s="1"/>
  <c r="AQ757" i="1"/>
  <c r="AM757" i="1"/>
  <c r="P757" i="1"/>
  <c r="O757" i="1"/>
  <c r="N757" i="1"/>
  <c r="M757" i="1"/>
  <c r="L757" i="1"/>
  <c r="AT756" i="1"/>
  <c r="AW756" i="1" s="1"/>
  <c r="AS756" i="1"/>
  <c r="AV756" i="1" s="1"/>
  <c r="AQ756" i="1"/>
  <c r="AM756" i="1"/>
  <c r="AT755" i="1"/>
  <c r="AW755" i="1" s="1"/>
  <c r="AS755" i="1"/>
  <c r="AV755" i="1" s="1"/>
  <c r="AQ755" i="1"/>
  <c r="AM755" i="1"/>
  <c r="BF754" i="1"/>
  <c r="AT754" i="1"/>
  <c r="AW754" i="1" s="1"/>
  <c r="AS754" i="1"/>
  <c r="AV754" i="1" s="1"/>
  <c r="AQ754" i="1"/>
  <c r="AM754" i="1"/>
  <c r="BF753" i="1"/>
  <c r="AT753" i="1"/>
  <c r="AW753" i="1" s="1"/>
  <c r="AS753" i="1"/>
  <c r="AV753" i="1" s="1"/>
  <c r="AQ753" i="1"/>
  <c r="AM753" i="1"/>
  <c r="AT752" i="1"/>
  <c r="AW752" i="1" s="1"/>
  <c r="AS752" i="1"/>
  <c r="AV752" i="1" s="1"/>
  <c r="AQ752" i="1"/>
  <c r="AM752" i="1"/>
  <c r="P752" i="1"/>
  <c r="O752" i="1"/>
  <c r="N752" i="1"/>
  <c r="M752" i="1"/>
  <c r="L752" i="1"/>
  <c r="AT751" i="1"/>
  <c r="AW751" i="1" s="1"/>
  <c r="AS751" i="1"/>
  <c r="AV751" i="1" s="1"/>
  <c r="AQ751" i="1"/>
  <c r="AM751" i="1"/>
  <c r="AT750" i="1"/>
  <c r="AW750" i="1" s="1"/>
  <c r="AS750" i="1"/>
  <c r="AV750" i="1" s="1"/>
  <c r="AQ750" i="1"/>
  <c r="AM750" i="1"/>
  <c r="BF749" i="1"/>
  <c r="AT749" i="1"/>
  <c r="AW749" i="1" s="1"/>
  <c r="AS749" i="1"/>
  <c r="AV749" i="1" s="1"/>
  <c r="AQ749" i="1"/>
  <c r="AM749" i="1"/>
  <c r="BF748" i="1"/>
  <c r="AT748" i="1"/>
  <c r="AW748" i="1" s="1"/>
  <c r="AS748" i="1"/>
  <c r="AV748" i="1" s="1"/>
  <c r="AQ748" i="1"/>
  <c r="AM748" i="1"/>
  <c r="AT747" i="1"/>
  <c r="AW747" i="1" s="1"/>
  <c r="AS747" i="1"/>
  <c r="AV747" i="1" s="1"/>
  <c r="AQ747" i="1"/>
  <c r="AM747" i="1"/>
  <c r="P747" i="1"/>
  <c r="O747" i="1"/>
  <c r="N747" i="1"/>
  <c r="M747" i="1"/>
  <c r="L747" i="1"/>
  <c r="AT746" i="1"/>
  <c r="AW746" i="1" s="1"/>
  <c r="AS746" i="1"/>
  <c r="AV746" i="1" s="1"/>
  <c r="AQ746" i="1"/>
  <c r="AM746" i="1"/>
  <c r="AT745" i="1"/>
  <c r="AW745" i="1" s="1"/>
  <c r="AS745" i="1"/>
  <c r="AV745" i="1" s="1"/>
  <c r="AQ745" i="1"/>
  <c r="AM745" i="1"/>
  <c r="BF744" i="1"/>
  <c r="AT744" i="1"/>
  <c r="AW744" i="1" s="1"/>
  <c r="AS744" i="1"/>
  <c r="AV744" i="1" s="1"/>
  <c r="AQ744" i="1"/>
  <c r="AM744" i="1"/>
  <c r="BF743" i="1"/>
  <c r="AT743" i="1"/>
  <c r="AW743" i="1" s="1"/>
  <c r="AS743" i="1"/>
  <c r="AV743" i="1" s="1"/>
  <c r="AQ743" i="1"/>
  <c r="AM743" i="1"/>
  <c r="AT742" i="1"/>
  <c r="AW742" i="1" s="1"/>
  <c r="AS742" i="1"/>
  <c r="AV742" i="1" s="1"/>
  <c r="AQ742" i="1"/>
  <c r="AM742" i="1"/>
  <c r="P742" i="1"/>
  <c r="O742" i="1"/>
  <c r="N742" i="1"/>
  <c r="M742" i="1"/>
  <c r="L742" i="1"/>
  <c r="AT741" i="1"/>
  <c r="AW741" i="1" s="1"/>
  <c r="AS741" i="1"/>
  <c r="AV741" i="1" s="1"/>
  <c r="AQ741" i="1"/>
  <c r="AM741" i="1"/>
  <c r="AT740" i="1"/>
  <c r="AW740" i="1" s="1"/>
  <c r="AS740" i="1"/>
  <c r="AV740" i="1" s="1"/>
  <c r="AQ740" i="1"/>
  <c r="AM740" i="1"/>
  <c r="BF739" i="1"/>
  <c r="AT739" i="1"/>
  <c r="AW739" i="1" s="1"/>
  <c r="AS739" i="1"/>
  <c r="AV739" i="1" s="1"/>
  <c r="AQ739" i="1"/>
  <c r="AM739" i="1"/>
  <c r="BF738" i="1"/>
  <c r="AT738" i="1"/>
  <c r="AW738" i="1" s="1"/>
  <c r="AS738" i="1"/>
  <c r="AV738" i="1" s="1"/>
  <c r="AQ738" i="1"/>
  <c r="AM738" i="1"/>
  <c r="AT737" i="1"/>
  <c r="AW737" i="1" s="1"/>
  <c r="AS737" i="1"/>
  <c r="AV737" i="1" s="1"/>
  <c r="AQ737" i="1"/>
  <c r="AM737" i="1"/>
  <c r="P737" i="1"/>
  <c r="O737" i="1"/>
  <c r="N737" i="1"/>
  <c r="M737" i="1"/>
  <c r="L737" i="1"/>
  <c r="AT736" i="1"/>
  <c r="AW736" i="1" s="1"/>
  <c r="AS736" i="1"/>
  <c r="AV736" i="1" s="1"/>
  <c r="AQ736" i="1"/>
  <c r="AM736" i="1"/>
  <c r="AT735" i="1"/>
  <c r="AW735" i="1" s="1"/>
  <c r="AS735" i="1"/>
  <c r="AV735" i="1" s="1"/>
  <c r="AQ735" i="1"/>
  <c r="AM735" i="1"/>
  <c r="BF734" i="1"/>
  <c r="AT734" i="1"/>
  <c r="AW734" i="1" s="1"/>
  <c r="AS734" i="1"/>
  <c r="AV734" i="1" s="1"/>
  <c r="AQ734" i="1"/>
  <c r="AM734" i="1"/>
  <c r="BF733" i="1"/>
  <c r="AT733" i="1"/>
  <c r="AW733" i="1" s="1"/>
  <c r="AS733" i="1"/>
  <c r="AV733" i="1" s="1"/>
  <c r="AQ733" i="1"/>
  <c r="AM733" i="1"/>
  <c r="AT732" i="1"/>
  <c r="AW732" i="1" s="1"/>
  <c r="AS732" i="1"/>
  <c r="AV732" i="1" s="1"/>
  <c r="AQ732" i="1"/>
  <c r="AM732" i="1"/>
  <c r="P732" i="1"/>
  <c r="O732" i="1"/>
  <c r="N732" i="1"/>
  <c r="M732" i="1"/>
  <c r="L732" i="1"/>
  <c r="AT731" i="1"/>
  <c r="AW731" i="1" s="1"/>
  <c r="AS731" i="1"/>
  <c r="AV731" i="1" s="1"/>
  <c r="AQ731" i="1"/>
  <c r="AM731" i="1"/>
  <c r="AT730" i="1"/>
  <c r="AW730" i="1" s="1"/>
  <c r="AS730" i="1"/>
  <c r="AV730" i="1" s="1"/>
  <c r="AQ730" i="1"/>
  <c r="AM730" i="1"/>
  <c r="BF729" i="1"/>
  <c r="AT729" i="1"/>
  <c r="AW729" i="1" s="1"/>
  <c r="AS729" i="1"/>
  <c r="AV729" i="1" s="1"/>
  <c r="AQ729" i="1"/>
  <c r="AM729" i="1"/>
  <c r="BF728" i="1"/>
  <c r="AT728" i="1"/>
  <c r="AW728" i="1" s="1"/>
  <c r="AS728" i="1"/>
  <c r="AV728" i="1" s="1"/>
  <c r="AQ728" i="1"/>
  <c r="AM728" i="1"/>
  <c r="AT727" i="1"/>
  <c r="AW727" i="1" s="1"/>
  <c r="AS727" i="1"/>
  <c r="AV727" i="1" s="1"/>
  <c r="AQ727" i="1"/>
  <c r="AM727" i="1"/>
  <c r="P727" i="1"/>
  <c r="O727" i="1"/>
  <c r="N727" i="1"/>
  <c r="M727" i="1"/>
  <c r="L727" i="1"/>
  <c r="AT726" i="1"/>
  <c r="AW726" i="1" s="1"/>
  <c r="AS726" i="1"/>
  <c r="AV726" i="1" s="1"/>
  <c r="AQ726" i="1"/>
  <c r="AM726" i="1"/>
  <c r="AT725" i="1"/>
  <c r="AW725" i="1" s="1"/>
  <c r="AS725" i="1"/>
  <c r="AV725" i="1" s="1"/>
  <c r="AQ725" i="1"/>
  <c r="AM725" i="1"/>
  <c r="BF724" i="1"/>
  <c r="AT724" i="1"/>
  <c r="AW724" i="1" s="1"/>
  <c r="AS724" i="1"/>
  <c r="AV724" i="1" s="1"/>
  <c r="AQ724" i="1"/>
  <c r="AM724" i="1"/>
  <c r="BF723" i="1"/>
  <c r="AT723" i="1"/>
  <c r="AW723" i="1" s="1"/>
  <c r="AS723" i="1"/>
  <c r="AV723" i="1" s="1"/>
  <c r="AQ723" i="1"/>
  <c r="AM723" i="1"/>
  <c r="AT722" i="1"/>
  <c r="AW722" i="1" s="1"/>
  <c r="AS722" i="1"/>
  <c r="AV722" i="1" s="1"/>
  <c r="AQ722" i="1"/>
  <c r="AM722" i="1"/>
  <c r="P722" i="1"/>
  <c r="O722" i="1"/>
  <c r="N722" i="1"/>
  <c r="M722" i="1"/>
  <c r="L722" i="1"/>
  <c r="AT721" i="1"/>
  <c r="AW721" i="1" s="1"/>
  <c r="AS721" i="1"/>
  <c r="AV721" i="1" s="1"/>
  <c r="AQ721" i="1"/>
  <c r="AM721" i="1"/>
  <c r="AT720" i="1"/>
  <c r="AW720" i="1" s="1"/>
  <c r="AS720" i="1"/>
  <c r="AV720" i="1" s="1"/>
  <c r="AQ720" i="1"/>
  <c r="AM720" i="1"/>
  <c r="BF719" i="1"/>
  <c r="AT719" i="1"/>
  <c r="AW719" i="1" s="1"/>
  <c r="AS719" i="1"/>
  <c r="AV719" i="1" s="1"/>
  <c r="AQ719" i="1"/>
  <c r="AM719" i="1"/>
  <c r="BF718" i="1"/>
  <c r="AT718" i="1"/>
  <c r="AW718" i="1" s="1"/>
  <c r="AS718" i="1"/>
  <c r="AV718" i="1" s="1"/>
  <c r="AQ718" i="1"/>
  <c r="AM718" i="1"/>
  <c r="AT717" i="1"/>
  <c r="AW717" i="1" s="1"/>
  <c r="AS717" i="1"/>
  <c r="AV717" i="1" s="1"/>
  <c r="AQ717" i="1"/>
  <c r="AM717" i="1"/>
  <c r="P717" i="1"/>
  <c r="O717" i="1"/>
  <c r="N717" i="1"/>
  <c r="M717" i="1"/>
  <c r="L717" i="1"/>
  <c r="AT716" i="1"/>
  <c r="AW716" i="1" s="1"/>
  <c r="AS716" i="1"/>
  <c r="AV716" i="1" s="1"/>
  <c r="AQ716" i="1"/>
  <c r="AM716" i="1"/>
  <c r="AT715" i="1"/>
  <c r="AW715" i="1" s="1"/>
  <c r="AS715" i="1"/>
  <c r="AV715" i="1" s="1"/>
  <c r="AQ715" i="1"/>
  <c r="AM715" i="1"/>
  <c r="BF714" i="1"/>
  <c r="AT714" i="1"/>
  <c r="AW714" i="1" s="1"/>
  <c r="AS714" i="1"/>
  <c r="AV714" i="1" s="1"/>
  <c r="AQ714" i="1"/>
  <c r="AM714" i="1"/>
  <c r="BF713" i="1"/>
  <c r="AT713" i="1"/>
  <c r="AW713" i="1" s="1"/>
  <c r="AS713" i="1"/>
  <c r="AV713" i="1" s="1"/>
  <c r="AQ713" i="1"/>
  <c r="AM713" i="1"/>
  <c r="AT712" i="1"/>
  <c r="AW712" i="1" s="1"/>
  <c r="AS712" i="1"/>
  <c r="AV712" i="1" s="1"/>
  <c r="AQ712" i="1"/>
  <c r="AM712" i="1"/>
  <c r="P712" i="1"/>
  <c r="O712" i="1"/>
  <c r="N712" i="1"/>
  <c r="M712" i="1"/>
  <c r="L712" i="1"/>
  <c r="AT711" i="1"/>
  <c r="AW711" i="1" s="1"/>
  <c r="AS711" i="1"/>
  <c r="AV711" i="1" s="1"/>
  <c r="AQ711" i="1"/>
  <c r="AM711" i="1"/>
  <c r="AT710" i="1"/>
  <c r="AW710" i="1" s="1"/>
  <c r="AS710" i="1"/>
  <c r="AV710" i="1" s="1"/>
  <c r="AQ710" i="1"/>
  <c r="AM710" i="1"/>
  <c r="AT709" i="1"/>
  <c r="AW709" i="1" s="1"/>
  <c r="AS709" i="1"/>
  <c r="AV709" i="1" s="1"/>
  <c r="AQ709" i="1"/>
  <c r="AM709" i="1"/>
  <c r="AT708" i="1"/>
  <c r="AW708" i="1" s="1"/>
  <c r="AS708" i="1"/>
  <c r="AV708" i="1" s="1"/>
  <c r="AQ708" i="1"/>
  <c r="AM708" i="1"/>
  <c r="AT707" i="1"/>
  <c r="AW707" i="1" s="1"/>
  <c r="AS707" i="1"/>
  <c r="AV707" i="1" s="1"/>
  <c r="AQ707" i="1"/>
  <c r="AM707" i="1"/>
  <c r="P707" i="1"/>
  <c r="O707" i="1"/>
  <c r="N707" i="1"/>
  <c r="M707" i="1"/>
  <c r="L707" i="1"/>
  <c r="AT706" i="1"/>
  <c r="AW706" i="1" s="1"/>
  <c r="AS706" i="1"/>
  <c r="AV706" i="1" s="1"/>
  <c r="AQ706" i="1"/>
  <c r="AM706" i="1"/>
  <c r="AT705" i="1"/>
  <c r="AW705" i="1" s="1"/>
  <c r="AS705" i="1"/>
  <c r="AV705" i="1" s="1"/>
  <c r="AQ705" i="1"/>
  <c r="AM705" i="1"/>
  <c r="BF704" i="1"/>
  <c r="AT704" i="1"/>
  <c r="AW704" i="1" s="1"/>
  <c r="AS704" i="1"/>
  <c r="AV704" i="1" s="1"/>
  <c r="AQ704" i="1"/>
  <c r="AM704" i="1"/>
  <c r="BF703" i="1"/>
  <c r="AT703" i="1"/>
  <c r="AW703" i="1" s="1"/>
  <c r="AS703" i="1"/>
  <c r="AV703" i="1" s="1"/>
  <c r="AQ703" i="1"/>
  <c r="AM703" i="1"/>
  <c r="AT702" i="1"/>
  <c r="AW702" i="1" s="1"/>
  <c r="AS702" i="1"/>
  <c r="AV702" i="1" s="1"/>
  <c r="AQ702" i="1"/>
  <c r="AM702" i="1"/>
  <c r="P702" i="1"/>
  <c r="O702" i="1"/>
  <c r="N702" i="1"/>
  <c r="M702" i="1"/>
  <c r="L702" i="1"/>
  <c r="AT701" i="1"/>
  <c r="AW701" i="1" s="1"/>
  <c r="AS701" i="1"/>
  <c r="AV701" i="1" s="1"/>
  <c r="AQ701" i="1"/>
  <c r="AM701" i="1"/>
  <c r="AT700" i="1"/>
  <c r="AW700" i="1" s="1"/>
  <c r="AS700" i="1"/>
  <c r="AV700" i="1" s="1"/>
  <c r="AQ700" i="1"/>
  <c r="AM700" i="1"/>
  <c r="BF699" i="1"/>
  <c r="AT699" i="1"/>
  <c r="AW699" i="1" s="1"/>
  <c r="AS699" i="1"/>
  <c r="AV699" i="1" s="1"/>
  <c r="AQ699" i="1"/>
  <c r="AM699" i="1"/>
  <c r="BF698" i="1"/>
  <c r="AT698" i="1"/>
  <c r="AW698" i="1" s="1"/>
  <c r="AS698" i="1"/>
  <c r="AV698" i="1" s="1"/>
  <c r="AQ698" i="1"/>
  <c r="AM698" i="1"/>
  <c r="AT697" i="1"/>
  <c r="AW697" i="1" s="1"/>
  <c r="AS697" i="1"/>
  <c r="AV697" i="1" s="1"/>
  <c r="AQ697" i="1"/>
  <c r="AM697" i="1"/>
  <c r="P697" i="1"/>
  <c r="O697" i="1"/>
  <c r="N697" i="1"/>
  <c r="M697" i="1"/>
  <c r="L697" i="1"/>
  <c r="AT696" i="1"/>
  <c r="AW696" i="1" s="1"/>
  <c r="AS696" i="1"/>
  <c r="AV696" i="1" s="1"/>
  <c r="AQ696" i="1"/>
  <c r="AM696" i="1"/>
  <c r="AT695" i="1"/>
  <c r="AW695" i="1" s="1"/>
  <c r="AS695" i="1"/>
  <c r="AV695" i="1" s="1"/>
  <c r="AQ695" i="1"/>
  <c r="AM695" i="1"/>
  <c r="BF694" i="1"/>
  <c r="AT694" i="1"/>
  <c r="AW694" i="1" s="1"/>
  <c r="AS694" i="1"/>
  <c r="AV694" i="1" s="1"/>
  <c r="AQ694" i="1"/>
  <c r="AM694" i="1"/>
  <c r="BF693" i="1"/>
  <c r="AT693" i="1"/>
  <c r="AW693" i="1" s="1"/>
  <c r="AS693" i="1"/>
  <c r="AV693" i="1" s="1"/>
  <c r="AQ693" i="1"/>
  <c r="AM693" i="1"/>
  <c r="AT692" i="1"/>
  <c r="AW692" i="1" s="1"/>
  <c r="AS692" i="1"/>
  <c r="AV692" i="1" s="1"/>
  <c r="AQ692" i="1"/>
  <c r="AM692" i="1"/>
  <c r="P692" i="1"/>
  <c r="O692" i="1"/>
  <c r="N692" i="1"/>
  <c r="M692" i="1"/>
  <c r="L692" i="1"/>
  <c r="AT691" i="1"/>
  <c r="AW691" i="1" s="1"/>
  <c r="AS691" i="1"/>
  <c r="AV691" i="1" s="1"/>
  <c r="AQ691" i="1"/>
  <c r="AM691" i="1"/>
  <c r="AT690" i="1"/>
  <c r="AW690" i="1" s="1"/>
  <c r="AS690" i="1"/>
  <c r="AV690" i="1" s="1"/>
  <c r="AQ690" i="1"/>
  <c r="AM690" i="1"/>
  <c r="BF689" i="1"/>
  <c r="AT689" i="1"/>
  <c r="AW689" i="1" s="1"/>
  <c r="AS689" i="1"/>
  <c r="AV689" i="1" s="1"/>
  <c r="AQ689" i="1"/>
  <c r="AM689" i="1"/>
  <c r="BF688" i="1"/>
  <c r="AT688" i="1"/>
  <c r="AW688" i="1" s="1"/>
  <c r="AS688" i="1"/>
  <c r="AV688" i="1" s="1"/>
  <c r="AQ688" i="1"/>
  <c r="AM688" i="1"/>
  <c r="AT687" i="1"/>
  <c r="AW687" i="1" s="1"/>
  <c r="AS687" i="1"/>
  <c r="AV687" i="1" s="1"/>
  <c r="AQ687" i="1"/>
  <c r="AM687" i="1"/>
  <c r="P687" i="1"/>
  <c r="O687" i="1"/>
  <c r="N687" i="1"/>
  <c r="M687" i="1"/>
  <c r="L687" i="1"/>
  <c r="AT686" i="1"/>
  <c r="AW686" i="1" s="1"/>
  <c r="AS686" i="1"/>
  <c r="AV686" i="1" s="1"/>
  <c r="AQ686" i="1"/>
  <c r="AM686" i="1"/>
  <c r="AT685" i="1"/>
  <c r="AW685" i="1" s="1"/>
  <c r="AS685" i="1"/>
  <c r="AV685" i="1" s="1"/>
  <c r="AQ685" i="1"/>
  <c r="AM685" i="1"/>
  <c r="BF684" i="1"/>
  <c r="AT684" i="1"/>
  <c r="AW684" i="1" s="1"/>
  <c r="AS684" i="1"/>
  <c r="AV684" i="1" s="1"/>
  <c r="AQ684" i="1"/>
  <c r="AM684" i="1"/>
  <c r="BF683" i="1"/>
  <c r="AT683" i="1"/>
  <c r="AW683" i="1" s="1"/>
  <c r="AS683" i="1"/>
  <c r="AV683" i="1" s="1"/>
  <c r="AQ683" i="1"/>
  <c r="AM683" i="1"/>
  <c r="AT682" i="1"/>
  <c r="AW682" i="1" s="1"/>
  <c r="AS682" i="1"/>
  <c r="AV682" i="1" s="1"/>
  <c r="AQ682" i="1"/>
  <c r="AM682" i="1"/>
  <c r="P682" i="1"/>
  <c r="O682" i="1"/>
  <c r="N682" i="1"/>
  <c r="M682" i="1"/>
  <c r="L682" i="1"/>
  <c r="AT681" i="1"/>
  <c r="AW681" i="1" s="1"/>
  <c r="AS681" i="1"/>
  <c r="AV681" i="1" s="1"/>
  <c r="AQ681" i="1"/>
  <c r="AM681" i="1"/>
  <c r="AT680" i="1"/>
  <c r="AW680" i="1" s="1"/>
  <c r="AS680" i="1"/>
  <c r="AV680" i="1" s="1"/>
  <c r="AQ680" i="1"/>
  <c r="AM680" i="1"/>
  <c r="BF679" i="1"/>
  <c r="AT679" i="1"/>
  <c r="AW679" i="1" s="1"/>
  <c r="AS679" i="1"/>
  <c r="AV679" i="1" s="1"/>
  <c r="AQ679" i="1"/>
  <c r="AM679" i="1"/>
  <c r="BF678" i="1"/>
  <c r="AT678" i="1"/>
  <c r="AW678" i="1" s="1"/>
  <c r="AS678" i="1"/>
  <c r="AV678" i="1" s="1"/>
  <c r="AQ678" i="1"/>
  <c r="AM678" i="1"/>
  <c r="AT677" i="1"/>
  <c r="AW677" i="1" s="1"/>
  <c r="AS677" i="1"/>
  <c r="AV677" i="1" s="1"/>
  <c r="AQ677" i="1"/>
  <c r="AM677" i="1"/>
  <c r="P677" i="1"/>
  <c r="O677" i="1"/>
  <c r="N677" i="1"/>
  <c r="M677" i="1"/>
  <c r="L677" i="1"/>
  <c r="AT676" i="1"/>
  <c r="AW676" i="1" s="1"/>
  <c r="AS676" i="1"/>
  <c r="AV676" i="1" s="1"/>
  <c r="AQ676" i="1"/>
  <c r="AM676" i="1"/>
  <c r="AT675" i="1"/>
  <c r="AW675" i="1" s="1"/>
  <c r="AS675" i="1"/>
  <c r="AV675" i="1" s="1"/>
  <c r="AQ675" i="1"/>
  <c r="AM675" i="1"/>
  <c r="BF674" i="1"/>
  <c r="AT674" i="1"/>
  <c r="AW674" i="1" s="1"/>
  <c r="AS674" i="1"/>
  <c r="AV674" i="1" s="1"/>
  <c r="AQ674" i="1"/>
  <c r="AM674" i="1"/>
  <c r="BF673" i="1"/>
  <c r="AT673" i="1"/>
  <c r="AW673" i="1" s="1"/>
  <c r="AS673" i="1"/>
  <c r="AV673" i="1" s="1"/>
  <c r="AQ673" i="1"/>
  <c r="AM673" i="1"/>
  <c r="AT672" i="1"/>
  <c r="AW672" i="1" s="1"/>
  <c r="AS672" i="1"/>
  <c r="AV672" i="1" s="1"/>
  <c r="AQ672" i="1"/>
  <c r="AM672" i="1"/>
  <c r="P672" i="1"/>
  <c r="O672" i="1"/>
  <c r="N672" i="1"/>
  <c r="M672" i="1"/>
  <c r="L672" i="1"/>
  <c r="AT671" i="1"/>
  <c r="AW671" i="1" s="1"/>
  <c r="AS671" i="1"/>
  <c r="AV671" i="1" s="1"/>
  <c r="AQ671" i="1"/>
  <c r="AM671" i="1"/>
  <c r="AT670" i="1"/>
  <c r="AW670" i="1" s="1"/>
  <c r="AS670" i="1"/>
  <c r="AV670" i="1" s="1"/>
  <c r="AQ670" i="1"/>
  <c r="AM670" i="1"/>
  <c r="BF669" i="1"/>
  <c r="AT669" i="1"/>
  <c r="AW669" i="1" s="1"/>
  <c r="AS669" i="1"/>
  <c r="AV669" i="1" s="1"/>
  <c r="AQ669" i="1"/>
  <c r="AM669" i="1"/>
  <c r="BF668" i="1"/>
  <c r="AT668" i="1"/>
  <c r="AW668" i="1" s="1"/>
  <c r="AS668" i="1"/>
  <c r="AV668" i="1" s="1"/>
  <c r="AQ668" i="1"/>
  <c r="AM668" i="1"/>
  <c r="AT667" i="1"/>
  <c r="AW667" i="1" s="1"/>
  <c r="AS667" i="1"/>
  <c r="AV667" i="1" s="1"/>
  <c r="AQ667" i="1"/>
  <c r="AM667" i="1"/>
  <c r="P667" i="1"/>
  <c r="O667" i="1"/>
  <c r="N667" i="1"/>
  <c r="M667" i="1"/>
  <c r="L667" i="1"/>
  <c r="AT666" i="1"/>
  <c r="AW666" i="1" s="1"/>
  <c r="AS666" i="1"/>
  <c r="AV666" i="1" s="1"/>
  <c r="AQ666" i="1"/>
  <c r="AM666" i="1"/>
  <c r="AT665" i="1"/>
  <c r="AW665" i="1" s="1"/>
  <c r="AS665" i="1"/>
  <c r="AV665" i="1" s="1"/>
  <c r="AQ665" i="1"/>
  <c r="AM665" i="1"/>
  <c r="BF664" i="1"/>
  <c r="AT664" i="1"/>
  <c r="AW664" i="1" s="1"/>
  <c r="AS664" i="1"/>
  <c r="AV664" i="1" s="1"/>
  <c r="AQ664" i="1"/>
  <c r="AM664" i="1"/>
  <c r="BF663" i="1"/>
  <c r="AT663" i="1"/>
  <c r="AW663" i="1" s="1"/>
  <c r="AS663" i="1"/>
  <c r="AV663" i="1" s="1"/>
  <c r="AQ663" i="1"/>
  <c r="AM663" i="1"/>
  <c r="AT662" i="1"/>
  <c r="AW662" i="1" s="1"/>
  <c r="AS662" i="1"/>
  <c r="AV662" i="1" s="1"/>
  <c r="AQ662" i="1"/>
  <c r="AM662" i="1"/>
  <c r="P662" i="1"/>
  <c r="O662" i="1"/>
  <c r="N662" i="1"/>
  <c r="M662" i="1"/>
  <c r="L662" i="1"/>
  <c r="AT661" i="1"/>
  <c r="AW661" i="1" s="1"/>
  <c r="AS661" i="1"/>
  <c r="AV661" i="1" s="1"/>
  <c r="AQ661" i="1"/>
  <c r="AM661" i="1"/>
  <c r="AT660" i="1"/>
  <c r="AW660" i="1" s="1"/>
  <c r="AS660" i="1"/>
  <c r="AV660" i="1" s="1"/>
  <c r="AQ660" i="1"/>
  <c r="AM660" i="1"/>
  <c r="AT659" i="1"/>
  <c r="AW659" i="1" s="1"/>
  <c r="AS659" i="1"/>
  <c r="AV659" i="1" s="1"/>
  <c r="AQ659" i="1"/>
  <c r="AM659" i="1"/>
  <c r="AT658" i="1"/>
  <c r="AW658" i="1" s="1"/>
  <c r="AS658" i="1"/>
  <c r="AV658" i="1" s="1"/>
  <c r="AQ658" i="1"/>
  <c r="AM658" i="1"/>
  <c r="AT657" i="1"/>
  <c r="AW657" i="1" s="1"/>
  <c r="AS657" i="1"/>
  <c r="AV657" i="1" s="1"/>
  <c r="AQ657" i="1"/>
  <c r="AM657" i="1"/>
  <c r="P657" i="1"/>
  <c r="O657" i="1"/>
  <c r="N657" i="1"/>
  <c r="M657" i="1"/>
  <c r="L657" i="1"/>
  <c r="AT656" i="1"/>
  <c r="AW656" i="1" s="1"/>
  <c r="AS656" i="1"/>
  <c r="AV656" i="1" s="1"/>
  <c r="AQ656" i="1"/>
  <c r="AM656" i="1"/>
  <c r="AT655" i="1"/>
  <c r="AW655" i="1" s="1"/>
  <c r="AS655" i="1"/>
  <c r="AV655" i="1" s="1"/>
  <c r="AQ655" i="1"/>
  <c r="AM655" i="1"/>
  <c r="BF654" i="1"/>
  <c r="AT654" i="1"/>
  <c r="AW654" i="1" s="1"/>
  <c r="AS654" i="1"/>
  <c r="AV654" i="1" s="1"/>
  <c r="AQ654" i="1"/>
  <c r="AM654" i="1"/>
  <c r="BF653" i="1"/>
  <c r="AT653" i="1"/>
  <c r="AW653" i="1" s="1"/>
  <c r="AS653" i="1"/>
  <c r="AV653" i="1" s="1"/>
  <c r="AQ653" i="1"/>
  <c r="AM653" i="1"/>
  <c r="AT652" i="1"/>
  <c r="AW652" i="1" s="1"/>
  <c r="AS652" i="1"/>
  <c r="AV652" i="1" s="1"/>
  <c r="AQ652" i="1"/>
  <c r="AM652" i="1"/>
  <c r="P652" i="1"/>
  <c r="O652" i="1"/>
  <c r="N652" i="1"/>
  <c r="M652" i="1"/>
  <c r="L652" i="1"/>
  <c r="AT651" i="1"/>
  <c r="AW651" i="1" s="1"/>
  <c r="AS651" i="1"/>
  <c r="AV651" i="1" s="1"/>
  <c r="AQ651" i="1"/>
  <c r="AM651" i="1"/>
  <c r="AT650" i="1"/>
  <c r="AW650" i="1" s="1"/>
  <c r="AS650" i="1"/>
  <c r="AV650" i="1" s="1"/>
  <c r="AQ650" i="1"/>
  <c r="AM650" i="1"/>
  <c r="BF649" i="1"/>
  <c r="AT649" i="1"/>
  <c r="AW649" i="1" s="1"/>
  <c r="AS649" i="1"/>
  <c r="AV649" i="1" s="1"/>
  <c r="AQ649" i="1"/>
  <c r="AM649" i="1"/>
  <c r="BF648" i="1"/>
  <c r="AT648" i="1"/>
  <c r="AW648" i="1" s="1"/>
  <c r="AS648" i="1"/>
  <c r="AV648" i="1" s="1"/>
  <c r="AQ648" i="1"/>
  <c r="AM648" i="1"/>
  <c r="AT647" i="1"/>
  <c r="AW647" i="1" s="1"/>
  <c r="AS647" i="1"/>
  <c r="AV647" i="1" s="1"/>
  <c r="AQ647" i="1"/>
  <c r="AM647" i="1"/>
  <c r="P647" i="1"/>
  <c r="O647" i="1"/>
  <c r="N647" i="1"/>
  <c r="M647" i="1"/>
  <c r="L647" i="1"/>
  <c r="AT646" i="1"/>
  <c r="AW646" i="1" s="1"/>
  <c r="AS646" i="1"/>
  <c r="AV646" i="1" s="1"/>
  <c r="AQ646" i="1"/>
  <c r="AM646" i="1"/>
  <c r="AT645" i="1"/>
  <c r="AW645" i="1" s="1"/>
  <c r="AS645" i="1"/>
  <c r="AV645" i="1" s="1"/>
  <c r="AQ645" i="1"/>
  <c r="AM645" i="1"/>
  <c r="BF644" i="1"/>
  <c r="AT644" i="1"/>
  <c r="AW644" i="1" s="1"/>
  <c r="AS644" i="1"/>
  <c r="AV644" i="1" s="1"/>
  <c r="AQ644" i="1"/>
  <c r="AM644" i="1"/>
  <c r="BF643" i="1"/>
  <c r="AT643" i="1"/>
  <c r="AW643" i="1" s="1"/>
  <c r="AS643" i="1"/>
  <c r="AV643" i="1" s="1"/>
  <c r="AQ643" i="1"/>
  <c r="AM643" i="1"/>
  <c r="AT642" i="1"/>
  <c r="AW642" i="1" s="1"/>
  <c r="AS642" i="1"/>
  <c r="AV642" i="1" s="1"/>
  <c r="AQ642" i="1"/>
  <c r="AM642" i="1"/>
  <c r="P642" i="1"/>
  <c r="O642" i="1"/>
  <c r="N642" i="1"/>
  <c r="M642" i="1"/>
  <c r="L642" i="1"/>
  <c r="AT641" i="1"/>
  <c r="AW641" i="1" s="1"/>
  <c r="AS641" i="1"/>
  <c r="AV641" i="1" s="1"/>
  <c r="AQ641" i="1"/>
  <c r="AM641" i="1"/>
  <c r="AT640" i="1"/>
  <c r="AW640" i="1" s="1"/>
  <c r="AS640" i="1"/>
  <c r="AV640" i="1" s="1"/>
  <c r="AQ640" i="1"/>
  <c r="AM640" i="1"/>
  <c r="BF639" i="1"/>
  <c r="AT639" i="1"/>
  <c r="AW639" i="1" s="1"/>
  <c r="AS639" i="1"/>
  <c r="AV639" i="1" s="1"/>
  <c r="AQ639" i="1"/>
  <c r="AM639" i="1"/>
  <c r="BF638" i="1"/>
  <c r="AT638" i="1"/>
  <c r="AW638" i="1" s="1"/>
  <c r="AS638" i="1"/>
  <c r="AV638" i="1" s="1"/>
  <c r="AQ638" i="1"/>
  <c r="AM638" i="1"/>
  <c r="AT637" i="1"/>
  <c r="AW637" i="1" s="1"/>
  <c r="AS637" i="1"/>
  <c r="AV637" i="1" s="1"/>
  <c r="AQ637" i="1"/>
  <c r="AM637" i="1"/>
  <c r="P637" i="1"/>
  <c r="O637" i="1"/>
  <c r="N637" i="1"/>
  <c r="M637" i="1"/>
  <c r="L637" i="1"/>
  <c r="AT636" i="1"/>
  <c r="AW636" i="1" s="1"/>
  <c r="AS636" i="1"/>
  <c r="AV636" i="1" s="1"/>
  <c r="AQ636" i="1"/>
  <c r="AM636" i="1"/>
  <c r="AT635" i="1"/>
  <c r="AW635" i="1" s="1"/>
  <c r="AS635" i="1"/>
  <c r="AV635" i="1" s="1"/>
  <c r="AQ635" i="1"/>
  <c r="AM635" i="1"/>
  <c r="BF634" i="1"/>
  <c r="AT634" i="1"/>
  <c r="AW634" i="1" s="1"/>
  <c r="AS634" i="1"/>
  <c r="AV634" i="1" s="1"/>
  <c r="AQ634" i="1"/>
  <c r="AM634" i="1"/>
  <c r="BF633" i="1"/>
  <c r="AT633" i="1"/>
  <c r="AW633" i="1" s="1"/>
  <c r="AS633" i="1"/>
  <c r="AV633" i="1" s="1"/>
  <c r="AQ633" i="1"/>
  <c r="AM633" i="1"/>
  <c r="AT632" i="1"/>
  <c r="AW632" i="1" s="1"/>
  <c r="AS632" i="1"/>
  <c r="AV632" i="1" s="1"/>
  <c r="AQ632" i="1"/>
  <c r="AM632" i="1"/>
  <c r="P632" i="1"/>
  <c r="O632" i="1"/>
  <c r="N632" i="1"/>
  <c r="M632" i="1"/>
  <c r="L632" i="1"/>
  <c r="AT631" i="1"/>
  <c r="AW631" i="1" s="1"/>
  <c r="AS631" i="1"/>
  <c r="AV631" i="1" s="1"/>
  <c r="AQ631" i="1"/>
  <c r="AM631" i="1"/>
  <c r="AT630" i="1"/>
  <c r="AW630" i="1" s="1"/>
  <c r="AS630" i="1"/>
  <c r="AV630" i="1" s="1"/>
  <c r="AQ630" i="1"/>
  <c r="AM630" i="1"/>
  <c r="BF629" i="1"/>
  <c r="AT629" i="1"/>
  <c r="AW629" i="1" s="1"/>
  <c r="AS629" i="1"/>
  <c r="AV629" i="1" s="1"/>
  <c r="AQ629" i="1"/>
  <c r="AM629" i="1"/>
  <c r="BF628" i="1"/>
  <c r="AT628" i="1"/>
  <c r="AW628" i="1" s="1"/>
  <c r="AS628" i="1"/>
  <c r="AV628" i="1" s="1"/>
  <c r="AQ628" i="1"/>
  <c r="AM628" i="1"/>
  <c r="AT627" i="1"/>
  <c r="AW627" i="1" s="1"/>
  <c r="AS627" i="1"/>
  <c r="AV627" i="1" s="1"/>
  <c r="AQ627" i="1"/>
  <c r="AM627" i="1"/>
  <c r="P627" i="1"/>
  <c r="O627" i="1"/>
  <c r="N627" i="1"/>
  <c r="M627" i="1"/>
  <c r="L627" i="1"/>
  <c r="AT626" i="1"/>
  <c r="AW626" i="1" s="1"/>
  <c r="AS626" i="1"/>
  <c r="AV626" i="1" s="1"/>
  <c r="AQ626" i="1"/>
  <c r="AM626" i="1"/>
  <c r="AT625" i="1"/>
  <c r="AW625" i="1" s="1"/>
  <c r="AS625" i="1"/>
  <c r="AV625" i="1" s="1"/>
  <c r="AQ625" i="1"/>
  <c r="AM625" i="1"/>
  <c r="BF624" i="1"/>
  <c r="AT624" i="1"/>
  <c r="AW624" i="1" s="1"/>
  <c r="AS624" i="1"/>
  <c r="AV624" i="1" s="1"/>
  <c r="AQ624" i="1"/>
  <c r="AM624" i="1"/>
  <c r="BF623" i="1"/>
  <c r="AT623" i="1"/>
  <c r="AW623" i="1" s="1"/>
  <c r="AS623" i="1"/>
  <c r="AV623" i="1" s="1"/>
  <c r="AQ623" i="1"/>
  <c r="AM623" i="1"/>
  <c r="AT622" i="1"/>
  <c r="AW622" i="1" s="1"/>
  <c r="AS622" i="1"/>
  <c r="AV622" i="1" s="1"/>
  <c r="AQ622" i="1"/>
  <c r="AM622" i="1"/>
  <c r="P622" i="1"/>
  <c r="O622" i="1"/>
  <c r="N622" i="1"/>
  <c r="M622" i="1"/>
  <c r="L622" i="1"/>
  <c r="AT621" i="1"/>
  <c r="AW621" i="1" s="1"/>
  <c r="AS621" i="1"/>
  <c r="AV621" i="1" s="1"/>
  <c r="AQ621" i="1"/>
  <c r="AM621" i="1"/>
  <c r="AT620" i="1"/>
  <c r="AW620" i="1" s="1"/>
  <c r="AS620" i="1"/>
  <c r="AV620" i="1" s="1"/>
  <c r="AQ620" i="1"/>
  <c r="AM620" i="1"/>
  <c r="BF619" i="1"/>
  <c r="AT619" i="1"/>
  <c r="AW619" i="1" s="1"/>
  <c r="AS619" i="1"/>
  <c r="AV619" i="1" s="1"/>
  <c r="AQ619" i="1"/>
  <c r="AM619" i="1"/>
  <c r="BF618" i="1"/>
  <c r="AT618" i="1"/>
  <c r="AW618" i="1" s="1"/>
  <c r="AS618" i="1"/>
  <c r="AV618" i="1" s="1"/>
  <c r="AQ618" i="1"/>
  <c r="AM618" i="1"/>
  <c r="AT617" i="1"/>
  <c r="AW617" i="1" s="1"/>
  <c r="AS617" i="1"/>
  <c r="AV617" i="1" s="1"/>
  <c r="AQ617" i="1"/>
  <c r="AM617" i="1"/>
  <c r="P617" i="1"/>
  <c r="O617" i="1"/>
  <c r="N617" i="1"/>
  <c r="M617" i="1"/>
  <c r="L617" i="1"/>
  <c r="AT616" i="1"/>
  <c r="AW616" i="1" s="1"/>
  <c r="AS616" i="1"/>
  <c r="AV616" i="1" s="1"/>
  <c r="AQ616" i="1"/>
  <c r="AM616" i="1"/>
  <c r="AT615" i="1"/>
  <c r="AW615" i="1" s="1"/>
  <c r="AS615" i="1"/>
  <c r="AV615" i="1" s="1"/>
  <c r="AQ615" i="1"/>
  <c r="AM615" i="1"/>
  <c r="BF614" i="1"/>
  <c r="AT614" i="1"/>
  <c r="AW614" i="1" s="1"/>
  <c r="AS614" i="1"/>
  <c r="AV614" i="1" s="1"/>
  <c r="AQ614" i="1"/>
  <c r="AM614" i="1"/>
  <c r="BF613" i="1"/>
  <c r="AT613" i="1"/>
  <c r="AW613" i="1" s="1"/>
  <c r="AS613" i="1"/>
  <c r="AV613" i="1" s="1"/>
  <c r="AQ613" i="1"/>
  <c r="AM613" i="1"/>
  <c r="AT612" i="1"/>
  <c r="AW612" i="1" s="1"/>
  <c r="AS612" i="1"/>
  <c r="AV612" i="1" s="1"/>
  <c r="AQ612" i="1"/>
  <c r="AM612" i="1"/>
  <c r="P612" i="1"/>
  <c r="O612" i="1"/>
  <c r="N612" i="1"/>
  <c r="M612" i="1"/>
  <c r="L612" i="1"/>
  <c r="AT611" i="1"/>
  <c r="AW611" i="1" s="1"/>
  <c r="AS611" i="1"/>
  <c r="AV611" i="1" s="1"/>
  <c r="AQ611" i="1"/>
  <c r="AM611" i="1"/>
  <c r="AT610" i="1"/>
  <c r="AW610" i="1" s="1"/>
  <c r="AS610" i="1"/>
  <c r="AV610" i="1" s="1"/>
  <c r="AQ610" i="1"/>
  <c r="AM610" i="1"/>
  <c r="AT609" i="1"/>
  <c r="AW609" i="1" s="1"/>
  <c r="AS609" i="1"/>
  <c r="AV609" i="1" s="1"/>
  <c r="AQ609" i="1"/>
  <c r="AM609" i="1"/>
  <c r="AT608" i="1"/>
  <c r="AW608" i="1" s="1"/>
  <c r="AS608" i="1"/>
  <c r="AV608" i="1" s="1"/>
  <c r="AQ608" i="1"/>
  <c r="AM608" i="1"/>
  <c r="AT607" i="1"/>
  <c r="AW607" i="1" s="1"/>
  <c r="AS607" i="1"/>
  <c r="AV607" i="1" s="1"/>
  <c r="AQ607" i="1"/>
  <c r="AM607" i="1"/>
  <c r="P607" i="1"/>
  <c r="O607" i="1"/>
  <c r="N607" i="1"/>
  <c r="M607" i="1"/>
  <c r="L607" i="1"/>
  <c r="AT606" i="1"/>
  <c r="AW606" i="1" s="1"/>
  <c r="AS606" i="1"/>
  <c r="AV606" i="1" s="1"/>
  <c r="AQ606" i="1"/>
  <c r="AM606" i="1"/>
  <c r="AT605" i="1"/>
  <c r="AW605" i="1" s="1"/>
  <c r="AS605" i="1"/>
  <c r="AV605" i="1" s="1"/>
  <c r="AQ605" i="1"/>
  <c r="AM605" i="1"/>
  <c r="BF604" i="1"/>
  <c r="AT604" i="1"/>
  <c r="AW604" i="1" s="1"/>
  <c r="AS604" i="1"/>
  <c r="AV604" i="1" s="1"/>
  <c r="AQ604" i="1"/>
  <c r="AM604" i="1"/>
  <c r="BF603" i="1"/>
  <c r="AT603" i="1"/>
  <c r="AW603" i="1" s="1"/>
  <c r="AS603" i="1"/>
  <c r="AV603" i="1" s="1"/>
  <c r="AQ603" i="1"/>
  <c r="AM603" i="1"/>
  <c r="AT602" i="1"/>
  <c r="AW602" i="1" s="1"/>
  <c r="AS602" i="1"/>
  <c r="AV602" i="1" s="1"/>
  <c r="AQ602" i="1"/>
  <c r="AM602" i="1"/>
  <c r="P602" i="1"/>
  <c r="O602" i="1"/>
  <c r="N602" i="1"/>
  <c r="M602" i="1"/>
  <c r="L602" i="1"/>
  <c r="AT601" i="1"/>
  <c r="AW601" i="1" s="1"/>
  <c r="AS601" i="1"/>
  <c r="AV601" i="1" s="1"/>
  <c r="AQ601" i="1"/>
  <c r="AM601" i="1"/>
  <c r="AT600" i="1"/>
  <c r="AW600" i="1" s="1"/>
  <c r="AS600" i="1"/>
  <c r="AV600" i="1" s="1"/>
  <c r="AQ600" i="1"/>
  <c r="AM600" i="1"/>
  <c r="BF599" i="1"/>
  <c r="AT599" i="1"/>
  <c r="AW599" i="1" s="1"/>
  <c r="AS599" i="1"/>
  <c r="AV599" i="1" s="1"/>
  <c r="AQ599" i="1"/>
  <c r="AM599" i="1"/>
  <c r="BF598" i="1"/>
  <c r="AT598" i="1"/>
  <c r="AW598" i="1" s="1"/>
  <c r="AS598" i="1"/>
  <c r="AV598" i="1" s="1"/>
  <c r="AQ598" i="1"/>
  <c r="AM598" i="1"/>
  <c r="AT597" i="1"/>
  <c r="AW597" i="1" s="1"/>
  <c r="AS597" i="1"/>
  <c r="AV597" i="1" s="1"/>
  <c r="AQ597" i="1"/>
  <c r="AM597" i="1"/>
  <c r="P597" i="1"/>
  <c r="O597" i="1"/>
  <c r="N597" i="1"/>
  <c r="M597" i="1"/>
  <c r="L597" i="1"/>
  <c r="AT596" i="1"/>
  <c r="AW596" i="1" s="1"/>
  <c r="AS596" i="1"/>
  <c r="AV596" i="1" s="1"/>
  <c r="AQ596" i="1"/>
  <c r="AM596" i="1"/>
  <c r="AT595" i="1"/>
  <c r="AW595" i="1" s="1"/>
  <c r="AS595" i="1"/>
  <c r="AV595" i="1" s="1"/>
  <c r="AQ595" i="1"/>
  <c r="AM595" i="1"/>
  <c r="BF594" i="1"/>
  <c r="AT594" i="1"/>
  <c r="AW594" i="1" s="1"/>
  <c r="AS594" i="1"/>
  <c r="AV594" i="1" s="1"/>
  <c r="AQ594" i="1"/>
  <c r="AM594" i="1"/>
  <c r="BF593" i="1"/>
  <c r="AT593" i="1"/>
  <c r="AW593" i="1" s="1"/>
  <c r="AS593" i="1"/>
  <c r="AV593" i="1" s="1"/>
  <c r="AQ593" i="1"/>
  <c r="AM593" i="1"/>
  <c r="AT592" i="1"/>
  <c r="AW592" i="1" s="1"/>
  <c r="AS592" i="1"/>
  <c r="AV592" i="1" s="1"/>
  <c r="AQ592" i="1"/>
  <c r="AM592" i="1"/>
  <c r="P592" i="1"/>
  <c r="O592" i="1"/>
  <c r="N592" i="1"/>
  <c r="M592" i="1"/>
  <c r="L592" i="1"/>
  <c r="AT591" i="1"/>
  <c r="AW591" i="1" s="1"/>
  <c r="AS591" i="1"/>
  <c r="AV591" i="1" s="1"/>
  <c r="AQ591" i="1"/>
  <c r="AM591" i="1"/>
  <c r="AT590" i="1"/>
  <c r="AW590" i="1" s="1"/>
  <c r="AS590" i="1"/>
  <c r="AV590" i="1" s="1"/>
  <c r="AQ590" i="1"/>
  <c r="AM590" i="1"/>
  <c r="BF589" i="1"/>
  <c r="AT589" i="1"/>
  <c r="AW589" i="1" s="1"/>
  <c r="AS589" i="1"/>
  <c r="AV589" i="1" s="1"/>
  <c r="AQ589" i="1"/>
  <c r="AM589" i="1"/>
  <c r="BF588" i="1"/>
  <c r="AT588" i="1"/>
  <c r="AW588" i="1" s="1"/>
  <c r="AS588" i="1"/>
  <c r="AV588" i="1" s="1"/>
  <c r="AQ588" i="1"/>
  <c r="AM588" i="1"/>
  <c r="AT587" i="1"/>
  <c r="AW587" i="1" s="1"/>
  <c r="AS587" i="1"/>
  <c r="AV587" i="1" s="1"/>
  <c r="AQ587" i="1"/>
  <c r="AM587" i="1"/>
  <c r="P587" i="1"/>
  <c r="O587" i="1"/>
  <c r="N587" i="1"/>
  <c r="M587" i="1"/>
  <c r="L587" i="1"/>
  <c r="AT586" i="1"/>
  <c r="AW586" i="1" s="1"/>
  <c r="AS586" i="1"/>
  <c r="AV586" i="1" s="1"/>
  <c r="AQ586" i="1"/>
  <c r="AM586" i="1"/>
  <c r="AT585" i="1"/>
  <c r="AW585" i="1" s="1"/>
  <c r="AS585" i="1"/>
  <c r="AV585" i="1" s="1"/>
  <c r="AQ585" i="1"/>
  <c r="AM585" i="1"/>
  <c r="BF584" i="1"/>
  <c r="AT584" i="1"/>
  <c r="AW584" i="1" s="1"/>
  <c r="AS584" i="1"/>
  <c r="AV584" i="1" s="1"/>
  <c r="AQ584" i="1"/>
  <c r="AM584" i="1"/>
  <c r="BF583" i="1"/>
  <c r="AT583" i="1"/>
  <c r="AW583" i="1" s="1"/>
  <c r="AS583" i="1"/>
  <c r="AV583" i="1" s="1"/>
  <c r="AQ583" i="1"/>
  <c r="AM583" i="1"/>
  <c r="AT582" i="1"/>
  <c r="AW582" i="1" s="1"/>
  <c r="AS582" i="1"/>
  <c r="AV582" i="1" s="1"/>
  <c r="AQ582" i="1"/>
  <c r="AM582" i="1"/>
  <c r="P582" i="1"/>
  <c r="O582" i="1"/>
  <c r="N582" i="1"/>
  <c r="M582" i="1"/>
  <c r="L582" i="1"/>
  <c r="AT581" i="1"/>
  <c r="AW581" i="1" s="1"/>
  <c r="AS581" i="1"/>
  <c r="AV581" i="1" s="1"/>
  <c r="AQ581" i="1"/>
  <c r="AM581" i="1"/>
  <c r="AT580" i="1"/>
  <c r="AW580" i="1" s="1"/>
  <c r="AS580" i="1"/>
  <c r="AV580" i="1" s="1"/>
  <c r="AQ580" i="1"/>
  <c r="AM580" i="1"/>
  <c r="BF579" i="1"/>
  <c r="AT579" i="1"/>
  <c r="AW579" i="1" s="1"/>
  <c r="AS579" i="1"/>
  <c r="AV579" i="1" s="1"/>
  <c r="AQ579" i="1"/>
  <c r="AM579" i="1"/>
  <c r="BF578" i="1"/>
  <c r="AT578" i="1"/>
  <c r="AW578" i="1" s="1"/>
  <c r="AS578" i="1"/>
  <c r="AV578" i="1" s="1"/>
  <c r="AQ578" i="1"/>
  <c r="AM578" i="1"/>
  <c r="AT577" i="1"/>
  <c r="AW577" i="1" s="1"/>
  <c r="AS577" i="1"/>
  <c r="AV577" i="1" s="1"/>
  <c r="AQ577" i="1"/>
  <c r="AM577" i="1"/>
  <c r="P577" i="1"/>
  <c r="O577" i="1"/>
  <c r="N577" i="1"/>
  <c r="M577" i="1"/>
  <c r="L577" i="1"/>
  <c r="AT576" i="1"/>
  <c r="AW576" i="1" s="1"/>
  <c r="AS576" i="1"/>
  <c r="AV576" i="1" s="1"/>
  <c r="AQ576" i="1"/>
  <c r="AM576" i="1"/>
  <c r="AT575" i="1"/>
  <c r="AW575" i="1" s="1"/>
  <c r="AS575" i="1"/>
  <c r="AV575" i="1" s="1"/>
  <c r="AQ575" i="1"/>
  <c r="AM575" i="1"/>
  <c r="BF574" i="1"/>
  <c r="AT574" i="1"/>
  <c r="AW574" i="1" s="1"/>
  <c r="AS574" i="1"/>
  <c r="AV574" i="1" s="1"/>
  <c r="AQ574" i="1"/>
  <c r="AM574" i="1"/>
  <c r="BF573" i="1"/>
  <c r="AT573" i="1"/>
  <c r="AW573" i="1" s="1"/>
  <c r="AS573" i="1"/>
  <c r="AV573" i="1" s="1"/>
  <c r="AQ573" i="1"/>
  <c r="AM573" i="1"/>
  <c r="AT572" i="1"/>
  <c r="AW572" i="1" s="1"/>
  <c r="AS572" i="1"/>
  <c r="AV572" i="1" s="1"/>
  <c r="AQ572" i="1"/>
  <c r="AM572" i="1"/>
  <c r="P572" i="1"/>
  <c r="O572" i="1"/>
  <c r="N572" i="1"/>
  <c r="M572" i="1"/>
  <c r="L572" i="1"/>
  <c r="AT571" i="1"/>
  <c r="AW571" i="1" s="1"/>
  <c r="AS571" i="1"/>
  <c r="AV571" i="1" s="1"/>
  <c r="AQ571" i="1"/>
  <c r="AM571" i="1"/>
  <c r="AT570" i="1"/>
  <c r="AW570" i="1" s="1"/>
  <c r="AS570" i="1"/>
  <c r="AV570" i="1" s="1"/>
  <c r="AQ570" i="1"/>
  <c r="AM570" i="1"/>
  <c r="BF569" i="1"/>
  <c r="AT569" i="1"/>
  <c r="AW569" i="1" s="1"/>
  <c r="AS569" i="1"/>
  <c r="AV569" i="1" s="1"/>
  <c r="AQ569" i="1"/>
  <c r="AM569" i="1"/>
  <c r="BF568" i="1"/>
  <c r="AT568" i="1"/>
  <c r="AW568" i="1" s="1"/>
  <c r="AS568" i="1"/>
  <c r="AV568" i="1" s="1"/>
  <c r="AQ568" i="1"/>
  <c r="AM568" i="1"/>
  <c r="AT567" i="1"/>
  <c r="AW567" i="1" s="1"/>
  <c r="AS567" i="1"/>
  <c r="AV567" i="1" s="1"/>
  <c r="AQ567" i="1"/>
  <c r="AM567" i="1"/>
  <c r="P567" i="1"/>
  <c r="O567" i="1"/>
  <c r="N567" i="1"/>
  <c r="M567" i="1"/>
  <c r="L567" i="1"/>
  <c r="AT566" i="1"/>
  <c r="AW566" i="1" s="1"/>
  <c r="AS566" i="1"/>
  <c r="AV566" i="1" s="1"/>
  <c r="AQ566" i="1"/>
  <c r="AM566" i="1"/>
  <c r="AT565" i="1"/>
  <c r="AW565" i="1" s="1"/>
  <c r="AS565" i="1"/>
  <c r="AV565" i="1" s="1"/>
  <c r="AQ565" i="1"/>
  <c r="AM565" i="1"/>
  <c r="BF564" i="1"/>
  <c r="AT564" i="1"/>
  <c r="AW564" i="1" s="1"/>
  <c r="AS564" i="1"/>
  <c r="AV564" i="1" s="1"/>
  <c r="AQ564" i="1"/>
  <c r="AM564" i="1"/>
  <c r="BF563" i="1"/>
  <c r="AT563" i="1"/>
  <c r="AW563" i="1" s="1"/>
  <c r="AS563" i="1"/>
  <c r="AV563" i="1" s="1"/>
  <c r="AQ563" i="1"/>
  <c r="AM563" i="1"/>
  <c r="AT562" i="1"/>
  <c r="AW562" i="1" s="1"/>
  <c r="AS562" i="1"/>
  <c r="AV562" i="1" s="1"/>
  <c r="AQ562" i="1"/>
  <c r="AM562" i="1"/>
  <c r="P562" i="1"/>
  <c r="O562" i="1"/>
  <c r="N562" i="1"/>
  <c r="M562" i="1"/>
  <c r="L562" i="1"/>
  <c r="AT561" i="1"/>
  <c r="AW561" i="1" s="1"/>
  <c r="AS561" i="1"/>
  <c r="AV561" i="1" s="1"/>
  <c r="AQ561" i="1"/>
  <c r="AM561" i="1"/>
  <c r="AT560" i="1"/>
  <c r="AW560" i="1" s="1"/>
  <c r="AS560" i="1"/>
  <c r="AV560" i="1" s="1"/>
  <c r="AQ560" i="1"/>
  <c r="AM560" i="1"/>
  <c r="AT559" i="1"/>
  <c r="AW559" i="1" s="1"/>
  <c r="AS559" i="1"/>
  <c r="AV559" i="1" s="1"/>
  <c r="AQ559" i="1"/>
  <c r="AM559" i="1"/>
  <c r="AT558" i="1"/>
  <c r="AW558" i="1" s="1"/>
  <c r="AS558" i="1"/>
  <c r="AV558" i="1" s="1"/>
  <c r="AQ558" i="1"/>
  <c r="AM558" i="1"/>
  <c r="AT557" i="1"/>
  <c r="AW557" i="1" s="1"/>
  <c r="AS557" i="1"/>
  <c r="AV557" i="1" s="1"/>
  <c r="AQ557" i="1"/>
  <c r="AM557" i="1"/>
  <c r="P557" i="1"/>
  <c r="O557" i="1"/>
  <c r="N557" i="1"/>
  <c r="M557" i="1"/>
  <c r="L557" i="1"/>
  <c r="AT556" i="1"/>
  <c r="AW556" i="1" s="1"/>
  <c r="AS556" i="1"/>
  <c r="AV556" i="1" s="1"/>
  <c r="AQ556" i="1"/>
  <c r="AM556" i="1"/>
  <c r="AT555" i="1"/>
  <c r="AW555" i="1" s="1"/>
  <c r="AS555" i="1"/>
  <c r="AV555" i="1" s="1"/>
  <c r="AQ555" i="1"/>
  <c r="AM555" i="1"/>
  <c r="BF554" i="1"/>
  <c r="AT554" i="1"/>
  <c r="AW554" i="1" s="1"/>
  <c r="AS554" i="1"/>
  <c r="AV554" i="1" s="1"/>
  <c r="AQ554" i="1"/>
  <c r="AM554" i="1"/>
  <c r="BF553" i="1"/>
  <c r="AT553" i="1"/>
  <c r="AW553" i="1" s="1"/>
  <c r="AS553" i="1"/>
  <c r="AV553" i="1" s="1"/>
  <c r="AQ553" i="1"/>
  <c r="AM553" i="1"/>
  <c r="AT552" i="1"/>
  <c r="AW552" i="1" s="1"/>
  <c r="AS552" i="1"/>
  <c r="AV552" i="1" s="1"/>
  <c r="AQ552" i="1"/>
  <c r="AM552" i="1"/>
  <c r="P552" i="1"/>
  <c r="O552" i="1"/>
  <c r="N552" i="1"/>
  <c r="M552" i="1"/>
  <c r="L552" i="1"/>
  <c r="AT551" i="1"/>
  <c r="AW551" i="1" s="1"/>
  <c r="AS551" i="1"/>
  <c r="AV551" i="1" s="1"/>
  <c r="AQ551" i="1"/>
  <c r="AM551" i="1"/>
  <c r="AT550" i="1"/>
  <c r="AW550" i="1" s="1"/>
  <c r="AS550" i="1"/>
  <c r="AV550" i="1" s="1"/>
  <c r="AQ550" i="1"/>
  <c r="AM550" i="1"/>
  <c r="BF549" i="1"/>
  <c r="AT549" i="1"/>
  <c r="AW549" i="1" s="1"/>
  <c r="AS549" i="1"/>
  <c r="AV549" i="1" s="1"/>
  <c r="AQ549" i="1"/>
  <c r="AM549" i="1"/>
  <c r="BF548" i="1"/>
  <c r="AT548" i="1"/>
  <c r="AW548" i="1" s="1"/>
  <c r="AS548" i="1"/>
  <c r="AV548" i="1" s="1"/>
  <c r="AQ548" i="1"/>
  <c r="AM548" i="1"/>
  <c r="AT547" i="1"/>
  <c r="AW547" i="1" s="1"/>
  <c r="AS547" i="1"/>
  <c r="AV547" i="1" s="1"/>
  <c r="AQ547" i="1"/>
  <c r="AM547" i="1"/>
  <c r="P547" i="1"/>
  <c r="O547" i="1"/>
  <c r="N547" i="1"/>
  <c r="M547" i="1"/>
  <c r="L547" i="1"/>
  <c r="AT546" i="1"/>
  <c r="AW546" i="1" s="1"/>
  <c r="AS546" i="1"/>
  <c r="AV546" i="1" s="1"/>
  <c r="AQ546" i="1"/>
  <c r="AM546" i="1"/>
  <c r="AT545" i="1"/>
  <c r="AW545" i="1" s="1"/>
  <c r="AS545" i="1"/>
  <c r="AV545" i="1" s="1"/>
  <c r="AQ545" i="1"/>
  <c r="AM545" i="1"/>
  <c r="BF544" i="1"/>
  <c r="AT544" i="1"/>
  <c r="AW544" i="1" s="1"/>
  <c r="AS544" i="1"/>
  <c r="AV544" i="1" s="1"/>
  <c r="AQ544" i="1"/>
  <c r="AM544" i="1"/>
  <c r="BF543" i="1"/>
  <c r="AT543" i="1"/>
  <c r="AW543" i="1" s="1"/>
  <c r="AS543" i="1"/>
  <c r="AV543" i="1" s="1"/>
  <c r="AQ543" i="1"/>
  <c r="AM543" i="1"/>
  <c r="AT542" i="1"/>
  <c r="AW542" i="1" s="1"/>
  <c r="AS542" i="1"/>
  <c r="AV542" i="1" s="1"/>
  <c r="AQ542" i="1"/>
  <c r="AM542" i="1"/>
  <c r="P542" i="1"/>
  <c r="O542" i="1"/>
  <c r="N542" i="1"/>
  <c r="M542" i="1"/>
  <c r="L542" i="1"/>
  <c r="AT541" i="1"/>
  <c r="AW541" i="1" s="1"/>
  <c r="AS541" i="1"/>
  <c r="AV541" i="1" s="1"/>
  <c r="AQ541" i="1"/>
  <c r="AM541" i="1"/>
  <c r="AT540" i="1"/>
  <c r="AW540" i="1" s="1"/>
  <c r="AS540" i="1"/>
  <c r="AV540" i="1" s="1"/>
  <c r="AQ540" i="1"/>
  <c r="AM540" i="1"/>
  <c r="BF539" i="1"/>
  <c r="AT539" i="1"/>
  <c r="AW539" i="1" s="1"/>
  <c r="AS539" i="1"/>
  <c r="AV539" i="1" s="1"/>
  <c r="AQ539" i="1"/>
  <c r="AM539" i="1"/>
  <c r="BF538" i="1"/>
  <c r="AT538" i="1"/>
  <c r="AW538" i="1" s="1"/>
  <c r="AS538" i="1"/>
  <c r="AV538" i="1" s="1"/>
  <c r="AQ538" i="1"/>
  <c r="AM538" i="1"/>
  <c r="AT537" i="1"/>
  <c r="AW537" i="1" s="1"/>
  <c r="AS537" i="1"/>
  <c r="AV537" i="1" s="1"/>
  <c r="AQ537" i="1"/>
  <c r="AM537" i="1"/>
  <c r="P537" i="1"/>
  <c r="O537" i="1"/>
  <c r="N537" i="1"/>
  <c r="M537" i="1"/>
  <c r="L537" i="1"/>
  <c r="AT536" i="1"/>
  <c r="AW536" i="1" s="1"/>
  <c r="AS536" i="1"/>
  <c r="AV536" i="1" s="1"/>
  <c r="AQ536" i="1"/>
  <c r="AM536" i="1"/>
  <c r="AT535" i="1"/>
  <c r="AW535" i="1" s="1"/>
  <c r="AS535" i="1"/>
  <c r="AV535" i="1" s="1"/>
  <c r="AQ535" i="1"/>
  <c r="AM535" i="1"/>
  <c r="BF534" i="1"/>
  <c r="AT534" i="1"/>
  <c r="AW534" i="1" s="1"/>
  <c r="AS534" i="1"/>
  <c r="AV534" i="1" s="1"/>
  <c r="AQ534" i="1"/>
  <c r="AM534" i="1"/>
  <c r="BF533" i="1"/>
  <c r="AT533" i="1"/>
  <c r="AW533" i="1" s="1"/>
  <c r="AS533" i="1"/>
  <c r="AV533" i="1" s="1"/>
  <c r="AQ533" i="1"/>
  <c r="AM533" i="1"/>
  <c r="AT532" i="1"/>
  <c r="AW532" i="1" s="1"/>
  <c r="AS532" i="1"/>
  <c r="AV532" i="1" s="1"/>
  <c r="AQ532" i="1"/>
  <c r="AM532" i="1"/>
  <c r="P532" i="1"/>
  <c r="O532" i="1"/>
  <c r="N532" i="1"/>
  <c r="M532" i="1"/>
  <c r="L532" i="1"/>
  <c r="AT531" i="1"/>
  <c r="AW531" i="1" s="1"/>
  <c r="AS531" i="1"/>
  <c r="AV531" i="1" s="1"/>
  <c r="AQ531" i="1"/>
  <c r="AM531" i="1"/>
  <c r="AT530" i="1"/>
  <c r="AW530" i="1" s="1"/>
  <c r="AS530" i="1"/>
  <c r="AV530" i="1" s="1"/>
  <c r="AQ530" i="1"/>
  <c r="AM530" i="1"/>
  <c r="BF529" i="1"/>
  <c r="AT529" i="1"/>
  <c r="AW529" i="1" s="1"/>
  <c r="AS529" i="1"/>
  <c r="AV529" i="1" s="1"/>
  <c r="AQ529" i="1"/>
  <c r="AM529" i="1"/>
  <c r="BF528" i="1"/>
  <c r="AT528" i="1"/>
  <c r="AW528" i="1" s="1"/>
  <c r="AS528" i="1"/>
  <c r="AV528" i="1" s="1"/>
  <c r="AQ528" i="1"/>
  <c r="AM528" i="1"/>
  <c r="AT527" i="1"/>
  <c r="AW527" i="1" s="1"/>
  <c r="AS527" i="1"/>
  <c r="AV527" i="1" s="1"/>
  <c r="AQ527" i="1"/>
  <c r="AM527" i="1"/>
  <c r="P527" i="1"/>
  <c r="O527" i="1"/>
  <c r="N527" i="1"/>
  <c r="M527" i="1"/>
  <c r="L527" i="1"/>
  <c r="AT526" i="1"/>
  <c r="AW526" i="1" s="1"/>
  <c r="AS526" i="1"/>
  <c r="AV526" i="1" s="1"/>
  <c r="AQ526" i="1"/>
  <c r="AM526" i="1"/>
  <c r="AT525" i="1"/>
  <c r="AW525" i="1" s="1"/>
  <c r="AS525" i="1"/>
  <c r="AV525" i="1" s="1"/>
  <c r="AQ525" i="1"/>
  <c r="AM525" i="1"/>
  <c r="BF524" i="1"/>
  <c r="AT524" i="1"/>
  <c r="AW524" i="1" s="1"/>
  <c r="AS524" i="1"/>
  <c r="AV524" i="1" s="1"/>
  <c r="AQ524" i="1"/>
  <c r="AM524" i="1"/>
  <c r="BF523" i="1"/>
  <c r="AT523" i="1"/>
  <c r="AW523" i="1" s="1"/>
  <c r="AS523" i="1"/>
  <c r="AV523" i="1" s="1"/>
  <c r="AQ523" i="1"/>
  <c r="AM523" i="1"/>
  <c r="AT522" i="1"/>
  <c r="AW522" i="1" s="1"/>
  <c r="AS522" i="1"/>
  <c r="AV522" i="1" s="1"/>
  <c r="AQ522" i="1"/>
  <c r="AM522" i="1"/>
  <c r="P522" i="1"/>
  <c r="O522" i="1"/>
  <c r="N522" i="1"/>
  <c r="M522" i="1"/>
  <c r="L522" i="1"/>
  <c r="AT521" i="1"/>
  <c r="AW521" i="1" s="1"/>
  <c r="AS521" i="1"/>
  <c r="AV521" i="1" s="1"/>
  <c r="AQ521" i="1"/>
  <c r="AM521" i="1"/>
  <c r="AT520" i="1"/>
  <c r="AW520" i="1" s="1"/>
  <c r="AS520" i="1"/>
  <c r="AV520" i="1" s="1"/>
  <c r="AQ520" i="1"/>
  <c r="AM520" i="1"/>
  <c r="BF519" i="1"/>
  <c r="AT519" i="1"/>
  <c r="AW519" i="1" s="1"/>
  <c r="AS519" i="1"/>
  <c r="AV519" i="1" s="1"/>
  <c r="AQ519" i="1"/>
  <c r="AM519" i="1"/>
  <c r="BF518" i="1"/>
  <c r="AT518" i="1"/>
  <c r="AW518" i="1" s="1"/>
  <c r="AS518" i="1"/>
  <c r="AV518" i="1" s="1"/>
  <c r="AQ518" i="1"/>
  <c r="AM518" i="1"/>
  <c r="AT517" i="1"/>
  <c r="AW517" i="1" s="1"/>
  <c r="AS517" i="1"/>
  <c r="AV517" i="1" s="1"/>
  <c r="AQ517" i="1"/>
  <c r="AM517" i="1"/>
  <c r="P517" i="1"/>
  <c r="O517" i="1"/>
  <c r="N517" i="1"/>
  <c r="M517" i="1"/>
  <c r="L517" i="1"/>
  <c r="AT516" i="1"/>
  <c r="AW516" i="1" s="1"/>
  <c r="AS516" i="1"/>
  <c r="AV516" i="1" s="1"/>
  <c r="AQ516" i="1"/>
  <c r="AM516" i="1"/>
  <c r="AT515" i="1"/>
  <c r="AW515" i="1" s="1"/>
  <c r="AS515" i="1"/>
  <c r="AV515" i="1" s="1"/>
  <c r="AQ515" i="1"/>
  <c r="AM515" i="1"/>
  <c r="BF514" i="1"/>
  <c r="AT514" i="1"/>
  <c r="AW514" i="1" s="1"/>
  <c r="AS514" i="1"/>
  <c r="AV514" i="1" s="1"/>
  <c r="AQ514" i="1"/>
  <c r="AM514" i="1"/>
  <c r="BF513" i="1"/>
  <c r="AT513" i="1"/>
  <c r="AW513" i="1" s="1"/>
  <c r="AS513" i="1"/>
  <c r="AV513" i="1" s="1"/>
  <c r="AQ513" i="1"/>
  <c r="AM513" i="1"/>
  <c r="AT512" i="1"/>
  <c r="AW512" i="1" s="1"/>
  <c r="AS512" i="1"/>
  <c r="AV512" i="1" s="1"/>
  <c r="AQ512" i="1"/>
  <c r="AM512" i="1"/>
  <c r="P512" i="1"/>
  <c r="O512" i="1"/>
  <c r="N512" i="1"/>
  <c r="M512" i="1"/>
  <c r="L512" i="1"/>
  <c r="AT511" i="1"/>
  <c r="AW511" i="1" s="1"/>
  <c r="AS511" i="1"/>
  <c r="AV511" i="1" s="1"/>
  <c r="AQ511" i="1"/>
  <c r="AM511" i="1"/>
  <c r="AT510" i="1"/>
  <c r="AW510" i="1" s="1"/>
  <c r="AS510" i="1"/>
  <c r="AV510" i="1" s="1"/>
  <c r="AQ510" i="1"/>
  <c r="AM510" i="1"/>
  <c r="AT509" i="1"/>
  <c r="AW509" i="1" s="1"/>
  <c r="AS509" i="1"/>
  <c r="AV509" i="1" s="1"/>
  <c r="AQ509" i="1"/>
  <c r="AM509" i="1"/>
  <c r="AT508" i="1"/>
  <c r="AW508" i="1" s="1"/>
  <c r="AS508" i="1"/>
  <c r="AV508" i="1" s="1"/>
  <c r="AQ508" i="1"/>
  <c r="AM508" i="1"/>
  <c r="AT507" i="1"/>
  <c r="AW507" i="1" s="1"/>
  <c r="AS507" i="1"/>
  <c r="AV507" i="1" s="1"/>
  <c r="AQ507" i="1"/>
  <c r="AM507" i="1"/>
  <c r="P507" i="1"/>
  <c r="O507" i="1"/>
  <c r="N507" i="1"/>
  <c r="M507" i="1"/>
  <c r="L507" i="1"/>
  <c r="AT506" i="1"/>
  <c r="AW506" i="1" s="1"/>
  <c r="AS506" i="1"/>
  <c r="AV506" i="1" s="1"/>
  <c r="AQ506" i="1"/>
  <c r="AM506" i="1"/>
  <c r="AT505" i="1"/>
  <c r="AW505" i="1" s="1"/>
  <c r="AS505" i="1"/>
  <c r="AV505" i="1" s="1"/>
  <c r="AQ505" i="1"/>
  <c r="AM505" i="1"/>
  <c r="BF504" i="1"/>
  <c r="AT504" i="1"/>
  <c r="AW504" i="1" s="1"/>
  <c r="AS504" i="1"/>
  <c r="AV504" i="1" s="1"/>
  <c r="AQ504" i="1"/>
  <c r="AM504" i="1"/>
  <c r="BF503" i="1"/>
  <c r="AT503" i="1"/>
  <c r="AW503" i="1" s="1"/>
  <c r="AS503" i="1"/>
  <c r="AV503" i="1" s="1"/>
  <c r="AQ503" i="1"/>
  <c r="AM503" i="1"/>
  <c r="AT502" i="1"/>
  <c r="AW502" i="1" s="1"/>
  <c r="AS502" i="1"/>
  <c r="AV502" i="1" s="1"/>
  <c r="AQ502" i="1"/>
  <c r="AM502" i="1"/>
  <c r="P502" i="1"/>
  <c r="O502" i="1"/>
  <c r="N502" i="1"/>
  <c r="M502" i="1"/>
  <c r="L502" i="1"/>
  <c r="AT501" i="1"/>
  <c r="AW501" i="1" s="1"/>
  <c r="AS501" i="1"/>
  <c r="AV501" i="1" s="1"/>
  <c r="AQ501" i="1"/>
  <c r="AM501" i="1"/>
  <c r="AT500" i="1"/>
  <c r="AW500" i="1" s="1"/>
  <c r="AS500" i="1"/>
  <c r="AV500" i="1" s="1"/>
  <c r="AQ500" i="1"/>
  <c r="AM500" i="1"/>
  <c r="BF499" i="1"/>
  <c r="AT499" i="1"/>
  <c r="AW499" i="1" s="1"/>
  <c r="AS499" i="1"/>
  <c r="AV499" i="1" s="1"/>
  <c r="AQ499" i="1"/>
  <c r="AM499" i="1"/>
  <c r="BF498" i="1"/>
  <c r="AT498" i="1"/>
  <c r="AW498" i="1" s="1"/>
  <c r="AS498" i="1"/>
  <c r="AV498" i="1" s="1"/>
  <c r="AQ498" i="1"/>
  <c r="AM498" i="1"/>
  <c r="AT497" i="1"/>
  <c r="AW497" i="1" s="1"/>
  <c r="AS497" i="1"/>
  <c r="AV497" i="1" s="1"/>
  <c r="AQ497" i="1"/>
  <c r="AM497" i="1"/>
  <c r="P497" i="1"/>
  <c r="O497" i="1"/>
  <c r="N497" i="1"/>
  <c r="M497" i="1"/>
  <c r="L497" i="1"/>
  <c r="AT496" i="1"/>
  <c r="AW496" i="1" s="1"/>
  <c r="AS496" i="1"/>
  <c r="AV496" i="1" s="1"/>
  <c r="AQ496" i="1"/>
  <c r="AM496" i="1"/>
  <c r="AT495" i="1"/>
  <c r="AW495" i="1" s="1"/>
  <c r="AS495" i="1"/>
  <c r="AV495" i="1" s="1"/>
  <c r="AQ495" i="1"/>
  <c r="AM495" i="1"/>
  <c r="BF494" i="1"/>
  <c r="AT494" i="1"/>
  <c r="AW494" i="1" s="1"/>
  <c r="AS494" i="1"/>
  <c r="AV494" i="1" s="1"/>
  <c r="AQ494" i="1"/>
  <c r="AM494" i="1"/>
  <c r="BF493" i="1"/>
  <c r="AT493" i="1"/>
  <c r="AW493" i="1" s="1"/>
  <c r="AS493" i="1"/>
  <c r="AV493" i="1" s="1"/>
  <c r="AQ493" i="1"/>
  <c r="AM493" i="1"/>
  <c r="AT492" i="1"/>
  <c r="AW492" i="1" s="1"/>
  <c r="AS492" i="1"/>
  <c r="AV492" i="1" s="1"/>
  <c r="AQ492" i="1"/>
  <c r="AM492" i="1"/>
  <c r="P492" i="1"/>
  <c r="O492" i="1"/>
  <c r="N492" i="1"/>
  <c r="M492" i="1"/>
  <c r="L492" i="1"/>
  <c r="AT491" i="1"/>
  <c r="AW491" i="1" s="1"/>
  <c r="AS491" i="1"/>
  <c r="AV491" i="1" s="1"/>
  <c r="AQ491" i="1"/>
  <c r="AM491" i="1"/>
  <c r="AT490" i="1"/>
  <c r="AW490" i="1" s="1"/>
  <c r="AS490" i="1"/>
  <c r="AV490" i="1" s="1"/>
  <c r="AQ490" i="1"/>
  <c r="AM490" i="1"/>
  <c r="BF489" i="1"/>
  <c r="AT489" i="1"/>
  <c r="AW489" i="1" s="1"/>
  <c r="AS489" i="1"/>
  <c r="AV489" i="1" s="1"/>
  <c r="AQ489" i="1"/>
  <c r="AM489" i="1"/>
  <c r="BF488" i="1"/>
  <c r="AT488" i="1"/>
  <c r="AW488" i="1" s="1"/>
  <c r="AS488" i="1"/>
  <c r="AV488" i="1" s="1"/>
  <c r="AQ488" i="1"/>
  <c r="AM488" i="1"/>
  <c r="AT487" i="1"/>
  <c r="AW487" i="1" s="1"/>
  <c r="AS487" i="1"/>
  <c r="AV487" i="1" s="1"/>
  <c r="AQ487" i="1"/>
  <c r="AM487" i="1"/>
  <c r="P487" i="1"/>
  <c r="O487" i="1"/>
  <c r="N487" i="1"/>
  <c r="M487" i="1"/>
  <c r="L487" i="1"/>
  <c r="AT486" i="1"/>
  <c r="AW486" i="1" s="1"/>
  <c r="AS486" i="1"/>
  <c r="AV486" i="1" s="1"/>
  <c r="AQ486" i="1"/>
  <c r="AM486" i="1"/>
  <c r="AT485" i="1"/>
  <c r="AW485" i="1" s="1"/>
  <c r="AS485" i="1"/>
  <c r="AV485" i="1" s="1"/>
  <c r="AQ485" i="1"/>
  <c r="AM485" i="1"/>
  <c r="BF484" i="1"/>
  <c r="AT484" i="1"/>
  <c r="AW484" i="1" s="1"/>
  <c r="AS484" i="1"/>
  <c r="AV484" i="1" s="1"/>
  <c r="AQ484" i="1"/>
  <c r="AM484" i="1"/>
  <c r="BF483" i="1"/>
  <c r="AT483" i="1"/>
  <c r="AW483" i="1" s="1"/>
  <c r="AS483" i="1"/>
  <c r="AV483" i="1" s="1"/>
  <c r="AQ483" i="1"/>
  <c r="AM483" i="1"/>
  <c r="AT482" i="1"/>
  <c r="AW482" i="1" s="1"/>
  <c r="AS482" i="1"/>
  <c r="AV482" i="1" s="1"/>
  <c r="AQ482" i="1"/>
  <c r="AM482" i="1"/>
  <c r="P482" i="1"/>
  <c r="O482" i="1"/>
  <c r="N482" i="1"/>
  <c r="M482" i="1"/>
  <c r="L482" i="1"/>
  <c r="AT481" i="1"/>
  <c r="AW481" i="1" s="1"/>
  <c r="AS481" i="1"/>
  <c r="AV481" i="1" s="1"/>
  <c r="AQ481" i="1"/>
  <c r="AM481" i="1"/>
  <c r="AT480" i="1"/>
  <c r="AW480" i="1" s="1"/>
  <c r="AS480" i="1"/>
  <c r="AV480" i="1" s="1"/>
  <c r="AQ480" i="1"/>
  <c r="AM480" i="1"/>
  <c r="BF479" i="1"/>
  <c r="AT479" i="1"/>
  <c r="AW479" i="1" s="1"/>
  <c r="AS479" i="1"/>
  <c r="AV479" i="1" s="1"/>
  <c r="AQ479" i="1"/>
  <c r="AM479" i="1"/>
  <c r="BF478" i="1"/>
  <c r="AT478" i="1"/>
  <c r="AW478" i="1" s="1"/>
  <c r="AS478" i="1"/>
  <c r="AV478" i="1" s="1"/>
  <c r="AQ478" i="1"/>
  <c r="AM478" i="1"/>
  <c r="AT477" i="1"/>
  <c r="AW477" i="1" s="1"/>
  <c r="AS477" i="1"/>
  <c r="AV477" i="1" s="1"/>
  <c r="AQ477" i="1"/>
  <c r="AM477" i="1"/>
  <c r="P477" i="1"/>
  <c r="O477" i="1"/>
  <c r="N477" i="1"/>
  <c r="M477" i="1"/>
  <c r="L477" i="1"/>
  <c r="AT476" i="1"/>
  <c r="AW476" i="1" s="1"/>
  <c r="AS476" i="1"/>
  <c r="AV476" i="1" s="1"/>
  <c r="AQ476" i="1"/>
  <c r="AM476" i="1"/>
  <c r="AT475" i="1"/>
  <c r="AW475" i="1" s="1"/>
  <c r="AS475" i="1"/>
  <c r="AV475" i="1" s="1"/>
  <c r="AQ475" i="1"/>
  <c r="AM475" i="1"/>
  <c r="BF474" i="1"/>
  <c r="AT474" i="1"/>
  <c r="AW474" i="1" s="1"/>
  <c r="AS474" i="1"/>
  <c r="AV474" i="1" s="1"/>
  <c r="AQ474" i="1"/>
  <c r="AM474" i="1"/>
  <c r="BF473" i="1"/>
  <c r="AT473" i="1"/>
  <c r="AW473" i="1" s="1"/>
  <c r="AS473" i="1"/>
  <c r="AV473" i="1" s="1"/>
  <c r="AQ473" i="1"/>
  <c r="AM473" i="1"/>
  <c r="AT472" i="1"/>
  <c r="AW472" i="1" s="1"/>
  <c r="AS472" i="1"/>
  <c r="AV472" i="1" s="1"/>
  <c r="AQ472" i="1"/>
  <c r="AM472" i="1"/>
  <c r="P472" i="1"/>
  <c r="O472" i="1"/>
  <c r="N472" i="1"/>
  <c r="M472" i="1"/>
  <c r="L472" i="1"/>
  <c r="AT471" i="1"/>
  <c r="AW471" i="1" s="1"/>
  <c r="AS471" i="1"/>
  <c r="AV471" i="1" s="1"/>
  <c r="AQ471" i="1"/>
  <c r="AM471" i="1"/>
  <c r="AT470" i="1"/>
  <c r="AW470" i="1" s="1"/>
  <c r="AS470" i="1"/>
  <c r="AV470" i="1" s="1"/>
  <c r="AQ470" i="1"/>
  <c r="AM470" i="1"/>
  <c r="BF469" i="1"/>
  <c r="AT469" i="1"/>
  <c r="AW469" i="1" s="1"/>
  <c r="AS469" i="1"/>
  <c r="AV469" i="1" s="1"/>
  <c r="AQ469" i="1"/>
  <c r="AM469" i="1"/>
  <c r="BF468" i="1"/>
  <c r="AT468" i="1"/>
  <c r="AW468" i="1" s="1"/>
  <c r="AS468" i="1"/>
  <c r="AV468" i="1" s="1"/>
  <c r="AQ468" i="1"/>
  <c r="AM468" i="1"/>
  <c r="AT467" i="1"/>
  <c r="AW467" i="1" s="1"/>
  <c r="AS467" i="1"/>
  <c r="AV467" i="1" s="1"/>
  <c r="AQ467" i="1"/>
  <c r="AM467" i="1"/>
  <c r="P467" i="1"/>
  <c r="O467" i="1"/>
  <c r="N467" i="1"/>
  <c r="M467" i="1"/>
  <c r="L467" i="1"/>
  <c r="AT466" i="1"/>
  <c r="AW466" i="1" s="1"/>
  <c r="AS466" i="1"/>
  <c r="AV466" i="1" s="1"/>
  <c r="AQ466" i="1"/>
  <c r="AM466" i="1"/>
  <c r="AT465" i="1"/>
  <c r="AW465" i="1" s="1"/>
  <c r="AS465" i="1"/>
  <c r="AV465" i="1" s="1"/>
  <c r="AQ465" i="1"/>
  <c r="AM465" i="1"/>
  <c r="BF464" i="1"/>
  <c r="AT464" i="1"/>
  <c r="AW464" i="1" s="1"/>
  <c r="AS464" i="1"/>
  <c r="AV464" i="1" s="1"/>
  <c r="AQ464" i="1"/>
  <c r="AM464" i="1"/>
  <c r="BF463" i="1"/>
  <c r="AT463" i="1"/>
  <c r="AW463" i="1" s="1"/>
  <c r="AS463" i="1"/>
  <c r="AV463" i="1" s="1"/>
  <c r="AQ463" i="1"/>
  <c r="AM463" i="1"/>
  <c r="AT462" i="1"/>
  <c r="AW462" i="1" s="1"/>
  <c r="AS462" i="1"/>
  <c r="AV462" i="1" s="1"/>
  <c r="AQ462" i="1"/>
  <c r="AM462" i="1"/>
  <c r="P462" i="1"/>
  <c r="O462" i="1"/>
  <c r="N462" i="1"/>
  <c r="M462" i="1"/>
  <c r="L462" i="1"/>
  <c r="AT461" i="1"/>
  <c r="AW461" i="1" s="1"/>
  <c r="AS461" i="1"/>
  <c r="AV461" i="1" s="1"/>
  <c r="AQ461" i="1"/>
  <c r="AM461" i="1"/>
  <c r="AT460" i="1"/>
  <c r="AW460" i="1" s="1"/>
  <c r="AS460" i="1"/>
  <c r="AV460" i="1" s="1"/>
  <c r="AQ460" i="1"/>
  <c r="AM460" i="1"/>
  <c r="AT459" i="1"/>
  <c r="AW459" i="1" s="1"/>
  <c r="AS459" i="1"/>
  <c r="AV459" i="1" s="1"/>
  <c r="AQ459" i="1"/>
  <c r="AM459" i="1"/>
  <c r="AT458" i="1"/>
  <c r="AW458" i="1" s="1"/>
  <c r="AS458" i="1"/>
  <c r="AV458" i="1" s="1"/>
  <c r="AQ458" i="1"/>
  <c r="AM458" i="1"/>
  <c r="AT457" i="1"/>
  <c r="AW457" i="1" s="1"/>
  <c r="AS457" i="1"/>
  <c r="AV457" i="1" s="1"/>
  <c r="AQ457" i="1"/>
  <c r="AM457" i="1"/>
  <c r="P457" i="1"/>
  <c r="O457" i="1"/>
  <c r="N457" i="1"/>
  <c r="M457" i="1"/>
  <c r="L457" i="1"/>
  <c r="AT456" i="1"/>
  <c r="AW456" i="1" s="1"/>
  <c r="AS456" i="1"/>
  <c r="AV456" i="1" s="1"/>
  <c r="AQ456" i="1"/>
  <c r="AM456" i="1"/>
  <c r="AT455" i="1"/>
  <c r="AW455" i="1" s="1"/>
  <c r="AS455" i="1"/>
  <c r="AV455" i="1" s="1"/>
  <c r="AQ455" i="1"/>
  <c r="AM455" i="1"/>
  <c r="BF454" i="1"/>
  <c r="AT454" i="1"/>
  <c r="AW454" i="1" s="1"/>
  <c r="AS454" i="1"/>
  <c r="AV454" i="1" s="1"/>
  <c r="AQ454" i="1"/>
  <c r="AM454" i="1"/>
  <c r="BF453" i="1"/>
  <c r="AT453" i="1"/>
  <c r="AW453" i="1" s="1"/>
  <c r="AS453" i="1"/>
  <c r="AV453" i="1" s="1"/>
  <c r="AQ453" i="1"/>
  <c r="AM453" i="1"/>
  <c r="AT452" i="1"/>
  <c r="AW452" i="1" s="1"/>
  <c r="AS452" i="1"/>
  <c r="AV452" i="1" s="1"/>
  <c r="AQ452" i="1"/>
  <c r="AM452" i="1"/>
  <c r="P452" i="1"/>
  <c r="O452" i="1"/>
  <c r="N452" i="1"/>
  <c r="M452" i="1"/>
  <c r="L452" i="1"/>
  <c r="AT451" i="1"/>
  <c r="AW451" i="1" s="1"/>
  <c r="AS451" i="1"/>
  <c r="AV451" i="1" s="1"/>
  <c r="AQ451" i="1"/>
  <c r="AM451" i="1"/>
  <c r="AT450" i="1"/>
  <c r="AW450" i="1" s="1"/>
  <c r="AS450" i="1"/>
  <c r="AV450" i="1" s="1"/>
  <c r="AQ450" i="1"/>
  <c r="AM450" i="1"/>
  <c r="BF449" i="1"/>
  <c r="AT449" i="1"/>
  <c r="AW449" i="1" s="1"/>
  <c r="AS449" i="1"/>
  <c r="AV449" i="1" s="1"/>
  <c r="AQ449" i="1"/>
  <c r="AM449" i="1"/>
  <c r="BF448" i="1"/>
  <c r="AT448" i="1"/>
  <c r="AW448" i="1" s="1"/>
  <c r="AS448" i="1"/>
  <c r="AV448" i="1" s="1"/>
  <c r="AQ448" i="1"/>
  <c r="AM448" i="1"/>
  <c r="AT447" i="1"/>
  <c r="AW447" i="1" s="1"/>
  <c r="AS447" i="1"/>
  <c r="AV447" i="1" s="1"/>
  <c r="AQ447" i="1"/>
  <c r="AM447" i="1"/>
  <c r="P447" i="1"/>
  <c r="O447" i="1"/>
  <c r="N447" i="1"/>
  <c r="M447" i="1"/>
  <c r="L447" i="1"/>
  <c r="AT446" i="1"/>
  <c r="AW446" i="1" s="1"/>
  <c r="AS446" i="1"/>
  <c r="AV446" i="1" s="1"/>
  <c r="AQ446" i="1"/>
  <c r="AM446" i="1"/>
  <c r="AT445" i="1"/>
  <c r="AW445" i="1" s="1"/>
  <c r="AS445" i="1"/>
  <c r="AV445" i="1" s="1"/>
  <c r="AQ445" i="1"/>
  <c r="AM445" i="1"/>
  <c r="BF444" i="1"/>
  <c r="AT444" i="1"/>
  <c r="AW444" i="1" s="1"/>
  <c r="AS444" i="1"/>
  <c r="AV444" i="1" s="1"/>
  <c r="AQ444" i="1"/>
  <c r="AM444" i="1"/>
  <c r="BF443" i="1"/>
  <c r="AT443" i="1"/>
  <c r="AW443" i="1" s="1"/>
  <c r="AS443" i="1"/>
  <c r="AV443" i="1" s="1"/>
  <c r="AQ443" i="1"/>
  <c r="AM443" i="1"/>
  <c r="AT442" i="1"/>
  <c r="AW442" i="1" s="1"/>
  <c r="AS442" i="1"/>
  <c r="AV442" i="1" s="1"/>
  <c r="AQ442" i="1"/>
  <c r="AM442" i="1"/>
  <c r="P442" i="1"/>
  <c r="O442" i="1"/>
  <c r="N442" i="1"/>
  <c r="M442" i="1"/>
  <c r="L442" i="1"/>
  <c r="AT441" i="1"/>
  <c r="AW441" i="1" s="1"/>
  <c r="AS441" i="1"/>
  <c r="AV441" i="1" s="1"/>
  <c r="AQ441" i="1"/>
  <c r="AM441" i="1"/>
  <c r="AT440" i="1"/>
  <c r="AW440" i="1" s="1"/>
  <c r="AS440" i="1"/>
  <c r="AV440" i="1" s="1"/>
  <c r="AQ440" i="1"/>
  <c r="AM440" i="1"/>
  <c r="BF439" i="1"/>
  <c r="AT439" i="1"/>
  <c r="AW439" i="1" s="1"/>
  <c r="AS439" i="1"/>
  <c r="AV439" i="1" s="1"/>
  <c r="AQ439" i="1"/>
  <c r="AM439" i="1"/>
  <c r="BF438" i="1"/>
  <c r="AT438" i="1"/>
  <c r="AW438" i="1" s="1"/>
  <c r="AS438" i="1"/>
  <c r="AV438" i="1" s="1"/>
  <c r="AQ438" i="1"/>
  <c r="AM438" i="1"/>
  <c r="AT437" i="1"/>
  <c r="AW437" i="1" s="1"/>
  <c r="AS437" i="1"/>
  <c r="AV437" i="1" s="1"/>
  <c r="AQ437" i="1"/>
  <c r="AM437" i="1"/>
  <c r="P437" i="1"/>
  <c r="O437" i="1"/>
  <c r="N437" i="1"/>
  <c r="M437" i="1"/>
  <c r="L437" i="1"/>
  <c r="AT436" i="1"/>
  <c r="AW436" i="1" s="1"/>
  <c r="AS436" i="1"/>
  <c r="AV436" i="1" s="1"/>
  <c r="AQ436" i="1"/>
  <c r="AM436" i="1"/>
  <c r="AT435" i="1"/>
  <c r="AW435" i="1" s="1"/>
  <c r="AS435" i="1"/>
  <c r="AV435" i="1" s="1"/>
  <c r="AQ435" i="1"/>
  <c r="AM435" i="1"/>
  <c r="BF434" i="1"/>
  <c r="AT434" i="1"/>
  <c r="AW434" i="1" s="1"/>
  <c r="AS434" i="1"/>
  <c r="AV434" i="1" s="1"/>
  <c r="AQ434" i="1"/>
  <c r="AM434" i="1"/>
  <c r="BF433" i="1"/>
  <c r="AT433" i="1"/>
  <c r="AW433" i="1" s="1"/>
  <c r="AS433" i="1"/>
  <c r="AV433" i="1" s="1"/>
  <c r="AQ433" i="1"/>
  <c r="AM433" i="1"/>
  <c r="AT432" i="1"/>
  <c r="AW432" i="1" s="1"/>
  <c r="AS432" i="1"/>
  <c r="AV432" i="1" s="1"/>
  <c r="AQ432" i="1"/>
  <c r="AM432" i="1"/>
  <c r="P432" i="1"/>
  <c r="O432" i="1"/>
  <c r="N432" i="1"/>
  <c r="M432" i="1"/>
  <c r="L432" i="1"/>
  <c r="AT431" i="1"/>
  <c r="AW431" i="1" s="1"/>
  <c r="AS431" i="1"/>
  <c r="AV431" i="1" s="1"/>
  <c r="AQ431" i="1"/>
  <c r="AM431" i="1"/>
  <c r="AT430" i="1"/>
  <c r="AW430" i="1" s="1"/>
  <c r="AS430" i="1"/>
  <c r="AV430" i="1" s="1"/>
  <c r="AQ430" i="1"/>
  <c r="AM430" i="1"/>
  <c r="BF429" i="1"/>
  <c r="AT429" i="1"/>
  <c r="AW429" i="1" s="1"/>
  <c r="AS429" i="1"/>
  <c r="AV429" i="1" s="1"/>
  <c r="AQ429" i="1"/>
  <c r="AM429" i="1"/>
  <c r="BF428" i="1"/>
  <c r="AT428" i="1"/>
  <c r="AW428" i="1" s="1"/>
  <c r="AS428" i="1"/>
  <c r="AV428" i="1" s="1"/>
  <c r="AQ428" i="1"/>
  <c r="AM428" i="1"/>
  <c r="AT427" i="1"/>
  <c r="AW427" i="1" s="1"/>
  <c r="AS427" i="1"/>
  <c r="AV427" i="1" s="1"/>
  <c r="AQ427" i="1"/>
  <c r="AM427" i="1"/>
  <c r="P427" i="1"/>
  <c r="O427" i="1"/>
  <c r="N427" i="1"/>
  <c r="M427" i="1"/>
  <c r="L427" i="1"/>
  <c r="AT426" i="1"/>
  <c r="AW426" i="1" s="1"/>
  <c r="AS426" i="1"/>
  <c r="AV426" i="1" s="1"/>
  <c r="AQ426" i="1"/>
  <c r="AM426" i="1"/>
  <c r="AT425" i="1"/>
  <c r="AW425" i="1" s="1"/>
  <c r="AS425" i="1"/>
  <c r="AV425" i="1" s="1"/>
  <c r="AQ425" i="1"/>
  <c r="AM425" i="1"/>
  <c r="BF424" i="1"/>
  <c r="AT424" i="1"/>
  <c r="AW424" i="1" s="1"/>
  <c r="AS424" i="1"/>
  <c r="AV424" i="1" s="1"/>
  <c r="AQ424" i="1"/>
  <c r="AM424" i="1"/>
  <c r="BF423" i="1"/>
  <c r="AT423" i="1"/>
  <c r="AW423" i="1" s="1"/>
  <c r="AS423" i="1"/>
  <c r="AV423" i="1" s="1"/>
  <c r="AQ423" i="1"/>
  <c r="AM423" i="1"/>
  <c r="AT422" i="1"/>
  <c r="AW422" i="1" s="1"/>
  <c r="AS422" i="1"/>
  <c r="AV422" i="1" s="1"/>
  <c r="AQ422" i="1"/>
  <c r="AM422" i="1"/>
  <c r="P422" i="1"/>
  <c r="O422" i="1"/>
  <c r="N422" i="1"/>
  <c r="M422" i="1"/>
  <c r="L422" i="1"/>
  <c r="AT421" i="1"/>
  <c r="AW421" i="1" s="1"/>
  <c r="AS421" i="1"/>
  <c r="AV421" i="1" s="1"/>
  <c r="AQ421" i="1"/>
  <c r="AM421" i="1"/>
  <c r="AT420" i="1"/>
  <c r="AW420" i="1" s="1"/>
  <c r="AS420" i="1"/>
  <c r="AV420" i="1" s="1"/>
  <c r="AQ420" i="1"/>
  <c r="AM420" i="1"/>
  <c r="BF419" i="1"/>
  <c r="AT419" i="1"/>
  <c r="AW419" i="1" s="1"/>
  <c r="AS419" i="1"/>
  <c r="AV419" i="1" s="1"/>
  <c r="AQ419" i="1"/>
  <c r="AM419" i="1"/>
  <c r="BF418" i="1"/>
  <c r="AT418" i="1"/>
  <c r="AW418" i="1" s="1"/>
  <c r="AS418" i="1"/>
  <c r="AV418" i="1" s="1"/>
  <c r="AQ418" i="1"/>
  <c r="AM418" i="1"/>
  <c r="AT417" i="1"/>
  <c r="AW417" i="1" s="1"/>
  <c r="AS417" i="1"/>
  <c r="AV417" i="1" s="1"/>
  <c r="AQ417" i="1"/>
  <c r="AM417" i="1"/>
  <c r="P417" i="1"/>
  <c r="O417" i="1"/>
  <c r="N417" i="1"/>
  <c r="M417" i="1"/>
  <c r="L417" i="1"/>
  <c r="AT416" i="1"/>
  <c r="AW416" i="1" s="1"/>
  <c r="AS416" i="1"/>
  <c r="AV416" i="1" s="1"/>
  <c r="AQ416" i="1"/>
  <c r="AM416" i="1"/>
  <c r="AT415" i="1"/>
  <c r="AW415" i="1" s="1"/>
  <c r="AS415" i="1"/>
  <c r="AV415" i="1" s="1"/>
  <c r="AQ415" i="1"/>
  <c r="AM415" i="1"/>
  <c r="BF414" i="1"/>
  <c r="AT414" i="1"/>
  <c r="AW414" i="1" s="1"/>
  <c r="AS414" i="1"/>
  <c r="AV414" i="1" s="1"/>
  <c r="AQ414" i="1"/>
  <c r="AM414" i="1"/>
  <c r="BF413" i="1"/>
  <c r="AT413" i="1"/>
  <c r="AW413" i="1" s="1"/>
  <c r="AS413" i="1"/>
  <c r="AV413" i="1" s="1"/>
  <c r="AQ413" i="1"/>
  <c r="AM413" i="1"/>
  <c r="AT412" i="1"/>
  <c r="AW412" i="1" s="1"/>
  <c r="AS412" i="1"/>
  <c r="AV412" i="1" s="1"/>
  <c r="AQ412" i="1"/>
  <c r="AM412" i="1"/>
  <c r="P412" i="1"/>
  <c r="O412" i="1"/>
  <c r="N412" i="1"/>
  <c r="M412" i="1"/>
  <c r="L412" i="1"/>
  <c r="AT411" i="1"/>
  <c r="AW411" i="1" s="1"/>
  <c r="AS411" i="1"/>
  <c r="AV411" i="1" s="1"/>
  <c r="AQ411" i="1"/>
  <c r="AM411" i="1"/>
  <c r="AT410" i="1"/>
  <c r="AW410" i="1" s="1"/>
  <c r="AS410" i="1"/>
  <c r="AV410" i="1" s="1"/>
  <c r="AQ410" i="1"/>
  <c r="AM410" i="1"/>
  <c r="AT409" i="1"/>
  <c r="AW409" i="1" s="1"/>
  <c r="AS409" i="1"/>
  <c r="AV409" i="1" s="1"/>
  <c r="AQ409" i="1"/>
  <c r="AM409" i="1"/>
  <c r="AT408" i="1"/>
  <c r="AW408" i="1" s="1"/>
  <c r="AS408" i="1"/>
  <c r="AV408" i="1" s="1"/>
  <c r="AQ408" i="1"/>
  <c r="AM408" i="1"/>
  <c r="AT407" i="1"/>
  <c r="AW407" i="1" s="1"/>
  <c r="AS407" i="1"/>
  <c r="AV407" i="1" s="1"/>
  <c r="AQ407" i="1"/>
  <c r="AM407" i="1"/>
  <c r="P407" i="1"/>
  <c r="O407" i="1"/>
  <c r="N407" i="1"/>
  <c r="M407" i="1"/>
  <c r="L407" i="1"/>
  <c r="AT406" i="1"/>
  <c r="AW406" i="1" s="1"/>
  <c r="AS406" i="1"/>
  <c r="AV406" i="1" s="1"/>
  <c r="AQ406" i="1"/>
  <c r="AM406" i="1"/>
  <c r="AT405" i="1"/>
  <c r="AW405" i="1" s="1"/>
  <c r="AS405" i="1"/>
  <c r="AV405" i="1" s="1"/>
  <c r="AQ405" i="1"/>
  <c r="AM405" i="1"/>
  <c r="BF404" i="1"/>
  <c r="AT404" i="1"/>
  <c r="AW404" i="1" s="1"/>
  <c r="AS404" i="1"/>
  <c r="AV404" i="1" s="1"/>
  <c r="AQ404" i="1"/>
  <c r="AM404" i="1"/>
  <c r="BF403" i="1"/>
  <c r="AT403" i="1"/>
  <c r="AW403" i="1" s="1"/>
  <c r="AS403" i="1"/>
  <c r="AV403" i="1" s="1"/>
  <c r="AQ403" i="1"/>
  <c r="AM403" i="1"/>
  <c r="AT402" i="1"/>
  <c r="AW402" i="1" s="1"/>
  <c r="AS402" i="1"/>
  <c r="AV402" i="1" s="1"/>
  <c r="AQ402" i="1"/>
  <c r="AM402" i="1"/>
  <c r="P402" i="1"/>
  <c r="O402" i="1"/>
  <c r="N402" i="1"/>
  <c r="M402" i="1"/>
  <c r="L402" i="1"/>
  <c r="AT401" i="1"/>
  <c r="AW401" i="1" s="1"/>
  <c r="AS401" i="1"/>
  <c r="AV401" i="1" s="1"/>
  <c r="AQ401" i="1"/>
  <c r="AM401" i="1"/>
  <c r="AT400" i="1"/>
  <c r="AW400" i="1" s="1"/>
  <c r="AS400" i="1"/>
  <c r="AV400" i="1" s="1"/>
  <c r="AQ400" i="1"/>
  <c r="AM400" i="1"/>
  <c r="BF399" i="1"/>
  <c r="AT399" i="1"/>
  <c r="AW399" i="1" s="1"/>
  <c r="AS399" i="1"/>
  <c r="AV399" i="1" s="1"/>
  <c r="AQ399" i="1"/>
  <c r="AM399" i="1"/>
  <c r="BF398" i="1"/>
  <c r="AT398" i="1"/>
  <c r="AW398" i="1" s="1"/>
  <c r="AS398" i="1"/>
  <c r="AV398" i="1" s="1"/>
  <c r="AQ398" i="1"/>
  <c r="AM398" i="1"/>
  <c r="AT397" i="1"/>
  <c r="AW397" i="1" s="1"/>
  <c r="AS397" i="1"/>
  <c r="AQ397" i="1"/>
  <c r="AM397" i="1"/>
  <c r="P397" i="1"/>
  <c r="O397" i="1"/>
  <c r="N397" i="1"/>
  <c r="M397" i="1"/>
  <c r="L397" i="1"/>
  <c r="AT396" i="1"/>
  <c r="AW396" i="1" s="1"/>
  <c r="AS396" i="1"/>
  <c r="AV396" i="1" s="1"/>
  <c r="AQ396" i="1"/>
  <c r="AM396" i="1"/>
  <c r="AT395" i="1"/>
  <c r="AW395" i="1" s="1"/>
  <c r="AS395" i="1"/>
  <c r="AV395" i="1" s="1"/>
  <c r="AQ395" i="1"/>
  <c r="AM395" i="1"/>
  <c r="BF394" i="1"/>
  <c r="AT394" i="1"/>
  <c r="AW394" i="1" s="1"/>
  <c r="AS394" i="1"/>
  <c r="AV394" i="1" s="1"/>
  <c r="AQ394" i="1"/>
  <c r="AM394" i="1"/>
  <c r="BF393" i="1"/>
  <c r="AT393" i="1"/>
  <c r="AW393" i="1" s="1"/>
  <c r="AS393" i="1"/>
  <c r="AV393" i="1" s="1"/>
  <c r="AQ393" i="1"/>
  <c r="AM393" i="1"/>
  <c r="AT392" i="1"/>
  <c r="AW392" i="1" s="1"/>
  <c r="AS392" i="1"/>
  <c r="AQ392" i="1"/>
  <c r="AM392" i="1"/>
  <c r="P392" i="1"/>
  <c r="O392" i="1"/>
  <c r="N392" i="1"/>
  <c r="M392" i="1"/>
  <c r="L392" i="1"/>
  <c r="AT391" i="1"/>
  <c r="AW391" i="1" s="1"/>
  <c r="AS391" i="1"/>
  <c r="AV391" i="1" s="1"/>
  <c r="AQ391" i="1"/>
  <c r="AM391" i="1"/>
  <c r="AT390" i="1"/>
  <c r="AW390" i="1" s="1"/>
  <c r="AS390" i="1"/>
  <c r="AV390" i="1" s="1"/>
  <c r="AQ390" i="1"/>
  <c r="AM390" i="1"/>
  <c r="BF389" i="1"/>
  <c r="AT389" i="1"/>
  <c r="AW389" i="1" s="1"/>
  <c r="AS389" i="1"/>
  <c r="AV389" i="1" s="1"/>
  <c r="AQ389" i="1"/>
  <c r="AM389" i="1"/>
  <c r="BF388" i="1"/>
  <c r="AT388" i="1"/>
  <c r="AW388" i="1" s="1"/>
  <c r="AS388" i="1"/>
  <c r="AQ388" i="1"/>
  <c r="AM388" i="1"/>
  <c r="AT387" i="1"/>
  <c r="AW387" i="1" s="1"/>
  <c r="AS387" i="1"/>
  <c r="AQ387" i="1"/>
  <c r="AM387" i="1"/>
  <c r="P387" i="1"/>
  <c r="O387" i="1"/>
  <c r="N387" i="1"/>
  <c r="M387" i="1"/>
  <c r="L387" i="1"/>
  <c r="AT386" i="1"/>
  <c r="AW386" i="1" s="1"/>
  <c r="AS386" i="1"/>
  <c r="AV386" i="1" s="1"/>
  <c r="AQ386" i="1"/>
  <c r="AM386" i="1"/>
  <c r="AT385" i="1"/>
  <c r="AW385" i="1" s="1"/>
  <c r="AS385" i="1"/>
  <c r="AV385" i="1" s="1"/>
  <c r="AQ385" i="1"/>
  <c r="AM385" i="1"/>
  <c r="BF384" i="1"/>
  <c r="AT384" i="1"/>
  <c r="AW384" i="1" s="1"/>
  <c r="AS384" i="1"/>
  <c r="AV384" i="1" s="1"/>
  <c r="AQ384" i="1"/>
  <c r="AM384" i="1"/>
  <c r="BF383" i="1"/>
  <c r="AT383" i="1"/>
  <c r="AW383" i="1" s="1"/>
  <c r="AS383" i="1"/>
  <c r="AV383" i="1" s="1"/>
  <c r="AQ383" i="1"/>
  <c r="AM383" i="1"/>
  <c r="AT382" i="1"/>
  <c r="AW382" i="1" s="1"/>
  <c r="AS382" i="1"/>
  <c r="AQ382" i="1"/>
  <c r="AM382" i="1"/>
  <c r="P382" i="1"/>
  <c r="O382" i="1"/>
  <c r="N382" i="1"/>
  <c r="M382" i="1"/>
  <c r="L382" i="1"/>
  <c r="AT381" i="1"/>
  <c r="AW381" i="1" s="1"/>
  <c r="AS381" i="1"/>
  <c r="AV381" i="1" s="1"/>
  <c r="AQ381" i="1"/>
  <c r="AM381" i="1"/>
  <c r="AT380" i="1"/>
  <c r="AW380" i="1" s="1"/>
  <c r="AS380" i="1"/>
  <c r="AV380" i="1" s="1"/>
  <c r="AQ380" i="1"/>
  <c r="AM380" i="1"/>
  <c r="BF379" i="1"/>
  <c r="AT379" i="1"/>
  <c r="AW379" i="1" s="1"/>
  <c r="AS379" i="1"/>
  <c r="AV379" i="1" s="1"/>
  <c r="AQ379" i="1"/>
  <c r="AM379" i="1"/>
  <c r="BF378" i="1"/>
  <c r="AT378" i="1"/>
  <c r="AW378" i="1" s="1"/>
  <c r="AS378" i="1"/>
  <c r="AV378" i="1" s="1"/>
  <c r="AQ378" i="1"/>
  <c r="AM378" i="1"/>
  <c r="AT377" i="1"/>
  <c r="AW377" i="1" s="1"/>
  <c r="AS377" i="1"/>
  <c r="AQ377" i="1"/>
  <c r="AM377" i="1"/>
  <c r="P377" i="1"/>
  <c r="O377" i="1"/>
  <c r="N377" i="1"/>
  <c r="M377" i="1"/>
  <c r="L377" i="1"/>
  <c r="AT376" i="1"/>
  <c r="AW376" i="1" s="1"/>
  <c r="AS376" i="1"/>
  <c r="AV376" i="1" s="1"/>
  <c r="AQ376" i="1"/>
  <c r="AM376" i="1"/>
  <c r="AT375" i="1"/>
  <c r="AW375" i="1" s="1"/>
  <c r="AS375" i="1"/>
  <c r="AV375" i="1" s="1"/>
  <c r="AQ375" i="1"/>
  <c r="AM375" i="1"/>
  <c r="BF374" i="1"/>
  <c r="AT374" i="1"/>
  <c r="AW374" i="1" s="1"/>
  <c r="AS374" i="1"/>
  <c r="AV374" i="1" s="1"/>
  <c r="AQ374" i="1"/>
  <c r="AM374" i="1"/>
  <c r="BF373" i="1"/>
  <c r="AT373" i="1"/>
  <c r="AW373" i="1" s="1"/>
  <c r="AS373" i="1"/>
  <c r="AV373" i="1" s="1"/>
  <c r="AQ373" i="1"/>
  <c r="AM373" i="1"/>
  <c r="AT372" i="1"/>
  <c r="AW372" i="1" s="1"/>
  <c r="AS372" i="1"/>
  <c r="AV372" i="1" s="1"/>
  <c r="AQ372" i="1"/>
  <c r="AM372" i="1"/>
  <c r="P372" i="1"/>
  <c r="O372" i="1"/>
  <c r="N372" i="1"/>
  <c r="M372" i="1"/>
  <c r="L372" i="1"/>
  <c r="AT371" i="1"/>
  <c r="AW371" i="1" s="1"/>
  <c r="AS371" i="1"/>
  <c r="AV371" i="1" s="1"/>
  <c r="AQ371" i="1"/>
  <c r="AM371" i="1"/>
  <c r="AT370" i="1"/>
  <c r="AW370" i="1" s="1"/>
  <c r="AS370" i="1"/>
  <c r="AV370" i="1" s="1"/>
  <c r="AQ370" i="1"/>
  <c r="AM370" i="1"/>
  <c r="BF369" i="1"/>
  <c r="AT369" i="1"/>
  <c r="AW369" i="1" s="1"/>
  <c r="AS369" i="1"/>
  <c r="AV369" i="1" s="1"/>
  <c r="AQ369" i="1"/>
  <c r="AM369" i="1"/>
  <c r="BF368" i="1"/>
  <c r="AT368" i="1"/>
  <c r="AW368" i="1" s="1"/>
  <c r="AS368" i="1"/>
  <c r="AV368" i="1" s="1"/>
  <c r="AQ368" i="1"/>
  <c r="AM368" i="1"/>
  <c r="AT367" i="1"/>
  <c r="AW367" i="1" s="1"/>
  <c r="AS367" i="1"/>
  <c r="AQ367" i="1"/>
  <c r="AM367" i="1"/>
  <c r="P367" i="1"/>
  <c r="O367" i="1"/>
  <c r="N367" i="1"/>
  <c r="M367" i="1"/>
  <c r="L367" i="1"/>
  <c r="AT366" i="1"/>
  <c r="AW366" i="1" s="1"/>
  <c r="AS366" i="1"/>
  <c r="AV366" i="1" s="1"/>
  <c r="AQ366" i="1"/>
  <c r="AM366" i="1"/>
  <c r="AT365" i="1"/>
  <c r="AW365" i="1" s="1"/>
  <c r="AS365" i="1"/>
  <c r="AV365" i="1" s="1"/>
  <c r="AQ365" i="1"/>
  <c r="AM365" i="1"/>
  <c r="BF364" i="1"/>
  <c r="AT364" i="1"/>
  <c r="AW364" i="1" s="1"/>
  <c r="AS364" i="1"/>
  <c r="AV364" i="1" s="1"/>
  <c r="AQ364" i="1"/>
  <c r="AM364" i="1"/>
  <c r="BF363" i="1"/>
  <c r="AT363" i="1"/>
  <c r="AW363" i="1" s="1"/>
  <c r="AS363" i="1"/>
  <c r="AV363" i="1" s="1"/>
  <c r="AQ363" i="1"/>
  <c r="AM363" i="1"/>
  <c r="AT362" i="1"/>
  <c r="AW362" i="1" s="1"/>
  <c r="AS362" i="1"/>
  <c r="AQ362" i="1"/>
  <c r="AM362" i="1"/>
  <c r="P362" i="1"/>
  <c r="O362" i="1"/>
  <c r="N362" i="1"/>
  <c r="M362" i="1"/>
  <c r="L362" i="1"/>
  <c r="AT361" i="1"/>
  <c r="AW361" i="1" s="1"/>
  <c r="AS361" i="1"/>
  <c r="AV361" i="1" s="1"/>
  <c r="AQ361" i="1"/>
  <c r="AM361" i="1"/>
  <c r="AT360" i="1"/>
  <c r="AW360" i="1" s="1"/>
  <c r="AS360" i="1"/>
  <c r="AV360" i="1" s="1"/>
  <c r="AQ360" i="1"/>
  <c r="AM360" i="1"/>
  <c r="AT359" i="1"/>
  <c r="AW359" i="1" s="1"/>
  <c r="AS359" i="1"/>
  <c r="AV359" i="1" s="1"/>
  <c r="AQ359" i="1"/>
  <c r="AM359" i="1"/>
  <c r="AT358" i="1"/>
  <c r="AW358" i="1" s="1"/>
  <c r="AS358" i="1"/>
  <c r="AV358" i="1" s="1"/>
  <c r="AQ358" i="1"/>
  <c r="AM358" i="1"/>
  <c r="AT357" i="1"/>
  <c r="AW357" i="1" s="1"/>
  <c r="AS357" i="1"/>
  <c r="AQ357" i="1"/>
  <c r="AM357" i="1"/>
  <c r="P357" i="1"/>
  <c r="O357" i="1"/>
  <c r="N357" i="1"/>
  <c r="M357" i="1"/>
  <c r="L357" i="1"/>
  <c r="AT356" i="1"/>
  <c r="AW356" i="1" s="1"/>
  <c r="AS356" i="1"/>
  <c r="AV356" i="1" s="1"/>
  <c r="AQ356" i="1"/>
  <c r="AM356" i="1"/>
  <c r="AT355" i="1"/>
  <c r="AW355" i="1" s="1"/>
  <c r="AS355" i="1"/>
  <c r="AV355" i="1" s="1"/>
  <c r="AQ355" i="1"/>
  <c r="AM355" i="1"/>
  <c r="BF354" i="1"/>
  <c r="AT354" i="1"/>
  <c r="AW354" i="1" s="1"/>
  <c r="AS354" i="1"/>
  <c r="AV354" i="1" s="1"/>
  <c r="AQ354" i="1"/>
  <c r="AM354" i="1"/>
  <c r="BF353" i="1"/>
  <c r="AT353" i="1"/>
  <c r="AW353" i="1" s="1"/>
  <c r="AS353" i="1"/>
  <c r="AV353" i="1" s="1"/>
  <c r="AQ353" i="1"/>
  <c r="AM353" i="1"/>
  <c r="AT352" i="1"/>
  <c r="AW352" i="1" s="1"/>
  <c r="AS352" i="1"/>
  <c r="AV352" i="1" s="1"/>
  <c r="AQ352" i="1"/>
  <c r="AM352" i="1"/>
  <c r="P352" i="1"/>
  <c r="O352" i="1"/>
  <c r="N352" i="1"/>
  <c r="M352" i="1"/>
  <c r="L352" i="1"/>
  <c r="AT351" i="1"/>
  <c r="AW351" i="1" s="1"/>
  <c r="AS351" i="1"/>
  <c r="AV351" i="1" s="1"/>
  <c r="AQ351" i="1"/>
  <c r="AM351" i="1"/>
  <c r="AT350" i="1"/>
  <c r="AW350" i="1" s="1"/>
  <c r="AS350" i="1"/>
  <c r="AV350" i="1" s="1"/>
  <c r="AQ350" i="1"/>
  <c r="AM350" i="1"/>
  <c r="BF349" i="1"/>
  <c r="AT349" i="1"/>
  <c r="AW349" i="1" s="1"/>
  <c r="AS349" i="1"/>
  <c r="AV349" i="1" s="1"/>
  <c r="AQ349" i="1"/>
  <c r="AM349" i="1"/>
  <c r="BF348" i="1"/>
  <c r="AT348" i="1"/>
  <c r="AW348" i="1" s="1"/>
  <c r="AS348" i="1"/>
  <c r="AV348" i="1" s="1"/>
  <c r="AQ348" i="1"/>
  <c r="AM348" i="1"/>
  <c r="AT347" i="1"/>
  <c r="AW347" i="1" s="1"/>
  <c r="AS347" i="1"/>
  <c r="AV347" i="1" s="1"/>
  <c r="AQ347" i="1"/>
  <c r="AM347" i="1"/>
  <c r="P347" i="1"/>
  <c r="O347" i="1"/>
  <c r="N347" i="1"/>
  <c r="M347" i="1"/>
  <c r="L347" i="1"/>
  <c r="AT346" i="1"/>
  <c r="AW346" i="1" s="1"/>
  <c r="AS346" i="1"/>
  <c r="AV346" i="1" s="1"/>
  <c r="AQ346" i="1"/>
  <c r="AM346" i="1"/>
  <c r="AT345" i="1"/>
  <c r="AW345" i="1" s="1"/>
  <c r="AS345" i="1"/>
  <c r="AV345" i="1" s="1"/>
  <c r="AQ345" i="1"/>
  <c r="AM345" i="1"/>
  <c r="BF344" i="1"/>
  <c r="AT344" i="1"/>
  <c r="AW344" i="1" s="1"/>
  <c r="AS344" i="1"/>
  <c r="AV344" i="1" s="1"/>
  <c r="AQ344" i="1"/>
  <c r="AM344" i="1"/>
  <c r="BF343" i="1"/>
  <c r="AT343" i="1"/>
  <c r="AW343" i="1" s="1"/>
  <c r="AS343" i="1"/>
  <c r="AV343" i="1" s="1"/>
  <c r="AQ343" i="1"/>
  <c r="AM343" i="1"/>
  <c r="AT342" i="1"/>
  <c r="AW342" i="1" s="1"/>
  <c r="AS342" i="1"/>
  <c r="AV342" i="1" s="1"/>
  <c r="AQ342" i="1"/>
  <c r="AM342" i="1"/>
  <c r="P342" i="1"/>
  <c r="O342" i="1"/>
  <c r="N342" i="1"/>
  <c r="M342" i="1"/>
  <c r="L342" i="1"/>
  <c r="AT341" i="1"/>
  <c r="AW341" i="1" s="1"/>
  <c r="AS341" i="1"/>
  <c r="AV341" i="1" s="1"/>
  <c r="AQ341" i="1"/>
  <c r="AM341" i="1"/>
  <c r="AT340" i="1"/>
  <c r="AW340" i="1" s="1"/>
  <c r="AS340" i="1"/>
  <c r="AV340" i="1" s="1"/>
  <c r="AQ340" i="1"/>
  <c r="AM340" i="1"/>
  <c r="BF339" i="1"/>
  <c r="AT339" i="1"/>
  <c r="AW339" i="1" s="1"/>
  <c r="AS339" i="1"/>
  <c r="AV339" i="1" s="1"/>
  <c r="AQ339" i="1"/>
  <c r="AM339" i="1"/>
  <c r="BF338" i="1"/>
  <c r="AT338" i="1"/>
  <c r="AS338" i="1"/>
  <c r="AV338" i="1" s="1"/>
  <c r="AQ338" i="1"/>
  <c r="AM338" i="1"/>
  <c r="AT337" i="1"/>
  <c r="AW337" i="1" s="1"/>
  <c r="AS337" i="1"/>
  <c r="AQ337" i="1"/>
  <c r="AM337" i="1"/>
  <c r="P337" i="1"/>
  <c r="O337" i="1"/>
  <c r="N337" i="1"/>
  <c r="M337" i="1"/>
  <c r="L337" i="1"/>
  <c r="AT336" i="1"/>
  <c r="AW336" i="1" s="1"/>
  <c r="AS336" i="1"/>
  <c r="AV336" i="1" s="1"/>
  <c r="AQ336" i="1"/>
  <c r="AM336" i="1"/>
  <c r="AT335" i="1"/>
  <c r="AW335" i="1" s="1"/>
  <c r="AS335" i="1"/>
  <c r="AV335" i="1" s="1"/>
  <c r="AQ335" i="1"/>
  <c r="AM335" i="1"/>
  <c r="BF334" i="1"/>
  <c r="AT334" i="1"/>
  <c r="AW334" i="1" s="1"/>
  <c r="AS334" i="1"/>
  <c r="AV334" i="1" s="1"/>
  <c r="AQ334" i="1"/>
  <c r="AM334" i="1"/>
  <c r="BF333" i="1"/>
  <c r="AT333" i="1"/>
  <c r="AW333" i="1" s="1"/>
  <c r="AS333" i="1"/>
  <c r="AV333" i="1" s="1"/>
  <c r="AQ333" i="1"/>
  <c r="AM333" i="1"/>
  <c r="AT332" i="1"/>
  <c r="AW332" i="1" s="1"/>
  <c r="AS332" i="1"/>
  <c r="AV332" i="1" s="1"/>
  <c r="AQ332" i="1"/>
  <c r="AM332" i="1"/>
  <c r="P332" i="1"/>
  <c r="O332" i="1"/>
  <c r="N332" i="1"/>
  <c r="M332" i="1"/>
  <c r="L332" i="1"/>
  <c r="AT331" i="1"/>
  <c r="AW331" i="1" s="1"/>
  <c r="AS331" i="1"/>
  <c r="AV331" i="1" s="1"/>
  <c r="AQ331" i="1"/>
  <c r="AM331" i="1"/>
  <c r="AT330" i="1"/>
  <c r="AW330" i="1" s="1"/>
  <c r="AS330" i="1"/>
  <c r="AV330" i="1" s="1"/>
  <c r="AQ330" i="1"/>
  <c r="AM330" i="1"/>
  <c r="BF329" i="1"/>
  <c r="AT329" i="1"/>
  <c r="AW329" i="1" s="1"/>
  <c r="AS329" i="1"/>
  <c r="AV329" i="1" s="1"/>
  <c r="AQ329" i="1"/>
  <c r="AM329" i="1"/>
  <c r="BF328" i="1"/>
  <c r="AT328" i="1"/>
  <c r="AW328" i="1" s="1"/>
  <c r="AS328" i="1"/>
  <c r="AV328" i="1" s="1"/>
  <c r="AQ328" i="1"/>
  <c r="AM328" i="1"/>
  <c r="AT327" i="1"/>
  <c r="AS327" i="1"/>
  <c r="AV327" i="1" s="1"/>
  <c r="AY327" i="1" s="1"/>
  <c r="AQ327" i="1"/>
  <c r="AM327" i="1"/>
  <c r="P327" i="1"/>
  <c r="O327" i="1"/>
  <c r="N327" i="1"/>
  <c r="M327" i="1"/>
  <c r="L327" i="1"/>
  <c r="AT326" i="1"/>
  <c r="AW326" i="1" s="1"/>
  <c r="AS326" i="1"/>
  <c r="AV326" i="1" s="1"/>
  <c r="AQ326" i="1"/>
  <c r="AM326" i="1"/>
  <c r="AT325" i="1"/>
  <c r="AW325" i="1" s="1"/>
  <c r="AS325" i="1"/>
  <c r="AV325" i="1" s="1"/>
  <c r="AQ325" i="1"/>
  <c r="AM325" i="1"/>
  <c r="BF324" i="1"/>
  <c r="AT324" i="1"/>
  <c r="AS324" i="1"/>
  <c r="AV324" i="1" s="1"/>
  <c r="AQ324" i="1"/>
  <c r="AM324" i="1"/>
  <c r="BF323" i="1"/>
  <c r="AT323" i="1"/>
  <c r="AS323" i="1"/>
  <c r="AV323" i="1" s="1"/>
  <c r="AQ323" i="1"/>
  <c r="AM323" i="1"/>
  <c r="AT322" i="1"/>
  <c r="AS322" i="1"/>
  <c r="AV322" i="1" s="1"/>
  <c r="AY322" i="1" s="1"/>
  <c r="AQ322" i="1"/>
  <c r="AM322" i="1"/>
  <c r="P322" i="1"/>
  <c r="O322" i="1"/>
  <c r="N322" i="1"/>
  <c r="M322" i="1"/>
  <c r="L322" i="1"/>
  <c r="AT321" i="1"/>
  <c r="AW321" i="1" s="1"/>
  <c r="AS321" i="1"/>
  <c r="AV321" i="1" s="1"/>
  <c r="AQ321" i="1"/>
  <c r="AM321" i="1"/>
  <c r="AT320" i="1"/>
  <c r="AW320" i="1" s="1"/>
  <c r="AS320" i="1"/>
  <c r="AV320" i="1" s="1"/>
  <c r="AQ320" i="1"/>
  <c r="AM320" i="1"/>
  <c r="BF319" i="1"/>
  <c r="AT319" i="1"/>
  <c r="AS319" i="1"/>
  <c r="AV319" i="1" s="1"/>
  <c r="AQ319" i="1"/>
  <c r="AM319" i="1"/>
  <c r="BF318" i="1"/>
  <c r="AT318" i="1"/>
  <c r="AS318" i="1"/>
  <c r="AV318" i="1" s="1"/>
  <c r="AQ318" i="1"/>
  <c r="AM318" i="1"/>
  <c r="AT317" i="1"/>
  <c r="AS317" i="1"/>
  <c r="AV317" i="1" s="1"/>
  <c r="AQ317" i="1"/>
  <c r="AM317" i="1"/>
  <c r="P317" i="1"/>
  <c r="O317" i="1"/>
  <c r="N317" i="1"/>
  <c r="M317" i="1"/>
  <c r="L317" i="1"/>
  <c r="AT316" i="1"/>
  <c r="AW316" i="1" s="1"/>
  <c r="AS316" i="1"/>
  <c r="AV316" i="1" s="1"/>
  <c r="AQ316" i="1"/>
  <c r="AM316" i="1"/>
  <c r="AT315" i="1"/>
  <c r="AW315" i="1" s="1"/>
  <c r="AS315" i="1"/>
  <c r="AV315" i="1" s="1"/>
  <c r="AQ315" i="1"/>
  <c r="AM315" i="1"/>
  <c r="BF314" i="1"/>
  <c r="AT314" i="1"/>
  <c r="AW314" i="1" s="1"/>
  <c r="AS314" i="1"/>
  <c r="AV314" i="1" s="1"/>
  <c r="AQ314" i="1"/>
  <c r="AM314" i="1"/>
  <c r="BF313" i="1"/>
  <c r="AT313" i="1"/>
  <c r="AW313" i="1" s="1"/>
  <c r="AS313" i="1"/>
  <c r="AV313" i="1" s="1"/>
  <c r="AQ313" i="1"/>
  <c r="AM313" i="1"/>
  <c r="AT312" i="1"/>
  <c r="AW312" i="1" s="1"/>
  <c r="AS312" i="1"/>
  <c r="AV312" i="1" s="1"/>
  <c r="AQ312" i="1"/>
  <c r="AM312" i="1"/>
  <c r="P312" i="1"/>
  <c r="O312" i="1"/>
  <c r="N312" i="1"/>
  <c r="M312" i="1"/>
  <c r="L312" i="1"/>
  <c r="AT311" i="1"/>
  <c r="AW311" i="1" s="1"/>
  <c r="AS311" i="1"/>
  <c r="AV311" i="1" s="1"/>
  <c r="AQ311" i="1"/>
  <c r="AM311" i="1"/>
  <c r="AT310" i="1"/>
  <c r="AW310" i="1" s="1"/>
  <c r="AS310" i="1"/>
  <c r="AV310" i="1" s="1"/>
  <c r="AQ310" i="1"/>
  <c r="AM310" i="1"/>
  <c r="AT309" i="1"/>
  <c r="AW309" i="1" s="1"/>
  <c r="AS309" i="1"/>
  <c r="AV309" i="1" s="1"/>
  <c r="AQ309" i="1"/>
  <c r="AM309" i="1"/>
  <c r="AT308" i="1"/>
  <c r="AW308" i="1" s="1"/>
  <c r="AS308" i="1"/>
  <c r="AV308" i="1" s="1"/>
  <c r="AQ308" i="1"/>
  <c r="AM308" i="1"/>
  <c r="AT307" i="1"/>
  <c r="AW307" i="1" s="1"/>
  <c r="AS307" i="1"/>
  <c r="AV307" i="1" s="1"/>
  <c r="AQ307" i="1"/>
  <c r="AM307" i="1"/>
  <c r="P307" i="1"/>
  <c r="O307" i="1"/>
  <c r="N307" i="1"/>
  <c r="M307" i="1"/>
  <c r="L307" i="1"/>
  <c r="AT306" i="1"/>
  <c r="AW306" i="1" s="1"/>
  <c r="AS306" i="1"/>
  <c r="AV306" i="1" s="1"/>
  <c r="AQ306" i="1"/>
  <c r="AM306" i="1"/>
  <c r="AT305" i="1"/>
  <c r="AW305" i="1" s="1"/>
  <c r="AS305" i="1"/>
  <c r="AV305" i="1" s="1"/>
  <c r="AQ305" i="1"/>
  <c r="AM305" i="1"/>
  <c r="BF304" i="1"/>
  <c r="AT304" i="1"/>
  <c r="AW304" i="1" s="1"/>
  <c r="AS304" i="1"/>
  <c r="AV304" i="1" s="1"/>
  <c r="AQ304" i="1"/>
  <c r="AM304" i="1"/>
  <c r="BF303" i="1"/>
  <c r="AT303" i="1"/>
  <c r="AW303" i="1" s="1"/>
  <c r="AS303" i="1"/>
  <c r="AV303" i="1" s="1"/>
  <c r="AQ303" i="1"/>
  <c r="AM303" i="1"/>
  <c r="AT302" i="1"/>
  <c r="AW302" i="1" s="1"/>
  <c r="AS302" i="1"/>
  <c r="AV302" i="1" s="1"/>
  <c r="AQ302" i="1"/>
  <c r="AM302" i="1"/>
  <c r="P302" i="1"/>
  <c r="O302" i="1"/>
  <c r="N302" i="1"/>
  <c r="M302" i="1"/>
  <c r="L302" i="1"/>
  <c r="AT301" i="1"/>
  <c r="AW301" i="1" s="1"/>
  <c r="AS301" i="1"/>
  <c r="AV301" i="1" s="1"/>
  <c r="AQ301" i="1"/>
  <c r="AM301" i="1"/>
  <c r="AT300" i="1"/>
  <c r="AW300" i="1" s="1"/>
  <c r="AS300" i="1"/>
  <c r="AV300" i="1" s="1"/>
  <c r="AQ300" i="1"/>
  <c r="AM300" i="1"/>
  <c r="BF299" i="1"/>
  <c r="AT299" i="1"/>
  <c r="AW299" i="1" s="1"/>
  <c r="AS299" i="1"/>
  <c r="AV299" i="1" s="1"/>
  <c r="AQ299" i="1"/>
  <c r="AM299" i="1"/>
  <c r="BF298" i="1"/>
  <c r="AT298" i="1"/>
  <c r="AW298" i="1" s="1"/>
  <c r="AS298" i="1"/>
  <c r="AV298" i="1" s="1"/>
  <c r="AQ298" i="1"/>
  <c r="AM298" i="1"/>
  <c r="AT297" i="1"/>
  <c r="AS297" i="1"/>
  <c r="AV297" i="1" s="1"/>
  <c r="AY297" i="1" s="1"/>
  <c r="AQ297" i="1"/>
  <c r="AM297" i="1"/>
  <c r="P297" i="1"/>
  <c r="O297" i="1"/>
  <c r="N297" i="1"/>
  <c r="M297" i="1"/>
  <c r="L297" i="1"/>
  <c r="AT296" i="1"/>
  <c r="AW296" i="1" s="1"/>
  <c r="AS296" i="1"/>
  <c r="AV296" i="1" s="1"/>
  <c r="AQ296" i="1"/>
  <c r="AM296" i="1"/>
  <c r="AT295" i="1"/>
  <c r="AW295" i="1" s="1"/>
  <c r="AS295" i="1"/>
  <c r="AV295" i="1" s="1"/>
  <c r="AQ295" i="1"/>
  <c r="AM295" i="1"/>
  <c r="BF294" i="1"/>
  <c r="AT294" i="1"/>
  <c r="AW294" i="1" s="1"/>
  <c r="AS294" i="1"/>
  <c r="AV294" i="1" s="1"/>
  <c r="AQ294" i="1"/>
  <c r="AM294" i="1"/>
  <c r="BF293" i="1"/>
  <c r="AT293" i="1"/>
  <c r="AW293" i="1" s="1"/>
  <c r="AS293" i="1"/>
  <c r="AV293" i="1" s="1"/>
  <c r="AQ293" i="1"/>
  <c r="AM293" i="1"/>
  <c r="AT292" i="1"/>
  <c r="AW292" i="1" s="1"/>
  <c r="AS292" i="1"/>
  <c r="AV292" i="1" s="1"/>
  <c r="AQ292" i="1"/>
  <c r="AM292" i="1"/>
  <c r="P292" i="1"/>
  <c r="O292" i="1"/>
  <c r="N292" i="1"/>
  <c r="M292" i="1"/>
  <c r="L292" i="1"/>
  <c r="AT291" i="1"/>
  <c r="AW291" i="1" s="1"/>
  <c r="AS291" i="1"/>
  <c r="AV291" i="1" s="1"/>
  <c r="AQ291" i="1"/>
  <c r="AM291" i="1"/>
  <c r="AT290" i="1"/>
  <c r="AW290" i="1" s="1"/>
  <c r="AS290" i="1"/>
  <c r="AV290" i="1" s="1"/>
  <c r="AQ290" i="1"/>
  <c r="AM290" i="1"/>
  <c r="BF289" i="1"/>
  <c r="AT289" i="1"/>
  <c r="AW289" i="1" s="1"/>
  <c r="AS289" i="1"/>
  <c r="AV289" i="1" s="1"/>
  <c r="AQ289" i="1"/>
  <c r="AM289" i="1"/>
  <c r="BF288" i="1"/>
  <c r="AT288" i="1"/>
  <c r="AW288" i="1" s="1"/>
  <c r="AS288" i="1"/>
  <c r="AV288" i="1" s="1"/>
  <c r="AQ288" i="1"/>
  <c r="AM288" i="1"/>
  <c r="AT287" i="1"/>
  <c r="AS287" i="1"/>
  <c r="AV287" i="1" s="1"/>
  <c r="AY287" i="1" s="1"/>
  <c r="AQ287" i="1"/>
  <c r="AM287" i="1"/>
  <c r="P287" i="1"/>
  <c r="O287" i="1"/>
  <c r="N287" i="1"/>
  <c r="M287" i="1"/>
  <c r="L287" i="1"/>
  <c r="AT286" i="1"/>
  <c r="AW286" i="1" s="1"/>
  <c r="AS286" i="1"/>
  <c r="AV286" i="1" s="1"/>
  <c r="AQ286" i="1"/>
  <c r="AM286" i="1"/>
  <c r="AT285" i="1"/>
  <c r="AW285" i="1" s="1"/>
  <c r="AS285" i="1"/>
  <c r="AV285" i="1" s="1"/>
  <c r="AQ285" i="1"/>
  <c r="AM285" i="1"/>
  <c r="BF284" i="1"/>
  <c r="AT284" i="1"/>
  <c r="AW284" i="1" s="1"/>
  <c r="AS284" i="1"/>
  <c r="AV284" i="1" s="1"/>
  <c r="AQ284" i="1"/>
  <c r="AM284" i="1"/>
  <c r="BF283" i="1"/>
  <c r="AT283" i="1"/>
  <c r="AW283" i="1" s="1"/>
  <c r="AS283" i="1"/>
  <c r="AV283" i="1" s="1"/>
  <c r="AQ283" i="1"/>
  <c r="AM283" i="1"/>
  <c r="AT282" i="1"/>
  <c r="AS282" i="1"/>
  <c r="AV282" i="1" s="1"/>
  <c r="AY282" i="1" s="1"/>
  <c r="AQ282" i="1"/>
  <c r="AM282" i="1"/>
  <c r="P282" i="1"/>
  <c r="O282" i="1"/>
  <c r="N282" i="1"/>
  <c r="M282" i="1"/>
  <c r="L282" i="1"/>
  <c r="AT281" i="1"/>
  <c r="AW281" i="1" s="1"/>
  <c r="AS281" i="1"/>
  <c r="AV281" i="1" s="1"/>
  <c r="AQ281" i="1"/>
  <c r="AM281" i="1"/>
  <c r="AT280" i="1"/>
  <c r="AW280" i="1" s="1"/>
  <c r="AS280" i="1"/>
  <c r="AV280" i="1" s="1"/>
  <c r="AQ280" i="1"/>
  <c r="AM280" i="1"/>
  <c r="BF279" i="1"/>
  <c r="AT279" i="1"/>
  <c r="AW279" i="1" s="1"/>
  <c r="AS279" i="1"/>
  <c r="AV279" i="1" s="1"/>
  <c r="AQ279" i="1"/>
  <c r="AM279" i="1"/>
  <c r="BF278" i="1"/>
  <c r="AT278" i="1"/>
  <c r="AW278" i="1" s="1"/>
  <c r="AS278" i="1"/>
  <c r="AV278" i="1" s="1"/>
  <c r="AQ278" i="1"/>
  <c r="AM278" i="1"/>
  <c r="AT277" i="1"/>
  <c r="AS277" i="1"/>
  <c r="AV277" i="1" s="1"/>
  <c r="AY277" i="1" s="1"/>
  <c r="AQ277" i="1"/>
  <c r="AM277" i="1"/>
  <c r="P277" i="1"/>
  <c r="O277" i="1"/>
  <c r="N277" i="1"/>
  <c r="M277" i="1"/>
  <c r="L277" i="1"/>
  <c r="AT276" i="1"/>
  <c r="AW276" i="1" s="1"/>
  <c r="AS276" i="1"/>
  <c r="AV276" i="1" s="1"/>
  <c r="AQ276" i="1"/>
  <c r="AM276" i="1"/>
  <c r="AT275" i="1"/>
  <c r="AW275" i="1" s="1"/>
  <c r="AS275" i="1"/>
  <c r="AV275" i="1" s="1"/>
  <c r="AQ275" i="1"/>
  <c r="AM275" i="1"/>
  <c r="BF274" i="1"/>
  <c r="AT274" i="1"/>
  <c r="AW274" i="1" s="1"/>
  <c r="AS274" i="1"/>
  <c r="AV274" i="1" s="1"/>
  <c r="AQ274" i="1"/>
  <c r="AM274" i="1"/>
  <c r="BF273" i="1"/>
  <c r="AT273" i="1"/>
  <c r="AS273" i="1"/>
  <c r="AV273" i="1" s="1"/>
  <c r="AQ273" i="1"/>
  <c r="AM273" i="1"/>
  <c r="AT272" i="1"/>
  <c r="AS272" i="1"/>
  <c r="AV272" i="1" s="1"/>
  <c r="AQ272" i="1"/>
  <c r="AM272" i="1"/>
  <c r="P272" i="1"/>
  <c r="O272" i="1"/>
  <c r="N272" i="1"/>
  <c r="M272" i="1"/>
  <c r="L272" i="1"/>
  <c r="AT271" i="1"/>
  <c r="AW271" i="1" s="1"/>
  <c r="AS271" i="1"/>
  <c r="AV271" i="1" s="1"/>
  <c r="AQ271" i="1"/>
  <c r="AM271" i="1"/>
  <c r="AT270" i="1"/>
  <c r="AW270" i="1" s="1"/>
  <c r="AS270" i="1"/>
  <c r="AV270" i="1" s="1"/>
  <c r="AQ270" i="1"/>
  <c r="AM270" i="1"/>
  <c r="BF269" i="1"/>
  <c r="AT269" i="1"/>
  <c r="AW269" i="1" s="1"/>
  <c r="AS269" i="1"/>
  <c r="AV269" i="1" s="1"/>
  <c r="AQ269" i="1"/>
  <c r="AM269" i="1"/>
  <c r="BF268" i="1"/>
  <c r="AT268" i="1"/>
  <c r="AW268" i="1" s="1"/>
  <c r="AS268" i="1"/>
  <c r="AV268" i="1" s="1"/>
  <c r="AQ268" i="1"/>
  <c r="AM268" i="1"/>
  <c r="AT267" i="1"/>
  <c r="AW267" i="1" s="1"/>
  <c r="AS267" i="1"/>
  <c r="AV267" i="1" s="1"/>
  <c r="AQ267" i="1"/>
  <c r="AM267" i="1"/>
  <c r="P267" i="1"/>
  <c r="O267" i="1"/>
  <c r="N267" i="1"/>
  <c r="M267" i="1"/>
  <c r="L267" i="1"/>
  <c r="AT266" i="1"/>
  <c r="AW266" i="1" s="1"/>
  <c r="AS266" i="1"/>
  <c r="AV266" i="1" s="1"/>
  <c r="AQ266" i="1"/>
  <c r="AM266" i="1"/>
  <c r="AT265" i="1"/>
  <c r="AW265" i="1" s="1"/>
  <c r="AS265" i="1"/>
  <c r="AV265" i="1" s="1"/>
  <c r="AQ265" i="1"/>
  <c r="AM265" i="1"/>
  <c r="BF264" i="1"/>
  <c r="AT264" i="1"/>
  <c r="AW264" i="1" s="1"/>
  <c r="AS264" i="1"/>
  <c r="AV264" i="1" s="1"/>
  <c r="AQ264" i="1"/>
  <c r="AM264" i="1"/>
  <c r="BF263" i="1"/>
  <c r="AT263" i="1"/>
  <c r="AW263" i="1" s="1"/>
  <c r="AS263" i="1"/>
  <c r="AV263" i="1" s="1"/>
  <c r="AQ263" i="1"/>
  <c r="AM263" i="1"/>
  <c r="AT262" i="1"/>
  <c r="AW262" i="1" s="1"/>
  <c r="AS262" i="1"/>
  <c r="AV262" i="1" s="1"/>
  <c r="AQ262" i="1"/>
  <c r="AM262" i="1"/>
  <c r="P262" i="1"/>
  <c r="O262" i="1"/>
  <c r="N262" i="1"/>
  <c r="M262" i="1"/>
  <c r="L262" i="1"/>
  <c r="AT261" i="1"/>
  <c r="AW261" i="1" s="1"/>
  <c r="AS261" i="1"/>
  <c r="AV261" i="1" s="1"/>
  <c r="AQ261" i="1"/>
  <c r="AM261" i="1"/>
  <c r="AT260" i="1"/>
  <c r="AW260" i="1" s="1"/>
  <c r="AS260" i="1"/>
  <c r="AV260" i="1" s="1"/>
  <c r="AQ260" i="1"/>
  <c r="AM260" i="1"/>
  <c r="AT259" i="1"/>
  <c r="AS259" i="1"/>
  <c r="AV259" i="1" s="1"/>
  <c r="AQ259" i="1"/>
  <c r="AM259" i="1"/>
  <c r="AT258" i="1"/>
  <c r="AS258" i="1"/>
  <c r="AV258" i="1" s="1"/>
  <c r="AQ258" i="1"/>
  <c r="AM258" i="1"/>
  <c r="AT257" i="1"/>
  <c r="AS257" i="1"/>
  <c r="AV257" i="1" s="1"/>
  <c r="AQ257" i="1"/>
  <c r="AM257" i="1"/>
  <c r="P257" i="1"/>
  <c r="O257" i="1"/>
  <c r="N257" i="1"/>
  <c r="M257" i="1"/>
  <c r="L257" i="1"/>
  <c r="AT256" i="1"/>
  <c r="AW256" i="1" s="1"/>
  <c r="AS256" i="1"/>
  <c r="AV256" i="1" s="1"/>
  <c r="AQ256" i="1"/>
  <c r="AM256" i="1"/>
  <c r="AT255" i="1"/>
  <c r="AW255" i="1" s="1"/>
  <c r="AS255" i="1"/>
  <c r="AV255" i="1" s="1"/>
  <c r="AQ255" i="1"/>
  <c r="AM255" i="1"/>
  <c r="BF254" i="1"/>
  <c r="AT254" i="1"/>
  <c r="AW254" i="1" s="1"/>
  <c r="AS254" i="1"/>
  <c r="AV254" i="1" s="1"/>
  <c r="AQ254" i="1"/>
  <c r="AM254" i="1"/>
  <c r="BF253" i="1"/>
  <c r="AT253" i="1"/>
  <c r="AW253" i="1" s="1"/>
  <c r="AS253" i="1"/>
  <c r="AV253" i="1" s="1"/>
  <c r="AQ253" i="1"/>
  <c r="AM253" i="1"/>
  <c r="AT252" i="1"/>
  <c r="AW252" i="1" s="1"/>
  <c r="AS252" i="1"/>
  <c r="AV252" i="1" s="1"/>
  <c r="AQ252" i="1"/>
  <c r="AM252" i="1"/>
  <c r="P252" i="1"/>
  <c r="O252" i="1"/>
  <c r="N252" i="1"/>
  <c r="M252" i="1"/>
  <c r="L252" i="1"/>
  <c r="AT251" i="1"/>
  <c r="AW251" i="1" s="1"/>
  <c r="AS251" i="1"/>
  <c r="AV251" i="1" s="1"/>
  <c r="AQ251" i="1"/>
  <c r="AM251" i="1"/>
  <c r="AT250" i="1"/>
  <c r="AW250" i="1" s="1"/>
  <c r="AS250" i="1"/>
  <c r="AV250" i="1" s="1"/>
  <c r="AQ250" i="1"/>
  <c r="AM250" i="1"/>
  <c r="BF249" i="1"/>
  <c r="AT249" i="1"/>
  <c r="AW249" i="1" s="1"/>
  <c r="AS249" i="1"/>
  <c r="AV249" i="1" s="1"/>
  <c r="AQ249" i="1"/>
  <c r="AM249" i="1"/>
  <c r="BF248" i="1"/>
  <c r="AT248" i="1"/>
  <c r="AW248" i="1" s="1"/>
  <c r="AS248" i="1"/>
  <c r="AV248" i="1" s="1"/>
  <c r="AQ248" i="1"/>
  <c r="AM248" i="1"/>
  <c r="AT247" i="1"/>
  <c r="AW247" i="1" s="1"/>
  <c r="AS247" i="1"/>
  <c r="AV247" i="1" s="1"/>
  <c r="AQ247" i="1"/>
  <c r="AM247" i="1"/>
  <c r="P247" i="1"/>
  <c r="O247" i="1"/>
  <c r="N247" i="1"/>
  <c r="M247" i="1"/>
  <c r="L247" i="1"/>
  <c r="AT246" i="1"/>
  <c r="AW246" i="1" s="1"/>
  <c r="AS246" i="1"/>
  <c r="AV246" i="1" s="1"/>
  <c r="AQ246" i="1"/>
  <c r="AM246" i="1"/>
  <c r="AT245" i="1"/>
  <c r="AW245" i="1" s="1"/>
  <c r="AS245" i="1"/>
  <c r="AV245" i="1" s="1"/>
  <c r="AQ245" i="1"/>
  <c r="AM245" i="1"/>
  <c r="BF244" i="1"/>
  <c r="AT244" i="1"/>
  <c r="AW244" i="1" s="1"/>
  <c r="AS244" i="1"/>
  <c r="AV244" i="1" s="1"/>
  <c r="AQ244" i="1"/>
  <c r="AM244" i="1"/>
  <c r="BF243" i="1"/>
  <c r="AT243" i="1"/>
  <c r="AW243" i="1" s="1"/>
  <c r="AS243" i="1"/>
  <c r="AV243" i="1" s="1"/>
  <c r="AQ243" i="1"/>
  <c r="AM243" i="1"/>
  <c r="AT242" i="1"/>
  <c r="AW242" i="1" s="1"/>
  <c r="AS242" i="1"/>
  <c r="AV242" i="1" s="1"/>
  <c r="AQ242" i="1"/>
  <c r="AM242" i="1"/>
  <c r="P242" i="1"/>
  <c r="O242" i="1"/>
  <c r="N242" i="1"/>
  <c r="M242" i="1"/>
  <c r="L242" i="1"/>
  <c r="AT241" i="1"/>
  <c r="AW241" i="1" s="1"/>
  <c r="AS241" i="1"/>
  <c r="AV241" i="1" s="1"/>
  <c r="AQ241" i="1"/>
  <c r="AM241" i="1"/>
  <c r="AT240" i="1"/>
  <c r="AW240" i="1" s="1"/>
  <c r="AS240" i="1"/>
  <c r="AV240" i="1" s="1"/>
  <c r="AQ240" i="1"/>
  <c r="AM240" i="1"/>
  <c r="BF239" i="1"/>
  <c r="AV239" i="1"/>
  <c r="AT239" i="1"/>
  <c r="AW239" i="1" s="1"/>
  <c r="AS239" i="1"/>
  <c r="AQ239" i="1"/>
  <c r="AM239" i="1"/>
  <c r="BF238" i="1"/>
  <c r="AT238" i="1"/>
  <c r="AW238" i="1" s="1"/>
  <c r="AS238" i="1"/>
  <c r="AV238" i="1" s="1"/>
  <c r="AQ238" i="1"/>
  <c r="AM238" i="1"/>
  <c r="AT237" i="1"/>
  <c r="AW237" i="1" s="1"/>
  <c r="AS237" i="1"/>
  <c r="AV237" i="1" s="1"/>
  <c r="AQ237" i="1"/>
  <c r="AM237" i="1"/>
  <c r="P237" i="1"/>
  <c r="O237" i="1"/>
  <c r="N237" i="1"/>
  <c r="M237" i="1"/>
  <c r="L237" i="1"/>
  <c r="AT236" i="1"/>
  <c r="AW236" i="1" s="1"/>
  <c r="AS236" i="1"/>
  <c r="AV236" i="1" s="1"/>
  <c r="AQ236" i="1"/>
  <c r="AM236" i="1"/>
  <c r="AT235" i="1"/>
  <c r="AW235" i="1" s="1"/>
  <c r="AS235" i="1"/>
  <c r="AV235" i="1" s="1"/>
  <c r="AQ235" i="1"/>
  <c r="AM235" i="1"/>
  <c r="BF234" i="1"/>
  <c r="AT234" i="1"/>
  <c r="AW234" i="1" s="1"/>
  <c r="AS234" i="1"/>
  <c r="AV234" i="1" s="1"/>
  <c r="AQ234" i="1"/>
  <c r="AM234" i="1"/>
  <c r="BF233" i="1"/>
  <c r="AT233" i="1"/>
  <c r="AW233" i="1" s="1"/>
  <c r="AS233" i="1"/>
  <c r="AV233" i="1" s="1"/>
  <c r="AQ233" i="1"/>
  <c r="AM233" i="1"/>
  <c r="AT232" i="1"/>
  <c r="AW232" i="1" s="1"/>
  <c r="AS232" i="1"/>
  <c r="AV232" i="1" s="1"/>
  <c r="AQ232" i="1"/>
  <c r="AM232" i="1"/>
  <c r="P232" i="1"/>
  <c r="O232" i="1"/>
  <c r="N232" i="1"/>
  <c r="M232" i="1"/>
  <c r="L232" i="1"/>
  <c r="AT231" i="1"/>
  <c r="AW231" i="1" s="1"/>
  <c r="AS231" i="1"/>
  <c r="AV231" i="1" s="1"/>
  <c r="AQ231" i="1"/>
  <c r="AM231" i="1"/>
  <c r="AT230" i="1"/>
  <c r="AW230" i="1" s="1"/>
  <c r="AS230" i="1"/>
  <c r="AV230" i="1" s="1"/>
  <c r="AQ230" i="1"/>
  <c r="AM230" i="1"/>
  <c r="BF229" i="1"/>
  <c r="AT229" i="1"/>
  <c r="AW229" i="1" s="1"/>
  <c r="AS229" i="1"/>
  <c r="AV229" i="1" s="1"/>
  <c r="AQ229" i="1"/>
  <c r="AM229" i="1"/>
  <c r="BF228" i="1"/>
  <c r="AT228" i="1"/>
  <c r="AW228" i="1" s="1"/>
  <c r="AS228" i="1"/>
  <c r="AV228" i="1" s="1"/>
  <c r="AQ228" i="1"/>
  <c r="AM228" i="1"/>
  <c r="AT227" i="1"/>
  <c r="AW227" i="1" s="1"/>
  <c r="AS227" i="1"/>
  <c r="AQ227" i="1"/>
  <c r="AM227" i="1"/>
  <c r="P227" i="1"/>
  <c r="O227" i="1"/>
  <c r="N227" i="1"/>
  <c r="M227" i="1"/>
  <c r="L227" i="1"/>
  <c r="AT226" i="1"/>
  <c r="AW226" i="1" s="1"/>
  <c r="AS226" i="1"/>
  <c r="AV226" i="1" s="1"/>
  <c r="AQ226" i="1"/>
  <c r="AM226" i="1"/>
  <c r="AT225" i="1"/>
  <c r="AW225" i="1" s="1"/>
  <c r="AS225" i="1"/>
  <c r="AV225" i="1" s="1"/>
  <c r="AQ225" i="1"/>
  <c r="AM225" i="1"/>
  <c r="BF224" i="1"/>
  <c r="AT224" i="1"/>
  <c r="AW224" i="1" s="1"/>
  <c r="AS224" i="1"/>
  <c r="AV224" i="1" s="1"/>
  <c r="AQ224" i="1"/>
  <c r="AM224" i="1"/>
  <c r="BF223" i="1"/>
  <c r="AT223" i="1"/>
  <c r="AW223" i="1" s="1"/>
  <c r="AS223" i="1"/>
  <c r="AV223" i="1" s="1"/>
  <c r="AQ223" i="1"/>
  <c r="AM223" i="1"/>
  <c r="AT222" i="1"/>
  <c r="AW222" i="1" s="1"/>
  <c r="AS222" i="1"/>
  <c r="AV222" i="1" s="1"/>
  <c r="AQ222" i="1"/>
  <c r="AM222" i="1"/>
  <c r="P222" i="1"/>
  <c r="O222" i="1"/>
  <c r="N222" i="1"/>
  <c r="M222" i="1"/>
  <c r="L222" i="1"/>
  <c r="AT221" i="1"/>
  <c r="AW221" i="1" s="1"/>
  <c r="AS221" i="1"/>
  <c r="AV221" i="1" s="1"/>
  <c r="AQ221" i="1"/>
  <c r="AM221" i="1"/>
  <c r="AT220" i="1"/>
  <c r="AW220" i="1" s="1"/>
  <c r="AS220" i="1"/>
  <c r="AV220" i="1" s="1"/>
  <c r="AQ220" i="1"/>
  <c r="AM220" i="1"/>
  <c r="BF219" i="1"/>
  <c r="AT219" i="1"/>
  <c r="AW219" i="1" s="1"/>
  <c r="AS219" i="1"/>
  <c r="AV219" i="1" s="1"/>
  <c r="AQ219" i="1"/>
  <c r="AM219" i="1"/>
  <c r="BF218" i="1"/>
  <c r="AT218" i="1"/>
  <c r="AW218" i="1" s="1"/>
  <c r="AS218" i="1"/>
  <c r="AV218" i="1" s="1"/>
  <c r="AQ218" i="1"/>
  <c r="AM218" i="1"/>
  <c r="AT217" i="1"/>
  <c r="AW217" i="1" s="1"/>
  <c r="AS217" i="1"/>
  <c r="AV217" i="1" s="1"/>
  <c r="AQ217" i="1"/>
  <c r="AM217" i="1"/>
  <c r="P217" i="1"/>
  <c r="O217" i="1"/>
  <c r="N217" i="1"/>
  <c r="M217" i="1"/>
  <c r="L217" i="1"/>
  <c r="AT216" i="1"/>
  <c r="AW216" i="1" s="1"/>
  <c r="AS216" i="1"/>
  <c r="AV216" i="1" s="1"/>
  <c r="AQ216" i="1"/>
  <c r="AM216" i="1"/>
  <c r="AT215" i="1"/>
  <c r="AW215" i="1" s="1"/>
  <c r="AS215" i="1"/>
  <c r="AV215" i="1" s="1"/>
  <c r="AQ215" i="1"/>
  <c r="AM215" i="1"/>
  <c r="BF214" i="1"/>
  <c r="AT214" i="1"/>
  <c r="AW214" i="1" s="1"/>
  <c r="AS214" i="1"/>
  <c r="AV214" i="1" s="1"/>
  <c r="AQ214" i="1"/>
  <c r="AM214" i="1"/>
  <c r="BF213" i="1"/>
  <c r="AT213" i="1"/>
  <c r="AW213" i="1" s="1"/>
  <c r="AS213" i="1"/>
  <c r="AV213" i="1" s="1"/>
  <c r="AQ213" i="1"/>
  <c r="AM213" i="1"/>
  <c r="AT212" i="1"/>
  <c r="AW212" i="1" s="1"/>
  <c r="AS212" i="1"/>
  <c r="AQ212" i="1"/>
  <c r="AM212" i="1"/>
  <c r="P212" i="1"/>
  <c r="O212" i="1"/>
  <c r="N212" i="1"/>
  <c r="M212" i="1"/>
  <c r="L212" i="1"/>
  <c r="AT211" i="1"/>
  <c r="AW211" i="1" s="1"/>
  <c r="AS211" i="1"/>
  <c r="AV211" i="1" s="1"/>
  <c r="AQ211" i="1"/>
  <c r="AM211" i="1"/>
  <c r="AT210" i="1"/>
  <c r="AW210" i="1" s="1"/>
  <c r="AS210" i="1"/>
  <c r="AV210" i="1" s="1"/>
  <c r="AQ210" i="1"/>
  <c r="AM210" i="1"/>
  <c r="AT209" i="1"/>
  <c r="AW209" i="1" s="1"/>
  <c r="AS209" i="1"/>
  <c r="AV209" i="1" s="1"/>
  <c r="AQ209" i="1"/>
  <c r="AM209" i="1"/>
  <c r="AT208" i="1"/>
  <c r="AW208" i="1" s="1"/>
  <c r="AS208" i="1"/>
  <c r="AV208" i="1" s="1"/>
  <c r="AQ208" i="1"/>
  <c r="AM208" i="1"/>
  <c r="AT207" i="1"/>
  <c r="AW207" i="1" s="1"/>
  <c r="AS207" i="1"/>
  <c r="AQ207" i="1"/>
  <c r="AM207" i="1"/>
  <c r="P207" i="1"/>
  <c r="O207" i="1"/>
  <c r="N207" i="1"/>
  <c r="M207" i="1"/>
  <c r="L207" i="1"/>
  <c r="AT206" i="1"/>
  <c r="AW206" i="1" s="1"/>
  <c r="AS206" i="1"/>
  <c r="AV206" i="1" s="1"/>
  <c r="AQ206" i="1"/>
  <c r="AM206" i="1"/>
  <c r="AT205" i="1"/>
  <c r="AW205" i="1" s="1"/>
  <c r="AS205" i="1"/>
  <c r="AV205" i="1" s="1"/>
  <c r="AQ205" i="1"/>
  <c r="AM205" i="1"/>
  <c r="BF204" i="1"/>
  <c r="AT204" i="1"/>
  <c r="AW204" i="1" s="1"/>
  <c r="AS204" i="1"/>
  <c r="AV204" i="1" s="1"/>
  <c r="AQ204" i="1"/>
  <c r="AM204" i="1"/>
  <c r="BF203" i="1"/>
  <c r="AT203" i="1"/>
  <c r="AW203" i="1" s="1"/>
  <c r="AS203" i="1"/>
  <c r="AV203" i="1" s="1"/>
  <c r="AQ203" i="1"/>
  <c r="AM203" i="1"/>
  <c r="AT202" i="1"/>
  <c r="AW202" i="1" s="1"/>
  <c r="AS202" i="1"/>
  <c r="AV202" i="1" s="1"/>
  <c r="AQ202" i="1"/>
  <c r="AM202" i="1"/>
  <c r="P202" i="1"/>
  <c r="O202" i="1"/>
  <c r="N202" i="1"/>
  <c r="M202" i="1"/>
  <c r="L202" i="1"/>
  <c r="AT201" i="1"/>
  <c r="AW201" i="1" s="1"/>
  <c r="AS201" i="1"/>
  <c r="AV201" i="1" s="1"/>
  <c r="AQ201" i="1"/>
  <c r="AM201" i="1"/>
  <c r="AT200" i="1"/>
  <c r="AW200" i="1" s="1"/>
  <c r="AS200" i="1"/>
  <c r="AV200" i="1" s="1"/>
  <c r="AQ200" i="1"/>
  <c r="AM200" i="1"/>
  <c r="BF199" i="1"/>
  <c r="AT199" i="1"/>
  <c r="AW199" i="1" s="1"/>
  <c r="AS199" i="1"/>
  <c r="AV199" i="1" s="1"/>
  <c r="AQ199" i="1"/>
  <c r="AM199" i="1"/>
  <c r="BF198" i="1"/>
  <c r="AT198" i="1"/>
  <c r="AW198" i="1" s="1"/>
  <c r="AS198" i="1"/>
  <c r="AV198" i="1" s="1"/>
  <c r="AQ198" i="1"/>
  <c r="AM198" i="1"/>
  <c r="AT197" i="1"/>
  <c r="AW197" i="1" s="1"/>
  <c r="AS197" i="1"/>
  <c r="AV197" i="1" s="1"/>
  <c r="AQ197" i="1"/>
  <c r="AM197" i="1"/>
  <c r="P197" i="1"/>
  <c r="O197" i="1"/>
  <c r="N197" i="1"/>
  <c r="M197" i="1"/>
  <c r="L197" i="1"/>
  <c r="AT196" i="1"/>
  <c r="AW196" i="1" s="1"/>
  <c r="AS196" i="1"/>
  <c r="AV196" i="1" s="1"/>
  <c r="AQ196" i="1"/>
  <c r="AM196" i="1"/>
  <c r="AT195" i="1"/>
  <c r="AW195" i="1" s="1"/>
  <c r="AS195" i="1"/>
  <c r="AV195" i="1" s="1"/>
  <c r="AQ195" i="1"/>
  <c r="AM195" i="1"/>
  <c r="BF194" i="1"/>
  <c r="AT194" i="1"/>
  <c r="AW194" i="1" s="1"/>
  <c r="AS194" i="1"/>
  <c r="AV194" i="1" s="1"/>
  <c r="AQ194" i="1"/>
  <c r="AM194" i="1"/>
  <c r="BF193" i="1"/>
  <c r="AT193" i="1"/>
  <c r="AW193" i="1" s="1"/>
  <c r="AS193" i="1"/>
  <c r="AV193" i="1" s="1"/>
  <c r="AQ193" i="1"/>
  <c r="AM193" i="1"/>
  <c r="AT192" i="1"/>
  <c r="AW192" i="1" s="1"/>
  <c r="AS192" i="1"/>
  <c r="AV192" i="1" s="1"/>
  <c r="AQ192" i="1"/>
  <c r="AM192" i="1"/>
  <c r="P192" i="1"/>
  <c r="O192" i="1"/>
  <c r="N192" i="1"/>
  <c r="M192" i="1"/>
  <c r="L192" i="1"/>
  <c r="AT191" i="1"/>
  <c r="AW191" i="1" s="1"/>
  <c r="AS191" i="1"/>
  <c r="AV191" i="1" s="1"/>
  <c r="AQ191" i="1"/>
  <c r="AM191" i="1"/>
  <c r="AT190" i="1"/>
  <c r="AW190" i="1" s="1"/>
  <c r="AS190" i="1"/>
  <c r="AV190" i="1" s="1"/>
  <c r="AQ190" i="1"/>
  <c r="AM190" i="1"/>
  <c r="BF189" i="1"/>
  <c r="AT189" i="1"/>
  <c r="AW189" i="1" s="1"/>
  <c r="AS189" i="1"/>
  <c r="AV189" i="1" s="1"/>
  <c r="AQ189" i="1"/>
  <c r="AM189" i="1"/>
  <c r="BF188" i="1"/>
  <c r="AT188" i="1"/>
  <c r="AW188" i="1" s="1"/>
  <c r="AS188" i="1"/>
  <c r="AV188" i="1" s="1"/>
  <c r="AQ188" i="1"/>
  <c r="AM188" i="1"/>
  <c r="AT187" i="1"/>
  <c r="AW187" i="1" s="1"/>
  <c r="AS187" i="1"/>
  <c r="AV187" i="1" s="1"/>
  <c r="AQ187" i="1"/>
  <c r="AM187" i="1"/>
  <c r="P187" i="1"/>
  <c r="O187" i="1"/>
  <c r="N187" i="1"/>
  <c r="M187" i="1"/>
  <c r="L187" i="1"/>
  <c r="AT186" i="1"/>
  <c r="AW186" i="1" s="1"/>
  <c r="AS186" i="1"/>
  <c r="AV186" i="1" s="1"/>
  <c r="AQ186" i="1"/>
  <c r="AM186" i="1"/>
  <c r="AT185" i="1"/>
  <c r="AW185" i="1" s="1"/>
  <c r="AS185" i="1"/>
  <c r="AV185" i="1" s="1"/>
  <c r="AQ185" i="1"/>
  <c r="AM185" i="1"/>
  <c r="BF184" i="1"/>
  <c r="AT184" i="1"/>
  <c r="AW184" i="1" s="1"/>
  <c r="AS184" i="1"/>
  <c r="AV184" i="1" s="1"/>
  <c r="AQ184" i="1"/>
  <c r="AM184" i="1"/>
  <c r="BF183" i="1"/>
  <c r="AT183" i="1"/>
  <c r="AW183" i="1" s="1"/>
  <c r="AS183" i="1"/>
  <c r="AV183" i="1" s="1"/>
  <c r="AQ183" i="1"/>
  <c r="AM183" i="1"/>
  <c r="AT182" i="1"/>
  <c r="AW182" i="1" s="1"/>
  <c r="AS182" i="1"/>
  <c r="AV182" i="1" s="1"/>
  <c r="AQ182" i="1"/>
  <c r="AM182" i="1"/>
  <c r="P182" i="1"/>
  <c r="O182" i="1"/>
  <c r="N182" i="1"/>
  <c r="M182" i="1"/>
  <c r="L182" i="1"/>
  <c r="AT181" i="1"/>
  <c r="AW181" i="1" s="1"/>
  <c r="AS181" i="1"/>
  <c r="AV181" i="1" s="1"/>
  <c r="AQ181" i="1"/>
  <c r="AM181" i="1"/>
  <c r="AT180" i="1"/>
  <c r="AW180" i="1" s="1"/>
  <c r="AS180" i="1"/>
  <c r="AV180" i="1" s="1"/>
  <c r="AQ180" i="1"/>
  <c r="AM180" i="1"/>
  <c r="BF179" i="1"/>
  <c r="AT179" i="1"/>
  <c r="AW179" i="1" s="1"/>
  <c r="AS179" i="1"/>
  <c r="AV179" i="1" s="1"/>
  <c r="AQ179" i="1"/>
  <c r="AM179" i="1"/>
  <c r="BF178" i="1"/>
  <c r="AT178" i="1"/>
  <c r="AW178" i="1" s="1"/>
  <c r="AS178" i="1"/>
  <c r="AV178" i="1" s="1"/>
  <c r="AQ178" i="1"/>
  <c r="AM178" i="1"/>
  <c r="AT177" i="1"/>
  <c r="AW177" i="1" s="1"/>
  <c r="AS177" i="1"/>
  <c r="AV177" i="1" s="1"/>
  <c r="AQ177" i="1"/>
  <c r="AM177" i="1"/>
  <c r="P177" i="1"/>
  <c r="O177" i="1"/>
  <c r="N177" i="1"/>
  <c r="M177" i="1"/>
  <c r="L177" i="1"/>
  <c r="AT176" i="1"/>
  <c r="AW176" i="1" s="1"/>
  <c r="AS176" i="1"/>
  <c r="AV176" i="1" s="1"/>
  <c r="AQ176" i="1"/>
  <c r="AM176" i="1"/>
  <c r="AT175" i="1"/>
  <c r="AW175" i="1" s="1"/>
  <c r="AS175" i="1"/>
  <c r="AV175" i="1" s="1"/>
  <c r="AQ175" i="1"/>
  <c r="AM175" i="1"/>
  <c r="BF174" i="1"/>
  <c r="AT174" i="1"/>
  <c r="AW174" i="1" s="1"/>
  <c r="AS174" i="1"/>
  <c r="AV174" i="1" s="1"/>
  <c r="AQ174" i="1"/>
  <c r="AM174" i="1"/>
  <c r="BF173" i="1"/>
  <c r="AT173" i="1"/>
  <c r="AW173" i="1" s="1"/>
  <c r="AS173" i="1"/>
  <c r="AV173" i="1" s="1"/>
  <c r="AQ173" i="1"/>
  <c r="AM173" i="1"/>
  <c r="AT172" i="1"/>
  <c r="AW172" i="1" s="1"/>
  <c r="AS172" i="1"/>
  <c r="AV172" i="1" s="1"/>
  <c r="AQ172" i="1"/>
  <c r="AM172" i="1"/>
  <c r="P172" i="1"/>
  <c r="O172" i="1"/>
  <c r="N172" i="1"/>
  <c r="M172" i="1"/>
  <c r="L172" i="1"/>
  <c r="AT171" i="1"/>
  <c r="AW171" i="1" s="1"/>
  <c r="AS171" i="1"/>
  <c r="AV171" i="1" s="1"/>
  <c r="AQ171" i="1"/>
  <c r="AM171" i="1"/>
  <c r="AT170" i="1"/>
  <c r="AW170" i="1" s="1"/>
  <c r="AS170" i="1"/>
  <c r="AV170" i="1" s="1"/>
  <c r="AQ170" i="1"/>
  <c r="AM170" i="1"/>
  <c r="BF169" i="1"/>
  <c r="AT169" i="1"/>
  <c r="AW169" i="1" s="1"/>
  <c r="AS169" i="1"/>
  <c r="AV169" i="1" s="1"/>
  <c r="AQ169" i="1"/>
  <c r="AM169" i="1"/>
  <c r="BF168" i="1"/>
  <c r="AT168" i="1"/>
  <c r="AW168" i="1" s="1"/>
  <c r="AS168" i="1"/>
  <c r="AV168" i="1" s="1"/>
  <c r="AQ168" i="1"/>
  <c r="AM168" i="1"/>
  <c r="AT167" i="1"/>
  <c r="AW167" i="1" s="1"/>
  <c r="AS167" i="1"/>
  <c r="AV167" i="1" s="1"/>
  <c r="AQ167" i="1"/>
  <c r="AM167" i="1"/>
  <c r="P167" i="1"/>
  <c r="O167" i="1"/>
  <c r="N167" i="1"/>
  <c r="M167" i="1"/>
  <c r="L167" i="1"/>
  <c r="AT166" i="1"/>
  <c r="AW166" i="1" s="1"/>
  <c r="AS166" i="1"/>
  <c r="AV166" i="1" s="1"/>
  <c r="AQ166" i="1"/>
  <c r="AM166" i="1"/>
  <c r="AT165" i="1"/>
  <c r="AW165" i="1" s="1"/>
  <c r="AS165" i="1"/>
  <c r="AV165" i="1" s="1"/>
  <c r="AQ165" i="1"/>
  <c r="AM165" i="1"/>
  <c r="BF164" i="1"/>
  <c r="AT164" i="1"/>
  <c r="AW164" i="1" s="1"/>
  <c r="AS164" i="1"/>
  <c r="AV164" i="1" s="1"/>
  <c r="AQ164" i="1"/>
  <c r="AM164" i="1"/>
  <c r="BF163" i="1"/>
  <c r="AT163" i="1"/>
  <c r="AW163" i="1" s="1"/>
  <c r="AS163" i="1"/>
  <c r="AV163" i="1" s="1"/>
  <c r="AQ163" i="1"/>
  <c r="AM163" i="1"/>
  <c r="AT162" i="1"/>
  <c r="AW162" i="1" s="1"/>
  <c r="AS162" i="1"/>
  <c r="AV162" i="1" s="1"/>
  <c r="AQ162" i="1"/>
  <c r="AM162" i="1"/>
  <c r="P162" i="1"/>
  <c r="O162" i="1"/>
  <c r="N162" i="1"/>
  <c r="M162" i="1"/>
  <c r="L162" i="1"/>
  <c r="AT161" i="1"/>
  <c r="AW161" i="1" s="1"/>
  <c r="AS161" i="1"/>
  <c r="AV161" i="1" s="1"/>
  <c r="AQ161" i="1"/>
  <c r="AM161" i="1"/>
  <c r="AR161" i="1" s="1"/>
  <c r="AU161" i="1" s="1"/>
  <c r="AT160" i="1"/>
  <c r="AW160" i="1" s="1"/>
  <c r="AS160" i="1"/>
  <c r="AV160" i="1" s="1"/>
  <c r="AQ160" i="1"/>
  <c r="AM160" i="1"/>
  <c r="AT159" i="1"/>
  <c r="AW159" i="1" s="1"/>
  <c r="AS159" i="1"/>
  <c r="AV159" i="1" s="1"/>
  <c r="AQ159" i="1"/>
  <c r="AM159" i="1"/>
  <c r="AT158" i="1"/>
  <c r="AW158" i="1" s="1"/>
  <c r="AS158" i="1"/>
  <c r="AV158" i="1" s="1"/>
  <c r="AQ158" i="1"/>
  <c r="AM158" i="1"/>
  <c r="AT157" i="1"/>
  <c r="AW157" i="1" s="1"/>
  <c r="AS157" i="1"/>
  <c r="AQ157" i="1"/>
  <c r="AM157" i="1"/>
  <c r="P157" i="1"/>
  <c r="O157" i="1"/>
  <c r="N157" i="1"/>
  <c r="M157" i="1"/>
  <c r="L157" i="1"/>
  <c r="AT156" i="1"/>
  <c r="AW156" i="1" s="1"/>
  <c r="AS156" i="1"/>
  <c r="AV156" i="1" s="1"/>
  <c r="AQ156" i="1"/>
  <c r="AM156" i="1"/>
  <c r="AT155" i="1"/>
  <c r="AW155" i="1" s="1"/>
  <c r="AS155" i="1"/>
  <c r="AV155" i="1" s="1"/>
  <c r="AQ155" i="1"/>
  <c r="AM155" i="1"/>
  <c r="BF154" i="1"/>
  <c r="AT154" i="1"/>
  <c r="AW154" i="1" s="1"/>
  <c r="AS154" i="1"/>
  <c r="AV154" i="1" s="1"/>
  <c r="AQ154" i="1"/>
  <c r="AM154" i="1"/>
  <c r="BF153" i="1"/>
  <c r="AT153" i="1"/>
  <c r="AW153" i="1" s="1"/>
  <c r="AS153" i="1"/>
  <c r="AV153" i="1" s="1"/>
  <c r="AQ153" i="1"/>
  <c r="AM153" i="1"/>
  <c r="AT152" i="1"/>
  <c r="AW152" i="1" s="1"/>
  <c r="AS152" i="1"/>
  <c r="AV152" i="1" s="1"/>
  <c r="AQ152" i="1"/>
  <c r="AM152" i="1"/>
  <c r="P152" i="1"/>
  <c r="O152" i="1"/>
  <c r="N152" i="1"/>
  <c r="M152" i="1"/>
  <c r="L152" i="1"/>
  <c r="AT151" i="1"/>
  <c r="AW151" i="1" s="1"/>
  <c r="AS151" i="1"/>
  <c r="AV151" i="1" s="1"/>
  <c r="AQ151" i="1"/>
  <c r="AM151" i="1"/>
  <c r="AT150" i="1"/>
  <c r="AW150" i="1" s="1"/>
  <c r="AS150" i="1"/>
  <c r="AV150" i="1" s="1"/>
  <c r="AQ150" i="1"/>
  <c r="AM150" i="1"/>
  <c r="BF149" i="1"/>
  <c r="AT149" i="1"/>
  <c r="AW149" i="1" s="1"/>
  <c r="AS149" i="1"/>
  <c r="AV149" i="1" s="1"/>
  <c r="AQ149" i="1"/>
  <c r="AM149" i="1"/>
  <c r="BF148" i="1"/>
  <c r="AT148" i="1"/>
  <c r="AW148" i="1" s="1"/>
  <c r="AS148" i="1"/>
  <c r="AV148" i="1" s="1"/>
  <c r="AQ148" i="1"/>
  <c r="AM148" i="1"/>
  <c r="AT147" i="1"/>
  <c r="AW147" i="1" s="1"/>
  <c r="AS147" i="1"/>
  <c r="AV147" i="1" s="1"/>
  <c r="AQ147" i="1"/>
  <c r="AM147" i="1"/>
  <c r="P147" i="1"/>
  <c r="O147" i="1"/>
  <c r="N147" i="1"/>
  <c r="M147" i="1"/>
  <c r="L147" i="1"/>
  <c r="AT146" i="1"/>
  <c r="AW146" i="1" s="1"/>
  <c r="AS146" i="1"/>
  <c r="AV146" i="1" s="1"/>
  <c r="AQ146" i="1"/>
  <c r="AM146" i="1"/>
  <c r="AT145" i="1"/>
  <c r="AW145" i="1" s="1"/>
  <c r="AS145" i="1"/>
  <c r="AV145" i="1" s="1"/>
  <c r="AQ145" i="1"/>
  <c r="AM145" i="1"/>
  <c r="BF144" i="1"/>
  <c r="AT144" i="1"/>
  <c r="AW144" i="1" s="1"/>
  <c r="AS144" i="1"/>
  <c r="AV144" i="1" s="1"/>
  <c r="AQ144" i="1"/>
  <c r="AM144" i="1"/>
  <c r="BF143" i="1"/>
  <c r="AT143" i="1"/>
  <c r="AW143" i="1" s="1"/>
  <c r="AS143" i="1"/>
  <c r="AV143" i="1" s="1"/>
  <c r="AQ143" i="1"/>
  <c r="AM143" i="1"/>
  <c r="AT142" i="1"/>
  <c r="AW142" i="1" s="1"/>
  <c r="AS142" i="1"/>
  <c r="AV142" i="1" s="1"/>
  <c r="AQ142" i="1"/>
  <c r="AM142" i="1"/>
  <c r="P142" i="1"/>
  <c r="O142" i="1"/>
  <c r="N142" i="1"/>
  <c r="M142" i="1"/>
  <c r="L142" i="1"/>
  <c r="AT141" i="1"/>
  <c r="AW141" i="1" s="1"/>
  <c r="AS141" i="1"/>
  <c r="AV141" i="1" s="1"/>
  <c r="AQ141" i="1"/>
  <c r="AM141" i="1"/>
  <c r="AT140" i="1"/>
  <c r="AW140" i="1" s="1"/>
  <c r="AS140" i="1"/>
  <c r="AV140" i="1" s="1"/>
  <c r="AQ140" i="1"/>
  <c r="AM140" i="1"/>
  <c r="BF139" i="1"/>
  <c r="AT139" i="1"/>
  <c r="AW139" i="1" s="1"/>
  <c r="AS139" i="1"/>
  <c r="AV139" i="1" s="1"/>
  <c r="AQ139" i="1"/>
  <c r="AM139" i="1"/>
  <c r="BF138" i="1"/>
  <c r="AT138" i="1"/>
  <c r="AW138" i="1" s="1"/>
  <c r="AS138" i="1"/>
  <c r="AV138" i="1" s="1"/>
  <c r="AQ138" i="1"/>
  <c r="AM138" i="1"/>
  <c r="AT137" i="1"/>
  <c r="AW137" i="1" s="1"/>
  <c r="AS137" i="1"/>
  <c r="AV137" i="1" s="1"/>
  <c r="AQ137" i="1"/>
  <c r="AM137" i="1"/>
  <c r="P137" i="1"/>
  <c r="O137" i="1"/>
  <c r="N137" i="1"/>
  <c r="M137" i="1"/>
  <c r="L137" i="1"/>
  <c r="AT136" i="1"/>
  <c r="AW136" i="1" s="1"/>
  <c r="AS136" i="1"/>
  <c r="AV136" i="1" s="1"/>
  <c r="AQ136" i="1"/>
  <c r="AM136" i="1"/>
  <c r="AT135" i="1"/>
  <c r="AW135" i="1" s="1"/>
  <c r="AS135" i="1"/>
  <c r="AV135" i="1" s="1"/>
  <c r="AQ135" i="1"/>
  <c r="AM135" i="1"/>
  <c r="BF134" i="1"/>
  <c r="AT134" i="1"/>
  <c r="AW134" i="1" s="1"/>
  <c r="AS134" i="1"/>
  <c r="AV134" i="1" s="1"/>
  <c r="AQ134" i="1"/>
  <c r="AM134" i="1"/>
  <c r="BF133" i="1"/>
  <c r="AT133" i="1"/>
  <c r="AW133" i="1" s="1"/>
  <c r="AS133" i="1"/>
  <c r="AV133" i="1" s="1"/>
  <c r="AQ133" i="1"/>
  <c r="AM133" i="1"/>
  <c r="AT132" i="1"/>
  <c r="AW132" i="1" s="1"/>
  <c r="AS132" i="1"/>
  <c r="AV132" i="1" s="1"/>
  <c r="AQ132" i="1"/>
  <c r="AM132" i="1"/>
  <c r="P132" i="1"/>
  <c r="O132" i="1"/>
  <c r="N132" i="1"/>
  <c r="M132" i="1"/>
  <c r="L132" i="1"/>
  <c r="AT131" i="1"/>
  <c r="AW131" i="1" s="1"/>
  <c r="AS131" i="1"/>
  <c r="AV131" i="1" s="1"/>
  <c r="AQ131" i="1"/>
  <c r="AM131" i="1"/>
  <c r="AT130" i="1"/>
  <c r="AW130" i="1" s="1"/>
  <c r="AS130" i="1"/>
  <c r="AV130" i="1" s="1"/>
  <c r="AQ130" i="1"/>
  <c r="AM130" i="1"/>
  <c r="BF129" i="1"/>
  <c r="AT129" i="1"/>
  <c r="AW129" i="1" s="1"/>
  <c r="AS129" i="1"/>
  <c r="AV129" i="1" s="1"/>
  <c r="AQ129" i="1"/>
  <c r="AM129" i="1"/>
  <c r="BF128" i="1"/>
  <c r="AT128" i="1"/>
  <c r="AW128" i="1" s="1"/>
  <c r="AS128" i="1"/>
  <c r="AV128" i="1" s="1"/>
  <c r="AQ128" i="1"/>
  <c r="AM128" i="1"/>
  <c r="AT127" i="1"/>
  <c r="AS127" i="1"/>
  <c r="AV127" i="1" s="1"/>
  <c r="AY127" i="1" s="1"/>
  <c r="AQ127" i="1"/>
  <c r="AM127" i="1"/>
  <c r="P127" i="1"/>
  <c r="O127" i="1"/>
  <c r="N127" i="1"/>
  <c r="M127" i="1"/>
  <c r="L127" i="1"/>
  <c r="AT126" i="1"/>
  <c r="AW126" i="1" s="1"/>
  <c r="AS126" i="1"/>
  <c r="AV126" i="1" s="1"/>
  <c r="AQ126" i="1"/>
  <c r="AM126" i="1"/>
  <c r="AT125" i="1"/>
  <c r="AW125" i="1" s="1"/>
  <c r="AS125" i="1"/>
  <c r="AV125" i="1" s="1"/>
  <c r="AQ125" i="1"/>
  <c r="AM125" i="1"/>
  <c r="BF124" i="1"/>
  <c r="AT124" i="1"/>
  <c r="AS124" i="1"/>
  <c r="AV124" i="1" s="1"/>
  <c r="AQ124" i="1"/>
  <c r="AM124" i="1"/>
  <c r="BF123" i="1"/>
  <c r="AT123" i="1"/>
  <c r="AS123" i="1"/>
  <c r="AV123" i="1" s="1"/>
  <c r="AQ123" i="1"/>
  <c r="AM123" i="1"/>
  <c r="AT122" i="1"/>
  <c r="AS122" i="1"/>
  <c r="AQ122" i="1"/>
  <c r="AM122" i="1"/>
  <c r="AT121" i="1"/>
  <c r="AW121" i="1" s="1"/>
  <c r="AS121" i="1"/>
  <c r="AV121" i="1" s="1"/>
  <c r="AQ121" i="1"/>
  <c r="AM121" i="1"/>
  <c r="AT120" i="1"/>
  <c r="AW120" i="1" s="1"/>
  <c r="AS120" i="1"/>
  <c r="AV120" i="1" s="1"/>
  <c r="AQ120" i="1"/>
  <c r="AM120" i="1"/>
  <c r="BF119" i="1"/>
  <c r="AT119" i="1"/>
  <c r="AS119" i="1"/>
  <c r="AV119" i="1" s="1"/>
  <c r="AQ119" i="1"/>
  <c r="AM119" i="1"/>
  <c r="BF118" i="1"/>
  <c r="AT118" i="1"/>
  <c r="AS118" i="1"/>
  <c r="AV118" i="1" s="1"/>
  <c r="AQ118" i="1"/>
  <c r="AM118" i="1"/>
  <c r="AT117" i="1"/>
  <c r="AS117" i="1"/>
  <c r="AQ117" i="1"/>
  <c r="AM117" i="1"/>
  <c r="AT116" i="1"/>
  <c r="AW116" i="1" s="1"/>
  <c r="AS116" i="1"/>
  <c r="AV116" i="1" s="1"/>
  <c r="AQ116" i="1"/>
  <c r="AM116" i="1"/>
  <c r="AT115" i="1"/>
  <c r="AW115" i="1" s="1"/>
  <c r="AS115" i="1"/>
  <c r="AV115" i="1" s="1"/>
  <c r="AQ115" i="1"/>
  <c r="AM115" i="1"/>
  <c r="BF114" i="1"/>
  <c r="AT114" i="1"/>
  <c r="AW114" i="1" s="1"/>
  <c r="AS114" i="1"/>
  <c r="AV114" i="1" s="1"/>
  <c r="AQ114" i="1"/>
  <c r="AM114" i="1"/>
  <c r="BF113" i="1"/>
  <c r="AT113" i="1"/>
  <c r="AW113" i="1" s="1"/>
  <c r="AS113" i="1"/>
  <c r="AV113" i="1" s="1"/>
  <c r="AQ113" i="1"/>
  <c r="AM113" i="1"/>
  <c r="AT112" i="1"/>
  <c r="AW112" i="1" s="1"/>
  <c r="AS112" i="1"/>
  <c r="AQ112" i="1"/>
  <c r="AM112" i="1"/>
  <c r="AT111" i="1"/>
  <c r="AW111" i="1" s="1"/>
  <c r="AS111" i="1"/>
  <c r="AV111" i="1" s="1"/>
  <c r="AQ111" i="1"/>
  <c r="AM111" i="1"/>
  <c r="AT110" i="1"/>
  <c r="AW110" i="1" s="1"/>
  <c r="AS110" i="1"/>
  <c r="AV110" i="1" s="1"/>
  <c r="AQ110" i="1"/>
  <c r="AM110" i="1"/>
  <c r="AT109" i="1"/>
  <c r="AW109" i="1" s="1"/>
  <c r="AS109" i="1"/>
  <c r="AV109" i="1" s="1"/>
  <c r="AQ109" i="1"/>
  <c r="AM109" i="1"/>
  <c r="AT108" i="1"/>
  <c r="AW108" i="1" s="1"/>
  <c r="AS108" i="1"/>
  <c r="AV108" i="1" s="1"/>
  <c r="AQ108" i="1"/>
  <c r="AM108" i="1"/>
  <c r="AT107" i="1"/>
  <c r="AW107" i="1" s="1"/>
  <c r="AS107" i="1"/>
  <c r="AQ107" i="1"/>
  <c r="AM107" i="1"/>
  <c r="AT106" i="1"/>
  <c r="AW106" i="1" s="1"/>
  <c r="AS106" i="1"/>
  <c r="AV106" i="1" s="1"/>
  <c r="AQ106" i="1"/>
  <c r="AM106" i="1"/>
  <c r="AT105" i="1"/>
  <c r="AW105" i="1" s="1"/>
  <c r="AS105" i="1"/>
  <c r="AV105" i="1" s="1"/>
  <c r="AQ105" i="1"/>
  <c r="AM105" i="1"/>
  <c r="BF104" i="1"/>
  <c r="AT104" i="1"/>
  <c r="AW104" i="1" s="1"/>
  <c r="AS104" i="1"/>
  <c r="AV104" i="1" s="1"/>
  <c r="AQ104" i="1"/>
  <c r="AM104" i="1"/>
  <c r="BF103" i="1"/>
  <c r="AT103" i="1"/>
  <c r="AW103" i="1" s="1"/>
  <c r="AS103" i="1"/>
  <c r="AV103" i="1" s="1"/>
  <c r="AQ103" i="1"/>
  <c r="AM103" i="1"/>
  <c r="AT102" i="1"/>
  <c r="AW102" i="1" s="1"/>
  <c r="AS102" i="1"/>
  <c r="AV102" i="1" s="1"/>
  <c r="AQ102" i="1"/>
  <c r="AM102" i="1"/>
  <c r="P102" i="1"/>
  <c r="O102" i="1"/>
  <c r="N102" i="1"/>
  <c r="M102" i="1"/>
  <c r="L102" i="1"/>
  <c r="AT101" i="1"/>
  <c r="AW101" i="1" s="1"/>
  <c r="AS101" i="1"/>
  <c r="AV101" i="1" s="1"/>
  <c r="AQ101" i="1"/>
  <c r="AM101" i="1"/>
  <c r="AT100" i="1"/>
  <c r="AW100" i="1" s="1"/>
  <c r="AS100" i="1"/>
  <c r="AV100" i="1" s="1"/>
  <c r="AQ100" i="1"/>
  <c r="AM100" i="1"/>
  <c r="BF99" i="1"/>
  <c r="AT99" i="1"/>
  <c r="AW99" i="1" s="1"/>
  <c r="AS99" i="1"/>
  <c r="AV99" i="1" s="1"/>
  <c r="AQ99" i="1"/>
  <c r="AM99" i="1"/>
  <c r="BF98" i="1"/>
  <c r="AT98" i="1"/>
  <c r="AW98" i="1" s="1"/>
  <c r="AS98" i="1"/>
  <c r="AV98" i="1" s="1"/>
  <c r="AQ98" i="1"/>
  <c r="AM98" i="1"/>
  <c r="AT97" i="1"/>
  <c r="AW97" i="1" s="1"/>
  <c r="AS97" i="1"/>
  <c r="AV97" i="1" s="1"/>
  <c r="AQ97" i="1"/>
  <c r="AM97" i="1"/>
  <c r="P97" i="1"/>
  <c r="O97" i="1"/>
  <c r="N97" i="1"/>
  <c r="M97" i="1"/>
  <c r="L97" i="1"/>
  <c r="AT96" i="1"/>
  <c r="AW96" i="1" s="1"/>
  <c r="AS96" i="1"/>
  <c r="AV96" i="1" s="1"/>
  <c r="AQ96" i="1"/>
  <c r="AM96" i="1"/>
  <c r="AT95" i="1"/>
  <c r="AW95" i="1" s="1"/>
  <c r="AS95" i="1"/>
  <c r="AV95" i="1" s="1"/>
  <c r="AQ95" i="1"/>
  <c r="AM95" i="1"/>
  <c r="BF94" i="1"/>
  <c r="AT94" i="1"/>
  <c r="AW94" i="1" s="1"/>
  <c r="AS94" i="1"/>
  <c r="AV94" i="1" s="1"/>
  <c r="AQ94" i="1"/>
  <c r="AM94" i="1"/>
  <c r="BF93" i="1"/>
  <c r="AT93" i="1"/>
  <c r="AW93" i="1" s="1"/>
  <c r="AS93" i="1"/>
  <c r="AV93" i="1" s="1"/>
  <c r="AQ93" i="1"/>
  <c r="AM93" i="1"/>
  <c r="AT92" i="1"/>
  <c r="AW92" i="1" s="1"/>
  <c r="AS92" i="1"/>
  <c r="AQ92" i="1"/>
  <c r="AM92" i="1"/>
  <c r="P92" i="1"/>
  <c r="O92" i="1"/>
  <c r="N92" i="1"/>
  <c r="M92" i="1"/>
  <c r="L92" i="1"/>
  <c r="AT91" i="1"/>
  <c r="AW91" i="1" s="1"/>
  <c r="AS91" i="1"/>
  <c r="AV91" i="1" s="1"/>
  <c r="AQ91" i="1"/>
  <c r="AM91" i="1"/>
  <c r="AT90" i="1"/>
  <c r="AW90" i="1" s="1"/>
  <c r="AS90" i="1"/>
  <c r="AV90" i="1" s="1"/>
  <c r="AQ90" i="1"/>
  <c r="AM90" i="1"/>
  <c r="BF89" i="1"/>
  <c r="AT89" i="1"/>
  <c r="AW89" i="1" s="1"/>
  <c r="AS89" i="1"/>
  <c r="AV89" i="1" s="1"/>
  <c r="AQ89" i="1"/>
  <c r="AM89" i="1"/>
  <c r="BF88" i="1"/>
  <c r="AT88" i="1"/>
  <c r="AS88" i="1"/>
  <c r="AV88" i="1" s="1"/>
  <c r="AQ88" i="1"/>
  <c r="AM88" i="1"/>
  <c r="AT87" i="1"/>
  <c r="AW87" i="1" s="1"/>
  <c r="AS87" i="1"/>
  <c r="AQ87" i="1"/>
  <c r="AM87" i="1"/>
  <c r="P87" i="1"/>
  <c r="O87" i="1"/>
  <c r="N87" i="1"/>
  <c r="M87" i="1"/>
  <c r="L87" i="1"/>
  <c r="AT86" i="1"/>
  <c r="AW86" i="1" s="1"/>
  <c r="AS86" i="1"/>
  <c r="AV86" i="1" s="1"/>
  <c r="AQ86" i="1"/>
  <c r="AM86" i="1"/>
  <c r="AT85" i="1"/>
  <c r="AW85" i="1" s="1"/>
  <c r="AS85" i="1"/>
  <c r="AV85" i="1" s="1"/>
  <c r="AQ85" i="1"/>
  <c r="AM85" i="1"/>
  <c r="BF84" i="1"/>
  <c r="AT84" i="1"/>
  <c r="AW84" i="1" s="1"/>
  <c r="AS84" i="1"/>
  <c r="AQ84" i="1"/>
  <c r="AM84" i="1"/>
  <c r="BF83" i="1"/>
  <c r="AT83" i="1"/>
  <c r="AS83" i="1"/>
  <c r="AV83" i="1" s="1"/>
  <c r="AQ83" i="1"/>
  <c r="AM83" i="1"/>
  <c r="AT82" i="1"/>
  <c r="AS82" i="1"/>
  <c r="AV82" i="1" s="1"/>
  <c r="AQ82" i="1"/>
  <c r="AM82" i="1"/>
  <c r="P82" i="1"/>
  <c r="O82" i="1"/>
  <c r="N82" i="1"/>
  <c r="M82" i="1"/>
  <c r="L82" i="1"/>
  <c r="AT81" i="1"/>
  <c r="AW81" i="1" s="1"/>
  <c r="AS81" i="1"/>
  <c r="AV81" i="1" s="1"/>
  <c r="AQ81" i="1"/>
  <c r="AM81" i="1"/>
  <c r="AT80" i="1"/>
  <c r="AW80" i="1" s="1"/>
  <c r="AS80" i="1"/>
  <c r="AV80" i="1" s="1"/>
  <c r="AQ80" i="1"/>
  <c r="AM80" i="1"/>
  <c r="BF79" i="1"/>
  <c r="AT79" i="1"/>
  <c r="AW79" i="1" s="1"/>
  <c r="AS79" i="1"/>
  <c r="AV79" i="1" s="1"/>
  <c r="AQ79" i="1"/>
  <c r="AM79" i="1"/>
  <c r="BF78" i="1"/>
  <c r="AT78" i="1"/>
  <c r="AS78" i="1"/>
  <c r="AV78" i="1" s="1"/>
  <c r="AQ78" i="1"/>
  <c r="AM78" i="1"/>
  <c r="AT77" i="1"/>
  <c r="AS77" i="1"/>
  <c r="AV77" i="1" s="1"/>
  <c r="AQ77" i="1"/>
  <c r="AM77" i="1"/>
  <c r="P77" i="1"/>
  <c r="O77" i="1"/>
  <c r="N77" i="1"/>
  <c r="M77" i="1"/>
  <c r="L77" i="1"/>
  <c r="AT76" i="1"/>
  <c r="AW76" i="1" s="1"/>
  <c r="AS76" i="1"/>
  <c r="AV76" i="1" s="1"/>
  <c r="AQ76" i="1"/>
  <c r="AM76" i="1"/>
  <c r="AT75" i="1"/>
  <c r="AW75" i="1" s="1"/>
  <c r="AS75" i="1"/>
  <c r="AV75" i="1" s="1"/>
  <c r="AQ75" i="1"/>
  <c r="AM75" i="1"/>
  <c r="BF74" i="1"/>
  <c r="AT74" i="1"/>
  <c r="AS74" i="1"/>
  <c r="AV74" i="1" s="1"/>
  <c r="AQ74" i="1"/>
  <c r="AM74" i="1"/>
  <c r="BF73" i="1"/>
  <c r="AT73" i="1"/>
  <c r="AS73" i="1"/>
  <c r="AV73" i="1" s="1"/>
  <c r="AQ73" i="1"/>
  <c r="AM73" i="1"/>
  <c r="AT72" i="1"/>
  <c r="AS72" i="1"/>
  <c r="AV72" i="1" s="1"/>
  <c r="AQ72" i="1"/>
  <c r="AM72" i="1"/>
  <c r="P72" i="1"/>
  <c r="O72" i="1"/>
  <c r="N72" i="1"/>
  <c r="M72" i="1"/>
  <c r="L72" i="1"/>
  <c r="AT71" i="1"/>
  <c r="AW71" i="1" s="1"/>
  <c r="AS71" i="1"/>
  <c r="AV71" i="1" s="1"/>
  <c r="AQ71" i="1"/>
  <c r="AM71" i="1"/>
  <c r="AT70" i="1"/>
  <c r="AW70" i="1" s="1"/>
  <c r="AS70" i="1"/>
  <c r="AV70" i="1" s="1"/>
  <c r="AQ70" i="1"/>
  <c r="AM70" i="1"/>
  <c r="BF69" i="1"/>
  <c r="AT69" i="1"/>
  <c r="AW69" i="1" s="1"/>
  <c r="AS69" i="1"/>
  <c r="AV69" i="1" s="1"/>
  <c r="AQ69" i="1"/>
  <c r="AM69" i="1"/>
  <c r="BF68" i="1"/>
  <c r="AT68" i="1"/>
  <c r="AS68" i="1"/>
  <c r="AV68" i="1" s="1"/>
  <c r="AQ68" i="1"/>
  <c r="AM68" i="1"/>
  <c r="AT67" i="1"/>
  <c r="AW67" i="1" s="1"/>
  <c r="AS67" i="1"/>
  <c r="AQ67" i="1"/>
  <c r="AM67" i="1"/>
  <c r="P67" i="1"/>
  <c r="O67" i="1"/>
  <c r="N67" i="1"/>
  <c r="M67" i="1"/>
  <c r="L67" i="1"/>
  <c r="AT66" i="1"/>
  <c r="AW66" i="1" s="1"/>
  <c r="AS66" i="1"/>
  <c r="AV66" i="1" s="1"/>
  <c r="AQ66" i="1"/>
  <c r="AM66" i="1"/>
  <c r="AT65" i="1"/>
  <c r="AW65" i="1" s="1"/>
  <c r="AS65" i="1"/>
  <c r="AV65" i="1" s="1"/>
  <c r="AQ65" i="1"/>
  <c r="AM65" i="1"/>
  <c r="BF64" i="1"/>
  <c r="AT64" i="1"/>
  <c r="AW64" i="1" s="1"/>
  <c r="AS64" i="1"/>
  <c r="AV64" i="1" s="1"/>
  <c r="AQ64" i="1"/>
  <c r="AM64" i="1"/>
  <c r="BF63" i="1"/>
  <c r="AT63" i="1"/>
  <c r="AW63" i="1" s="1"/>
  <c r="AS63" i="1"/>
  <c r="AQ63" i="1"/>
  <c r="AM63" i="1"/>
  <c r="AT62" i="1"/>
  <c r="AW62" i="1" s="1"/>
  <c r="AS62" i="1"/>
  <c r="AQ62" i="1"/>
  <c r="AM62" i="1"/>
  <c r="P62" i="1"/>
  <c r="O62" i="1"/>
  <c r="N62" i="1"/>
  <c r="M62" i="1"/>
  <c r="L62" i="1"/>
  <c r="AT61" i="1"/>
  <c r="AW61" i="1" s="1"/>
  <c r="AS61" i="1"/>
  <c r="AV61" i="1" s="1"/>
  <c r="AQ61" i="1"/>
  <c r="AM61" i="1"/>
  <c r="AT60" i="1"/>
  <c r="AW60" i="1" s="1"/>
  <c r="AS60" i="1"/>
  <c r="AQ60" i="1"/>
  <c r="AM60" i="1"/>
  <c r="AT59" i="1"/>
  <c r="AW59" i="1" s="1"/>
  <c r="AS59" i="1"/>
  <c r="AQ59" i="1"/>
  <c r="AM59" i="1"/>
  <c r="AT58" i="1"/>
  <c r="AS58" i="1"/>
  <c r="AV58" i="1" s="1"/>
  <c r="AQ58" i="1"/>
  <c r="AM58" i="1"/>
  <c r="AT57" i="1"/>
  <c r="AS57" i="1"/>
  <c r="AQ57" i="1"/>
  <c r="AM57" i="1"/>
  <c r="P57" i="1"/>
  <c r="O57" i="1"/>
  <c r="N57" i="1"/>
  <c r="M57" i="1"/>
  <c r="L57" i="1"/>
  <c r="AR222" i="1" l="1"/>
  <c r="AU222" i="1" s="1"/>
  <c r="AR150" i="1"/>
  <c r="AU150" i="1" s="1"/>
  <c r="AR224" i="1"/>
  <c r="AU224" i="1" s="1"/>
  <c r="AR128" i="1"/>
  <c r="AU128" i="1" s="1"/>
  <c r="AR210" i="1"/>
  <c r="AU210" i="1" s="1"/>
  <c r="AR248" i="1"/>
  <c r="AU248" i="1" s="1"/>
  <c r="AR70" i="1"/>
  <c r="AU70" i="1" s="1"/>
  <c r="AR198" i="1"/>
  <c r="AU198" i="1" s="1"/>
  <c r="AR204" i="1"/>
  <c r="AU204" i="1" s="1"/>
  <c r="AR930" i="1"/>
  <c r="AU930" i="1" s="1"/>
  <c r="AR958" i="1"/>
  <c r="AU958" i="1" s="1"/>
  <c r="AR959" i="1"/>
  <c r="AU959" i="1" s="1"/>
  <c r="AR451" i="1"/>
  <c r="AU451" i="1" s="1"/>
  <c r="AR309" i="1"/>
  <c r="AU309" i="1" s="1"/>
  <c r="AR271" i="1"/>
  <c r="AU271" i="1" s="1"/>
  <c r="AR353" i="1"/>
  <c r="AU353" i="1" s="1"/>
  <c r="AR529" i="1"/>
  <c r="AU529" i="1" s="1"/>
  <c r="AR644" i="1"/>
  <c r="AU644" i="1" s="1"/>
  <c r="AR995" i="1"/>
  <c r="AU995" i="1" s="1"/>
  <c r="AR996" i="1"/>
  <c r="AU996" i="1" s="1"/>
  <c r="AR501" i="1"/>
  <c r="AU501" i="1" s="1"/>
  <c r="AR592" i="1"/>
  <c r="AU592" i="1" s="1"/>
  <c r="AR672" i="1"/>
  <c r="AU672" i="1" s="1"/>
  <c r="AR679" i="1"/>
  <c r="AU679" i="1" s="1"/>
  <c r="AR331" i="1"/>
  <c r="AU331" i="1" s="1"/>
  <c r="AR570" i="1"/>
  <c r="AU570" i="1" s="1"/>
  <c r="AR632" i="1"/>
  <c r="AU632" i="1" s="1"/>
  <c r="AR843" i="1"/>
  <c r="AU843" i="1" s="1"/>
  <c r="AR872" i="1"/>
  <c r="AU872" i="1" s="1"/>
  <c r="AR305" i="1"/>
  <c r="AU305" i="1" s="1"/>
  <c r="AR306" i="1"/>
  <c r="AU306" i="1" s="1"/>
  <c r="AR243" i="1"/>
  <c r="AU243" i="1" s="1"/>
  <c r="AR255" i="1"/>
  <c r="AU255" i="1" s="1"/>
  <c r="AR256" i="1"/>
  <c r="AU256" i="1" s="1"/>
  <c r="AR108" i="1"/>
  <c r="AU108" i="1" s="1"/>
  <c r="AR109" i="1"/>
  <c r="AU109" i="1" s="1"/>
  <c r="AR190" i="1"/>
  <c r="AU190" i="1" s="1"/>
  <c r="AR202" i="1"/>
  <c r="AU202" i="1" s="1"/>
  <c r="AR759" i="1"/>
  <c r="AU759" i="1" s="1"/>
  <c r="AR768" i="1"/>
  <c r="AU768" i="1" s="1"/>
  <c r="AR824" i="1"/>
  <c r="AU824" i="1" s="1"/>
  <c r="AR115" i="1"/>
  <c r="AU115" i="1" s="1"/>
  <c r="AR125" i="1"/>
  <c r="AU125" i="1" s="1"/>
  <c r="AR126" i="1"/>
  <c r="AU126" i="1" s="1"/>
  <c r="AR130" i="1"/>
  <c r="AU130" i="1" s="1"/>
  <c r="AR133" i="1"/>
  <c r="AU133" i="1" s="1"/>
  <c r="AR169" i="1"/>
  <c r="AU169" i="1" s="1"/>
  <c r="AR178" i="1"/>
  <c r="AU178" i="1" s="1"/>
  <c r="AR208" i="1"/>
  <c r="AU208" i="1" s="1"/>
  <c r="AR227" i="1"/>
  <c r="AU227" i="1" s="1"/>
  <c r="AR228" i="1"/>
  <c r="AU228" i="1" s="1"/>
  <c r="AR237" i="1"/>
  <c r="AU237" i="1" s="1"/>
  <c r="AR238" i="1"/>
  <c r="AU238" i="1" s="1"/>
  <c r="AR261" i="1"/>
  <c r="AU261" i="1" s="1"/>
  <c r="AR312" i="1"/>
  <c r="AU312" i="1" s="1"/>
  <c r="AR313" i="1"/>
  <c r="AU313" i="1" s="1"/>
  <c r="AR317" i="1"/>
  <c r="AU317" i="1" s="1"/>
  <c r="AR324" i="1"/>
  <c r="AU324" i="1" s="1"/>
  <c r="AR340" i="1"/>
  <c r="AU340" i="1" s="1"/>
  <c r="AR341" i="1"/>
  <c r="AU341" i="1" s="1"/>
  <c r="AR392" i="1"/>
  <c r="AU392" i="1" s="1"/>
  <c r="AR404" i="1"/>
  <c r="AU404" i="1" s="1"/>
  <c r="AR424" i="1"/>
  <c r="AU424" i="1" s="1"/>
  <c r="AR431" i="1"/>
  <c r="AU431" i="1" s="1"/>
  <c r="AR435" i="1"/>
  <c r="AU435" i="1" s="1"/>
  <c r="AR449" i="1"/>
  <c r="AU449" i="1" s="1"/>
  <c r="AR480" i="1"/>
  <c r="AU480" i="1" s="1"/>
  <c r="AR520" i="1"/>
  <c r="AU520" i="1" s="1"/>
  <c r="AR541" i="1"/>
  <c r="AU541" i="1" s="1"/>
  <c r="AR554" i="1"/>
  <c r="AU554" i="1" s="1"/>
  <c r="AR590" i="1"/>
  <c r="AU590" i="1" s="1"/>
  <c r="AR829" i="1"/>
  <c r="AU829" i="1" s="1"/>
  <c r="AR884" i="1"/>
  <c r="AU884" i="1" s="1"/>
  <c r="AR922" i="1"/>
  <c r="AU922" i="1" s="1"/>
  <c r="AR949" i="1"/>
  <c r="AU949" i="1" s="1"/>
  <c r="AR1001" i="1"/>
  <c r="AU1001" i="1" s="1"/>
  <c r="AR371" i="1"/>
  <c r="AU371" i="1" s="1"/>
  <c r="AR398" i="1"/>
  <c r="AU398" i="1" s="1"/>
  <c r="AR409" i="1"/>
  <c r="AU409" i="1" s="1"/>
  <c r="AR411" i="1"/>
  <c r="AU411" i="1" s="1"/>
  <c r="AR429" i="1"/>
  <c r="AU429" i="1" s="1"/>
  <c r="AR440" i="1"/>
  <c r="AU440" i="1" s="1"/>
  <c r="AR468" i="1"/>
  <c r="AU468" i="1" s="1"/>
  <c r="AR498" i="1"/>
  <c r="AU498" i="1" s="1"/>
  <c r="AR512" i="1"/>
  <c r="AU512" i="1" s="1"/>
  <c r="AR532" i="1"/>
  <c r="AU532" i="1" s="1"/>
  <c r="AR545" i="1"/>
  <c r="AU545" i="1" s="1"/>
  <c r="AR567" i="1"/>
  <c r="AU567" i="1" s="1"/>
  <c r="AR568" i="1"/>
  <c r="AU568" i="1" s="1"/>
  <c r="AR675" i="1"/>
  <c r="AU675" i="1" s="1"/>
  <c r="AR676" i="1"/>
  <c r="AU676" i="1" s="1"/>
  <c r="AR704" i="1"/>
  <c r="AU704" i="1" s="1"/>
  <c r="AR727" i="1"/>
  <c r="AU727" i="1" s="1"/>
  <c r="AR728" i="1"/>
  <c r="AU728" i="1" s="1"/>
  <c r="AR862" i="1"/>
  <c r="AU862" i="1" s="1"/>
  <c r="AR863" i="1"/>
  <c r="AU863" i="1" s="1"/>
  <c r="AR233" i="1"/>
  <c r="AU233" i="1" s="1"/>
  <c r="Q662" i="1"/>
  <c r="BA662" i="1" s="1"/>
  <c r="AZ662" i="1" s="1"/>
  <c r="AR80" i="1"/>
  <c r="AU80" i="1" s="1"/>
  <c r="AR90" i="1"/>
  <c r="AU90" i="1" s="1"/>
  <c r="AR100" i="1"/>
  <c r="AU100" i="1" s="1"/>
  <c r="AR131" i="1"/>
  <c r="AU131" i="1" s="1"/>
  <c r="AR138" i="1"/>
  <c r="AU138" i="1" s="1"/>
  <c r="AR141" i="1"/>
  <c r="AU141" i="1" s="1"/>
  <c r="AR168" i="1"/>
  <c r="AU168" i="1" s="1"/>
  <c r="AR212" i="1"/>
  <c r="AU212" i="1" s="1"/>
  <c r="AR213" i="1"/>
  <c r="AU213" i="1" s="1"/>
  <c r="AR246" i="1"/>
  <c r="AU246" i="1" s="1"/>
  <c r="AR250" i="1"/>
  <c r="AU250" i="1" s="1"/>
  <c r="AR278" i="1"/>
  <c r="AU278" i="1" s="1"/>
  <c r="AR281" i="1"/>
  <c r="AU281" i="1" s="1"/>
  <c r="AR287" i="1"/>
  <c r="AU287" i="1" s="1"/>
  <c r="AR288" i="1"/>
  <c r="AU288" i="1" s="1"/>
  <c r="AR298" i="1"/>
  <c r="AU298" i="1" s="1"/>
  <c r="AR320" i="1"/>
  <c r="AU320" i="1" s="1"/>
  <c r="AR321" i="1"/>
  <c r="AU321" i="1" s="1"/>
  <c r="AR327" i="1"/>
  <c r="AU327" i="1" s="1"/>
  <c r="AR328" i="1"/>
  <c r="AU328" i="1" s="1"/>
  <c r="AR337" i="1"/>
  <c r="AU337" i="1" s="1"/>
  <c r="AR344" i="1"/>
  <c r="AU344" i="1" s="1"/>
  <c r="AR349" i="1"/>
  <c r="AU349" i="1" s="1"/>
  <c r="AR459" i="1"/>
  <c r="AU459" i="1" s="1"/>
  <c r="AR460" i="1"/>
  <c r="AU460" i="1" s="1"/>
  <c r="AR510" i="1"/>
  <c r="AU510" i="1" s="1"/>
  <c r="AR511" i="1"/>
  <c r="AU511" i="1" s="1"/>
  <c r="AR518" i="1"/>
  <c r="AU518" i="1" s="1"/>
  <c r="AR640" i="1"/>
  <c r="AU640" i="1" s="1"/>
  <c r="AR725" i="1"/>
  <c r="AU725" i="1" s="1"/>
  <c r="AR753" i="1"/>
  <c r="AU753" i="1" s="1"/>
  <c r="AR781" i="1"/>
  <c r="AU781" i="1" s="1"/>
  <c r="AR793" i="1"/>
  <c r="AU793" i="1" s="1"/>
  <c r="AR803" i="1"/>
  <c r="AU803" i="1" s="1"/>
  <c r="AR861" i="1"/>
  <c r="AU861" i="1" s="1"/>
  <c r="AR868" i="1"/>
  <c r="AU868" i="1" s="1"/>
  <c r="AR904" i="1"/>
  <c r="AU904" i="1" s="1"/>
  <c r="AR925" i="1"/>
  <c r="AU925" i="1" s="1"/>
  <c r="AR979" i="1"/>
  <c r="AU979" i="1" s="1"/>
  <c r="AR990" i="1"/>
  <c r="AU990" i="1" s="1"/>
  <c r="AR160" i="1"/>
  <c r="AU160" i="1" s="1"/>
  <c r="AR622" i="1"/>
  <c r="AU622" i="1" s="1"/>
  <c r="AR853" i="1"/>
  <c r="AU853" i="1" s="1"/>
  <c r="AR209" i="1"/>
  <c r="AU209" i="1" s="1"/>
  <c r="AR486" i="1"/>
  <c r="AU486" i="1" s="1"/>
  <c r="AR655" i="1"/>
  <c r="AU655" i="1" s="1"/>
  <c r="AR711" i="1"/>
  <c r="AU711" i="1" s="1"/>
  <c r="AR81" i="1"/>
  <c r="AU81" i="1" s="1"/>
  <c r="AR170" i="1"/>
  <c r="AU170" i="1" s="1"/>
  <c r="AR284" i="1"/>
  <c r="AU284" i="1" s="1"/>
  <c r="AR664" i="1"/>
  <c r="AU664" i="1" s="1"/>
  <c r="AR159" i="1"/>
  <c r="AU159" i="1" s="1"/>
  <c r="AR217" i="1"/>
  <c r="AU217" i="1" s="1"/>
  <c r="AR330" i="1"/>
  <c r="AU330" i="1" s="1"/>
  <c r="AR403" i="1"/>
  <c r="AU403" i="1" s="1"/>
  <c r="AR418" i="1"/>
  <c r="AU418" i="1" s="1"/>
  <c r="AR423" i="1"/>
  <c r="AU423" i="1" s="1"/>
  <c r="AR589" i="1"/>
  <c r="AU589" i="1" s="1"/>
  <c r="AR631" i="1"/>
  <c r="AU631" i="1" s="1"/>
  <c r="AR642" i="1"/>
  <c r="AU642" i="1" s="1"/>
  <c r="AR788" i="1"/>
  <c r="AU788" i="1" s="1"/>
  <c r="AR804" i="1"/>
  <c r="AU804" i="1" s="1"/>
  <c r="AR938" i="1"/>
  <c r="AU938" i="1" s="1"/>
  <c r="AR71" i="1"/>
  <c r="AU71" i="1" s="1"/>
  <c r="AR83" i="1"/>
  <c r="AU83" i="1" s="1"/>
  <c r="AR87" i="1"/>
  <c r="AU87" i="1" s="1"/>
  <c r="AR91" i="1"/>
  <c r="AU91" i="1" s="1"/>
  <c r="AR94" i="1"/>
  <c r="AU94" i="1" s="1"/>
  <c r="AR104" i="1"/>
  <c r="AU104" i="1" s="1"/>
  <c r="AR134" i="1"/>
  <c r="AU134" i="1" s="1"/>
  <c r="AR142" i="1"/>
  <c r="AU142" i="1" s="1"/>
  <c r="AR145" i="1"/>
  <c r="AU145" i="1" s="1"/>
  <c r="AR146" i="1"/>
  <c r="AU146" i="1" s="1"/>
  <c r="AR152" i="1"/>
  <c r="AU152" i="1" s="1"/>
  <c r="AR153" i="1"/>
  <c r="AU153" i="1" s="1"/>
  <c r="AR158" i="1"/>
  <c r="AU158" i="1" s="1"/>
  <c r="AR162" i="1"/>
  <c r="AU162" i="1" s="1"/>
  <c r="AR192" i="1"/>
  <c r="AU192" i="1" s="1"/>
  <c r="AR195" i="1"/>
  <c r="AU195" i="1" s="1"/>
  <c r="AR196" i="1"/>
  <c r="AU196" i="1" s="1"/>
  <c r="AR200" i="1"/>
  <c r="AU200" i="1" s="1"/>
  <c r="AR214" i="1"/>
  <c r="AU214" i="1" s="1"/>
  <c r="AR223" i="1"/>
  <c r="AU223" i="1" s="1"/>
  <c r="AR229" i="1"/>
  <c r="AU229" i="1" s="1"/>
  <c r="AR244" i="1"/>
  <c r="AU244" i="1" s="1"/>
  <c r="AR254" i="1"/>
  <c r="AU254" i="1" s="1"/>
  <c r="AR262" i="1"/>
  <c r="AU262" i="1" s="1"/>
  <c r="AR304" i="1"/>
  <c r="AU304" i="1" s="1"/>
  <c r="AR326" i="1"/>
  <c r="AU326" i="1" s="1"/>
  <c r="AR362" i="1"/>
  <c r="AU362" i="1" s="1"/>
  <c r="AR363" i="1"/>
  <c r="AU363" i="1" s="1"/>
  <c r="AR376" i="1"/>
  <c r="AU376" i="1" s="1"/>
  <c r="AR385" i="1"/>
  <c r="AU385" i="1" s="1"/>
  <c r="AR391" i="1"/>
  <c r="AU391" i="1" s="1"/>
  <c r="AR395" i="1"/>
  <c r="AU395" i="1" s="1"/>
  <c r="AR396" i="1"/>
  <c r="AU396" i="1" s="1"/>
  <c r="AR59" i="1"/>
  <c r="AU59" i="1" s="1"/>
  <c r="AR60" i="1"/>
  <c r="AU60" i="1" s="1"/>
  <c r="AR61" i="1"/>
  <c r="AU61" i="1" s="1"/>
  <c r="AR74" i="1"/>
  <c r="AU74" i="1" s="1"/>
  <c r="AR79" i="1"/>
  <c r="AU79" i="1" s="1"/>
  <c r="AR107" i="1"/>
  <c r="AU107" i="1" s="1"/>
  <c r="AV107" i="1" s="1"/>
  <c r="AY107" i="1" s="1"/>
  <c r="AR112" i="1"/>
  <c r="AU112" i="1" s="1"/>
  <c r="AV112" i="1" s="1"/>
  <c r="AY112" i="1" s="1"/>
  <c r="AR120" i="1"/>
  <c r="AU120" i="1" s="1"/>
  <c r="AR129" i="1"/>
  <c r="AU129" i="1" s="1"/>
  <c r="AR140" i="1"/>
  <c r="AU140" i="1" s="1"/>
  <c r="AR164" i="1"/>
  <c r="AU164" i="1" s="1"/>
  <c r="AR174" i="1"/>
  <c r="AU174" i="1" s="1"/>
  <c r="AR203" i="1"/>
  <c r="AU203" i="1" s="1"/>
  <c r="AR211" i="1"/>
  <c r="AU211" i="1" s="1"/>
  <c r="AR220" i="1"/>
  <c r="AU220" i="1" s="1"/>
  <c r="AR221" i="1"/>
  <c r="AU221" i="1" s="1"/>
  <c r="AR225" i="1"/>
  <c r="AU225" i="1" s="1"/>
  <c r="AR226" i="1"/>
  <c r="AU226" i="1" s="1"/>
  <c r="AR231" i="1"/>
  <c r="AU231" i="1" s="1"/>
  <c r="AR234" i="1"/>
  <c r="AU234" i="1" s="1"/>
  <c r="AR247" i="1"/>
  <c r="AU247" i="1" s="1"/>
  <c r="AR251" i="1"/>
  <c r="AU251" i="1" s="1"/>
  <c r="AR259" i="1"/>
  <c r="AU259" i="1" s="1"/>
  <c r="AR260" i="1"/>
  <c r="AU260" i="1" s="1"/>
  <c r="AR264" i="1"/>
  <c r="AU264" i="1" s="1"/>
  <c r="AR268" i="1"/>
  <c r="AU268" i="1" s="1"/>
  <c r="AR276" i="1"/>
  <c r="AU276" i="1" s="1"/>
  <c r="AR280" i="1"/>
  <c r="AU280" i="1" s="1"/>
  <c r="AR292" i="1"/>
  <c r="AU292" i="1" s="1"/>
  <c r="AR295" i="1"/>
  <c r="AU295" i="1" s="1"/>
  <c r="AR296" i="1"/>
  <c r="AU296" i="1" s="1"/>
  <c r="AR300" i="1"/>
  <c r="AU300" i="1" s="1"/>
  <c r="AR307" i="1"/>
  <c r="AU307" i="1" s="1"/>
  <c r="AR316" i="1"/>
  <c r="AU316" i="1" s="1"/>
  <c r="AR335" i="1"/>
  <c r="AU335" i="1" s="1"/>
  <c r="AR366" i="1"/>
  <c r="AU366" i="1" s="1"/>
  <c r="AR334" i="1"/>
  <c r="AU334" i="1" s="1"/>
  <c r="AR329" i="1"/>
  <c r="AU329" i="1" s="1"/>
  <c r="AR123" i="1"/>
  <c r="AU123" i="1" s="1"/>
  <c r="AW123" i="1" s="1"/>
  <c r="AR136" i="1"/>
  <c r="AU136" i="1" s="1"/>
  <c r="AR166" i="1"/>
  <c r="AU166" i="1" s="1"/>
  <c r="AR189" i="1"/>
  <c r="AU189" i="1" s="1"/>
  <c r="AR265" i="1"/>
  <c r="AU265" i="1" s="1"/>
  <c r="AW317" i="1"/>
  <c r="AR68" i="1"/>
  <c r="AU68" i="1" s="1"/>
  <c r="AW68" i="1" s="1"/>
  <c r="AR116" i="1"/>
  <c r="AU116" i="1" s="1"/>
  <c r="AR188" i="1"/>
  <c r="AU188" i="1" s="1"/>
  <c r="AR325" i="1"/>
  <c r="AU325" i="1" s="1"/>
  <c r="AV337" i="1"/>
  <c r="AY337" i="1" s="1"/>
  <c r="AR346" i="1"/>
  <c r="AU346" i="1" s="1"/>
  <c r="AV392" i="1"/>
  <c r="AY392" i="1" s="1"/>
  <c r="AV362" i="1"/>
  <c r="AY362" i="1" s="1"/>
  <c r="AW338" i="1"/>
  <c r="AW327" i="1"/>
  <c r="AR322" i="1"/>
  <c r="AU322" i="1" s="1"/>
  <c r="AW322" i="1" s="1"/>
  <c r="AW324" i="1"/>
  <c r="AR318" i="1"/>
  <c r="AU318" i="1" s="1"/>
  <c r="AW318" i="1" s="1"/>
  <c r="AY317" i="1"/>
  <c r="AW287" i="1"/>
  <c r="AR277" i="1"/>
  <c r="AU277" i="1" s="1"/>
  <c r="AW277" i="1" s="1"/>
  <c r="AY272" i="1"/>
  <c r="AW272" i="1"/>
  <c r="AR273" i="1"/>
  <c r="AU273" i="1" s="1"/>
  <c r="AW273" i="1" s="1"/>
  <c r="AW259" i="1"/>
  <c r="AY257" i="1"/>
  <c r="BB257" i="1" s="1"/>
  <c r="Q192" i="1"/>
  <c r="Q222" i="1"/>
  <c r="X222" i="1" s="1"/>
  <c r="Y222" i="1" s="1"/>
  <c r="Q227" i="1"/>
  <c r="Q237" i="1"/>
  <c r="X237" i="1" s="1"/>
  <c r="Y237" i="1" s="1"/>
  <c r="Q242" i="1"/>
  <c r="Q302" i="1"/>
  <c r="Q322" i="1"/>
  <c r="X322" i="1" s="1"/>
  <c r="Y322" i="1" s="1"/>
  <c r="Q342" i="1"/>
  <c r="X342" i="1" s="1"/>
  <c r="Y342" i="1" s="1"/>
  <c r="Q352" i="1"/>
  <c r="Q377" i="1"/>
  <c r="Q382" i="1"/>
  <c r="X382" i="1" s="1"/>
  <c r="Y382" i="1" s="1"/>
  <c r="X117" i="1"/>
  <c r="Y117" i="1" s="1"/>
  <c r="AV227" i="1"/>
  <c r="AY227" i="1" s="1"/>
  <c r="AV212" i="1"/>
  <c r="AY212" i="1" s="1"/>
  <c r="AR207" i="1"/>
  <c r="AU207" i="1" s="1"/>
  <c r="AV207" i="1" s="1"/>
  <c r="AY207" i="1" s="1"/>
  <c r="AR157" i="1"/>
  <c r="AU157" i="1" s="1"/>
  <c r="AV157" i="1" s="1"/>
  <c r="AY157" i="1" s="1"/>
  <c r="BB157" i="1" s="1"/>
  <c r="AW122" i="1"/>
  <c r="AR122" i="1"/>
  <c r="AU122" i="1" s="1"/>
  <c r="AV122" i="1" s="1"/>
  <c r="AY122" i="1" s="1"/>
  <c r="AR92" i="1"/>
  <c r="AU92" i="1" s="1"/>
  <c r="AV92" i="1" s="1"/>
  <c r="AY92" i="1" s="1"/>
  <c r="AR88" i="1"/>
  <c r="AU88" i="1" s="1"/>
  <c r="AW88" i="1" s="1"/>
  <c r="AV87" i="1"/>
  <c r="AY87" i="1" s="1"/>
  <c r="AR84" i="1"/>
  <c r="AU84" i="1" s="1"/>
  <c r="AV84" i="1" s="1"/>
  <c r="AY82" i="1" s="1"/>
  <c r="AW83" i="1"/>
  <c r="AY77" i="1"/>
  <c r="AR72" i="1"/>
  <c r="AU72" i="1" s="1"/>
  <c r="AW72" i="1" s="1"/>
  <c r="AW74" i="1"/>
  <c r="AY72" i="1"/>
  <c r="AR67" i="1"/>
  <c r="AU67" i="1" s="1"/>
  <c r="AV67" i="1" s="1"/>
  <c r="AY67" i="1" s="1"/>
  <c r="AV60" i="1"/>
  <c r="AV59" i="1"/>
  <c r="AR58" i="1"/>
  <c r="AU58" i="1" s="1"/>
  <c r="AW58" i="1" s="1"/>
  <c r="AR57" i="1"/>
  <c r="AU57" i="1" s="1"/>
  <c r="AW57" i="1" s="1"/>
  <c r="Q62" i="1"/>
  <c r="Q147" i="1"/>
  <c r="X147" i="1" s="1"/>
  <c r="Y147" i="1" s="1"/>
  <c r="Q212" i="1"/>
  <c r="X212" i="1" s="1"/>
  <c r="Y212" i="1" s="1"/>
  <c r="Q127" i="1"/>
  <c r="Q167" i="1"/>
  <c r="BA167" i="1" s="1"/>
  <c r="Q282" i="1"/>
  <c r="X282" i="1" s="1"/>
  <c r="Y282" i="1" s="1"/>
  <c r="Q327" i="1"/>
  <c r="X327" i="1" s="1"/>
  <c r="Y327" i="1" s="1"/>
  <c r="Q337" i="1"/>
  <c r="Q67" i="1"/>
  <c r="BA67" i="1" s="1"/>
  <c r="AZ67" i="1" s="1"/>
  <c r="Q82" i="1"/>
  <c r="R82" i="1" s="1"/>
  <c r="Q152" i="1"/>
  <c r="R152" i="1" s="1"/>
  <c r="Q162" i="1"/>
  <c r="X162" i="1" s="1"/>
  <c r="Y162" i="1" s="1"/>
  <c r="Q197" i="1"/>
  <c r="Q207" i="1"/>
  <c r="X207" i="1" s="1"/>
  <c r="Y207" i="1" s="1"/>
  <c r="Q317" i="1"/>
  <c r="X317" i="1" s="1"/>
  <c r="Y317" i="1" s="1"/>
  <c r="Q357" i="1"/>
  <c r="Q372" i="1"/>
  <c r="R372" i="1" s="1"/>
  <c r="Q57" i="1"/>
  <c r="Q72" i="1"/>
  <c r="Q137" i="1"/>
  <c r="X137" i="1" s="1"/>
  <c r="Y137" i="1" s="1"/>
  <c r="Q157" i="1"/>
  <c r="Q172" i="1"/>
  <c r="X172" i="1" s="1"/>
  <c r="Y172" i="1" s="1"/>
  <c r="Q187" i="1"/>
  <c r="Q217" i="1"/>
  <c r="X217" i="1" s="1"/>
  <c r="Y217" i="1" s="1"/>
  <c r="Q252" i="1"/>
  <c r="X252" i="1" s="1"/>
  <c r="Y252" i="1" s="1"/>
  <c r="Q262" i="1"/>
  <c r="Q92" i="1"/>
  <c r="Q97" i="1"/>
  <c r="Q142" i="1"/>
  <c r="Q177" i="1"/>
  <c r="Q182" i="1"/>
  <c r="BA182" i="1" s="1"/>
  <c r="AZ182" i="1" s="1"/>
  <c r="Q232" i="1"/>
  <c r="R232" i="1" s="1"/>
  <c r="Q257" i="1"/>
  <c r="Q272" i="1"/>
  <c r="R272" i="1" s="1"/>
  <c r="Q277" i="1"/>
  <c r="Q297" i="1"/>
  <c r="Q307" i="1"/>
  <c r="R307" i="1" s="1"/>
  <c r="Q332" i="1"/>
  <c r="R332" i="1" s="1"/>
  <c r="Q132" i="1"/>
  <c r="X132" i="1" s="1"/>
  <c r="Y132" i="1" s="1"/>
  <c r="Q202" i="1"/>
  <c r="Q247" i="1"/>
  <c r="Q287" i="1"/>
  <c r="Q312" i="1"/>
  <c r="Q367" i="1"/>
  <c r="BA367" i="1" s="1"/>
  <c r="Q77" i="1"/>
  <c r="Q87" i="1"/>
  <c r="Q102" i="1"/>
  <c r="X102" i="1" s="1"/>
  <c r="Y102" i="1" s="1"/>
  <c r="X112" i="1"/>
  <c r="Y112" i="1" s="1"/>
  <c r="Q267" i="1"/>
  <c r="Q292" i="1"/>
  <c r="X292" i="1" s="1"/>
  <c r="Y292" i="1" s="1"/>
  <c r="Q347" i="1"/>
  <c r="Q362" i="1"/>
  <c r="BA362" i="1" s="1"/>
  <c r="AZ362" i="1" s="1"/>
  <c r="Q387" i="1"/>
  <c r="X387" i="1" s="1"/>
  <c r="Y387" i="1" s="1"/>
  <c r="Q392" i="1"/>
  <c r="R392" i="1" s="1"/>
  <c r="Q397" i="1"/>
  <c r="X397" i="1" s="1"/>
  <c r="Y397" i="1" s="1"/>
  <c r="BA192" i="1"/>
  <c r="AR832" i="1"/>
  <c r="AU832" i="1" s="1"/>
  <c r="AR833" i="1"/>
  <c r="AU833" i="1" s="1"/>
  <c r="AR837" i="1"/>
  <c r="AU837" i="1" s="1"/>
  <c r="AR870" i="1"/>
  <c r="AU870" i="1" s="1"/>
  <c r="AR871" i="1"/>
  <c r="AU871" i="1" s="1"/>
  <c r="Q872" i="1"/>
  <c r="R872" i="1" s="1"/>
  <c r="AR579" i="1"/>
  <c r="AU579" i="1" s="1"/>
  <c r="AR588" i="1"/>
  <c r="AU588" i="1" s="1"/>
  <c r="AR599" i="1"/>
  <c r="AU599" i="1" s="1"/>
  <c r="AR617" i="1"/>
  <c r="AU617" i="1" s="1"/>
  <c r="AR625" i="1"/>
  <c r="AU625" i="1" s="1"/>
  <c r="AR630" i="1"/>
  <c r="AU630" i="1" s="1"/>
  <c r="AR652" i="1"/>
  <c r="AU652" i="1" s="1"/>
  <c r="AR684" i="1"/>
  <c r="AU684" i="1" s="1"/>
  <c r="AR430" i="1"/>
  <c r="AU430" i="1" s="1"/>
  <c r="AR469" i="1"/>
  <c r="AU469" i="1" s="1"/>
  <c r="AR479" i="1"/>
  <c r="AU479" i="1" s="1"/>
  <c r="AR504" i="1"/>
  <c r="AU504" i="1" s="1"/>
  <c r="AR558" i="1"/>
  <c r="AU558" i="1" s="1"/>
  <c r="AR559" i="1"/>
  <c r="AU559" i="1" s="1"/>
  <c r="AR609" i="1"/>
  <c r="AU609" i="1" s="1"/>
  <c r="AR614" i="1"/>
  <c r="AU614" i="1" s="1"/>
  <c r="AR648" i="1"/>
  <c r="AU648" i="1" s="1"/>
  <c r="AR724" i="1"/>
  <c r="AU724" i="1" s="1"/>
  <c r="Q732" i="1"/>
  <c r="R732" i="1" s="1"/>
  <c r="AR747" i="1"/>
  <c r="AU747" i="1" s="1"/>
  <c r="AR748" i="1"/>
  <c r="AU748" i="1" s="1"/>
  <c r="AR779" i="1"/>
  <c r="AU779" i="1" s="1"/>
  <c r="AR846" i="1"/>
  <c r="AU846" i="1" s="1"/>
  <c r="AR924" i="1"/>
  <c r="AU924" i="1" s="1"/>
  <c r="AR967" i="1"/>
  <c r="AU967" i="1" s="1"/>
  <c r="AR968" i="1"/>
  <c r="AU968" i="1" s="1"/>
  <c r="AR973" i="1"/>
  <c r="AU973" i="1" s="1"/>
  <c r="AR780" i="1"/>
  <c r="AU780" i="1" s="1"/>
  <c r="AR850" i="1"/>
  <c r="AU850" i="1" s="1"/>
  <c r="AR433" i="1"/>
  <c r="AU433" i="1" s="1"/>
  <c r="AR438" i="1"/>
  <c r="AU438" i="1" s="1"/>
  <c r="AR439" i="1"/>
  <c r="AU439" i="1" s="1"/>
  <c r="AR445" i="1"/>
  <c r="AU445" i="1" s="1"/>
  <c r="AR454" i="1"/>
  <c r="AU454" i="1" s="1"/>
  <c r="AR461" i="1"/>
  <c r="AU461" i="1" s="1"/>
  <c r="AR466" i="1"/>
  <c r="AU466" i="1" s="1"/>
  <c r="AR470" i="1"/>
  <c r="AU470" i="1" s="1"/>
  <c r="AR471" i="1"/>
  <c r="AU471" i="1" s="1"/>
  <c r="AR508" i="1"/>
  <c r="AU508" i="1" s="1"/>
  <c r="AR524" i="1"/>
  <c r="AU524" i="1" s="1"/>
  <c r="AR542" i="1"/>
  <c r="AU542" i="1" s="1"/>
  <c r="AR544" i="1"/>
  <c r="AU544" i="1" s="1"/>
  <c r="AR581" i="1"/>
  <c r="AU581" i="1" s="1"/>
  <c r="AR613" i="1"/>
  <c r="AU613" i="1" s="1"/>
  <c r="AR646" i="1"/>
  <c r="AU646" i="1" s="1"/>
  <c r="AR662" i="1"/>
  <c r="AU662" i="1" s="1"/>
  <c r="AR715" i="1"/>
  <c r="AU715" i="1" s="1"/>
  <c r="AR716" i="1"/>
  <c r="AU716" i="1" s="1"/>
  <c r="Q717" i="1"/>
  <c r="R717" i="1" s="1"/>
  <c r="AR745" i="1"/>
  <c r="AU745" i="1" s="1"/>
  <c r="AR752" i="1"/>
  <c r="AU752" i="1" s="1"/>
  <c r="AR757" i="1"/>
  <c r="AU757" i="1" s="1"/>
  <c r="AR792" i="1"/>
  <c r="AU792" i="1" s="1"/>
  <c r="AR806" i="1"/>
  <c r="AU806" i="1" s="1"/>
  <c r="AR826" i="1"/>
  <c r="AU826" i="1" s="1"/>
  <c r="AR852" i="1"/>
  <c r="AU852" i="1" s="1"/>
  <c r="AR880" i="1"/>
  <c r="AU880" i="1" s="1"/>
  <c r="AR888" i="1"/>
  <c r="AU888" i="1" s="1"/>
  <c r="AR896" i="1"/>
  <c r="AU896" i="1" s="1"/>
  <c r="Q907" i="1"/>
  <c r="BA907" i="1" s="1"/>
  <c r="AR929" i="1"/>
  <c r="AU929" i="1" s="1"/>
  <c r="AR932" i="1"/>
  <c r="AU932" i="1" s="1"/>
  <c r="AR962" i="1"/>
  <c r="AU962" i="1" s="1"/>
  <c r="AR980" i="1"/>
  <c r="AU980" i="1" s="1"/>
  <c r="AR812" i="1"/>
  <c r="AU812" i="1" s="1"/>
  <c r="AR401" i="1"/>
  <c r="AU401" i="1" s="1"/>
  <c r="AR410" i="1"/>
  <c r="AU410" i="1" s="1"/>
  <c r="AR586" i="1"/>
  <c r="AU586" i="1" s="1"/>
  <c r="Q637" i="1"/>
  <c r="R637" i="1" s="1"/>
  <c r="AR375" i="1"/>
  <c r="AU375" i="1" s="1"/>
  <c r="AR388" i="1"/>
  <c r="AU388" i="1" s="1"/>
  <c r="AV388" i="1" s="1"/>
  <c r="AR422" i="1"/>
  <c r="AU422" i="1" s="1"/>
  <c r="AR453" i="1"/>
  <c r="AU453" i="1" s="1"/>
  <c r="AR457" i="1"/>
  <c r="AU457" i="1" s="1"/>
  <c r="AR458" i="1"/>
  <c r="AU458" i="1" s="1"/>
  <c r="AR482" i="1"/>
  <c r="AU482" i="1" s="1"/>
  <c r="AR483" i="1"/>
  <c r="AU483" i="1" s="1"/>
  <c r="AR487" i="1"/>
  <c r="AU487" i="1" s="1"/>
  <c r="AR496" i="1"/>
  <c r="AU496" i="1" s="1"/>
  <c r="AR553" i="1"/>
  <c r="AU553" i="1" s="1"/>
  <c r="AR378" i="1"/>
  <c r="AU378" i="1" s="1"/>
  <c r="AR380" i="1"/>
  <c r="AU380" i="1" s="1"/>
  <c r="AR387" i="1"/>
  <c r="AU387" i="1" s="1"/>
  <c r="AV387" i="1" s="1"/>
  <c r="AY387" i="1" s="1"/>
  <c r="AR394" i="1"/>
  <c r="AU394" i="1" s="1"/>
  <c r="AR412" i="1"/>
  <c r="AU412" i="1" s="1"/>
  <c r="Q422" i="1"/>
  <c r="X422" i="1" s="1"/>
  <c r="Y422" i="1" s="1"/>
  <c r="AR426" i="1"/>
  <c r="AU426" i="1" s="1"/>
  <c r="AR441" i="1"/>
  <c r="AU441" i="1" s="1"/>
  <c r="AR444" i="1"/>
  <c r="AU444" i="1" s="1"/>
  <c r="AR475" i="1"/>
  <c r="AU475" i="1" s="1"/>
  <c r="AR485" i="1"/>
  <c r="AU485" i="1" s="1"/>
  <c r="AR502" i="1"/>
  <c r="AU502" i="1" s="1"/>
  <c r="AR503" i="1"/>
  <c r="AU503" i="1" s="1"/>
  <c r="AR522" i="1"/>
  <c r="AU522" i="1" s="1"/>
  <c r="AR531" i="1"/>
  <c r="AU531" i="1" s="1"/>
  <c r="AR534" i="1"/>
  <c r="AU534" i="1" s="1"/>
  <c r="AR550" i="1"/>
  <c r="AU550" i="1" s="1"/>
  <c r="AR560" i="1"/>
  <c r="AU560" i="1" s="1"/>
  <c r="AR564" i="1"/>
  <c r="AU564" i="1" s="1"/>
  <c r="Q567" i="1"/>
  <c r="R567" i="1" s="1"/>
  <c r="AR605" i="1"/>
  <c r="AU605" i="1" s="1"/>
  <c r="AR606" i="1"/>
  <c r="AU606" i="1" s="1"/>
  <c r="Q607" i="1"/>
  <c r="R607" i="1" s="1"/>
  <c r="AR618" i="1"/>
  <c r="AU618" i="1" s="1"/>
  <c r="AR687" i="1"/>
  <c r="AU687" i="1" s="1"/>
  <c r="AR703" i="1"/>
  <c r="AU703" i="1" s="1"/>
  <c r="Q707" i="1"/>
  <c r="X707" i="1" s="1"/>
  <c r="Y707" i="1" s="1"/>
  <c r="AR761" i="1"/>
  <c r="AU761" i="1" s="1"/>
  <c r="Q762" i="1"/>
  <c r="R762" i="1" s="1"/>
  <c r="AR790" i="1"/>
  <c r="AU790" i="1" s="1"/>
  <c r="AR835" i="1"/>
  <c r="AU835" i="1" s="1"/>
  <c r="Q837" i="1"/>
  <c r="BA837" i="1" s="1"/>
  <c r="AR840" i="1"/>
  <c r="AU840" i="1" s="1"/>
  <c r="AR841" i="1"/>
  <c r="AU841" i="1" s="1"/>
  <c r="AR890" i="1"/>
  <c r="AU890" i="1" s="1"/>
  <c r="AR891" i="1"/>
  <c r="AU891" i="1" s="1"/>
  <c r="AR895" i="1"/>
  <c r="AU895" i="1" s="1"/>
  <c r="AR912" i="1"/>
  <c r="AU912" i="1" s="1"/>
  <c r="AR945" i="1"/>
  <c r="AU945" i="1" s="1"/>
  <c r="AR946" i="1"/>
  <c r="AU946" i="1" s="1"/>
  <c r="AR969" i="1"/>
  <c r="AU969" i="1" s="1"/>
  <c r="Q652" i="1"/>
  <c r="BA652" i="1" s="1"/>
  <c r="AZ652" i="1" s="1"/>
  <c r="AR701" i="1"/>
  <c r="AU701" i="1" s="1"/>
  <c r="AR706" i="1"/>
  <c r="AU706" i="1" s="1"/>
  <c r="AR713" i="1"/>
  <c r="AU713" i="1" s="1"/>
  <c r="AR737" i="1"/>
  <c r="AU737" i="1" s="1"/>
  <c r="AR749" i="1"/>
  <c r="AU749" i="1" s="1"/>
  <c r="AR808" i="1"/>
  <c r="AU808" i="1" s="1"/>
  <c r="AR810" i="1"/>
  <c r="AU810" i="1" s="1"/>
  <c r="AR825" i="1"/>
  <c r="AU825" i="1" s="1"/>
  <c r="AR892" i="1"/>
  <c r="AU892" i="1" s="1"/>
  <c r="AR901" i="1"/>
  <c r="AU901" i="1" s="1"/>
  <c r="Q927" i="1"/>
  <c r="BA927" i="1" s="1"/>
  <c r="AR960" i="1"/>
  <c r="AU960" i="1" s="1"/>
  <c r="Q972" i="1"/>
  <c r="BA972" i="1" s="1"/>
  <c r="AZ972" i="1" s="1"/>
  <c r="AR993" i="1"/>
  <c r="AU993" i="1" s="1"/>
  <c r="AR1006" i="1"/>
  <c r="AU1006" i="1" s="1"/>
  <c r="AR604" i="1"/>
  <c r="AU604" i="1" s="1"/>
  <c r="AR624" i="1"/>
  <c r="AU624" i="1" s="1"/>
  <c r="AR628" i="1"/>
  <c r="AU628" i="1" s="1"/>
  <c r="AR637" i="1"/>
  <c r="AU637" i="1" s="1"/>
  <c r="AR658" i="1"/>
  <c r="AU658" i="1" s="1"/>
  <c r="AR673" i="1"/>
  <c r="AU673" i="1" s="1"/>
  <c r="AR678" i="1"/>
  <c r="AU678" i="1" s="1"/>
  <c r="AR681" i="1"/>
  <c r="AU681" i="1" s="1"/>
  <c r="AR693" i="1"/>
  <c r="AU693" i="1" s="1"/>
  <c r="AR720" i="1"/>
  <c r="AU720" i="1" s="1"/>
  <c r="AR721" i="1"/>
  <c r="AU721" i="1" s="1"/>
  <c r="AR729" i="1"/>
  <c r="AU729" i="1" s="1"/>
  <c r="AR734" i="1"/>
  <c r="AU734" i="1" s="1"/>
  <c r="AR746" i="1"/>
  <c r="AU746" i="1" s="1"/>
  <c r="AR760" i="1"/>
  <c r="AU760" i="1" s="1"/>
  <c r="AR766" i="1"/>
  <c r="AU766" i="1" s="1"/>
  <c r="AR784" i="1"/>
  <c r="AU784" i="1" s="1"/>
  <c r="AR787" i="1"/>
  <c r="AU787" i="1" s="1"/>
  <c r="AR801" i="1"/>
  <c r="AU801" i="1" s="1"/>
  <c r="AR823" i="1"/>
  <c r="AU823" i="1" s="1"/>
  <c r="AR838" i="1"/>
  <c r="AU838" i="1" s="1"/>
  <c r="AR839" i="1"/>
  <c r="AU839" i="1" s="1"/>
  <c r="AR855" i="1"/>
  <c r="AU855" i="1" s="1"/>
  <c r="AR856" i="1"/>
  <c r="AU856" i="1" s="1"/>
  <c r="AR860" i="1"/>
  <c r="AU860" i="1" s="1"/>
  <c r="AR876" i="1"/>
  <c r="AU876" i="1" s="1"/>
  <c r="AR879" i="1"/>
  <c r="AU879" i="1" s="1"/>
  <c r="AR887" i="1"/>
  <c r="AU887" i="1" s="1"/>
  <c r="AR911" i="1"/>
  <c r="AU911" i="1" s="1"/>
  <c r="AR928" i="1"/>
  <c r="AU928" i="1" s="1"/>
  <c r="AR934" i="1"/>
  <c r="AU934" i="1" s="1"/>
  <c r="AR950" i="1"/>
  <c r="AU950" i="1" s="1"/>
  <c r="AR961" i="1"/>
  <c r="AU961" i="1" s="1"/>
  <c r="Q962" i="1"/>
  <c r="BA962" i="1" s="1"/>
  <c r="AZ962" i="1" s="1"/>
  <c r="AR975" i="1"/>
  <c r="AU975" i="1" s="1"/>
  <c r="Q992" i="1"/>
  <c r="R992" i="1" s="1"/>
  <c r="AR1004" i="1"/>
  <c r="AU1004" i="1" s="1"/>
  <c r="Q427" i="1"/>
  <c r="BA427" i="1" s="1"/>
  <c r="AR492" i="1"/>
  <c r="AU492" i="1" s="1"/>
  <c r="Q412" i="1"/>
  <c r="R412" i="1" s="1"/>
  <c r="AR361" i="1"/>
  <c r="AU361" i="1" s="1"/>
  <c r="AR407" i="1"/>
  <c r="AU407" i="1" s="1"/>
  <c r="Q417" i="1"/>
  <c r="X417" i="1" s="1"/>
  <c r="Y417" i="1" s="1"/>
  <c r="AR421" i="1"/>
  <c r="AU421" i="1" s="1"/>
  <c r="AR450" i="1"/>
  <c r="AU450" i="1" s="1"/>
  <c r="AR494" i="1"/>
  <c r="AU494" i="1" s="1"/>
  <c r="Q777" i="1"/>
  <c r="X777" i="1" s="1"/>
  <c r="Y777" i="1" s="1"/>
  <c r="AR783" i="1"/>
  <c r="AU783" i="1" s="1"/>
  <c r="AR845" i="1"/>
  <c r="AU845" i="1" s="1"/>
  <c r="Q862" i="1"/>
  <c r="R862" i="1" s="1"/>
  <c r="AR898" i="1"/>
  <c r="AU898" i="1" s="1"/>
  <c r="AR910" i="1"/>
  <c r="AU910" i="1" s="1"/>
  <c r="AR509" i="1"/>
  <c r="AU509" i="1" s="1"/>
  <c r="AR543" i="1"/>
  <c r="AU543" i="1" s="1"/>
  <c r="AR580" i="1"/>
  <c r="AU580" i="1" s="1"/>
  <c r="AR585" i="1"/>
  <c r="AU585" i="1" s="1"/>
  <c r="AR381" i="1"/>
  <c r="AU381" i="1" s="1"/>
  <c r="AR400" i="1"/>
  <c r="AU400" i="1" s="1"/>
  <c r="AR408" i="1"/>
  <c r="AU408" i="1" s="1"/>
  <c r="AR414" i="1"/>
  <c r="AU414" i="1" s="1"/>
  <c r="AR419" i="1"/>
  <c r="AU419" i="1" s="1"/>
  <c r="AR473" i="1"/>
  <c r="AU473" i="1" s="1"/>
  <c r="AR489" i="1"/>
  <c r="AU489" i="1" s="1"/>
  <c r="Q557" i="1"/>
  <c r="R557" i="1" s="1"/>
  <c r="AR692" i="1"/>
  <c r="AU692" i="1" s="1"/>
  <c r="AR497" i="1"/>
  <c r="AU497" i="1" s="1"/>
  <c r="AR516" i="1"/>
  <c r="AU516" i="1" s="1"/>
  <c r="AR359" i="1"/>
  <c r="AU359" i="1" s="1"/>
  <c r="AR377" i="1"/>
  <c r="AU377" i="1" s="1"/>
  <c r="AV377" i="1" s="1"/>
  <c r="AY377" i="1" s="1"/>
  <c r="AR389" i="1"/>
  <c r="AU389" i="1" s="1"/>
  <c r="AR399" i="1"/>
  <c r="AU399" i="1" s="1"/>
  <c r="AR413" i="1"/>
  <c r="AU413" i="1" s="1"/>
  <c r="AR420" i="1"/>
  <c r="AU420" i="1" s="1"/>
  <c r="AR425" i="1"/>
  <c r="AU425" i="1" s="1"/>
  <c r="AR428" i="1"/>
  <c r="AU428" i="1" s="1"/>
  <c r="AR432" i="1"/>
  <c r="AU432" i="1" s="1"/>
  <c r="AR434" i="1"/>
  <c r="AU434" i="1" s="1"/>
  <c r="AR437" i="1"/>
  <c r="AU437" i="1" s="1"/>
  <c r="AR442" i="1"/>
  <c r="AU442" i="1" s="1"/>
  <c r="AR452" i="1"/>
  <c r="AU452" i="1" s="1"/>
  <c r="AR472" i="1"/>
  <c r="AU472" i="1" s="1"/>
  <c r="AR481" i="1"/>
  <c r="AU481" i="1" s="1"/>
  <c r="AR484" i="1"/>
  <c r="AU484" i="1" s="1"/>
  <c r="AR488" i="1"/>
  <c r="AU488" i="1" s="1"/>
  <c r="AR506" i="1"/>
  <c r="AU506" i="1" s="1"/>
  <c r="AR514" i="1"/>
  <c r="AU514" i="1" s="1"/>
  <c r="AR528" i="1"/>
  <c r="AU528" i="1" s="1"/>
  <c r="AR530" i="1"/>
  <c r="AU530" i="1" s="1"/>
  <c r="AR538" i="1"/>
  <c r="AU538" i="1" s="1"/>
  <c r="AR557" i="1"/>
  <c r="AU557" i="1" s="1"/>
  <c r="AR561" i="1"/>
  <c r="AU561" i="1" s="1"/>
  <c r="AR565" i="1"/>
  <c r="AU565" i="1" s="1"/>
  <c r="AR572" i="1"/>
  <c r="AU572" i="1" s="1"/>
  <c r="AR600" i="1"/>
  <c r="AU600" i="1" s="1"/>
  <c r="AR601" i="1"/>
  <c r="AU601" i="1" s="1"/>
  <c r="AR611" i="1"/>
  <c r="AU611" i="1" s="1"/>
  <c r="AR620" i="1"/>
  <c r="AU620" i="1" s="1"/>
  <c r="AR635" i="1"/>
  <c r="AU635" i="1" s="1"/>
  <c r="AR650" i="1"/>
  <c r="AU650" i="1" s="1"/>
  <c r="AR667" i="1"/>
  <c r="AU667" i="1" s="1"/>
  <c r="AR669" i="1"/>
  <c r="AU669" i="1" s="1"/>
  <c r="AR683" i="1"/>
  <c r="AU683" i="1" s="1"/>
  <c r="AR744" i="1"/>
  <c r="AU744" i="1" s="1"/>
  <c r="Q752" i="1"/>
  <c r="R752" i="1" s="1"/>
  <c r="Q792" i="1"/>
  <c r="BA792" i="1" s="1"/>
  <c r="AR797" i="1"/>
  <c r="AU797" i="1" s="1"/>
  <c r="AR931" i="1"/>
  <c r="AU931" i="1" s="1"/>
  <c r="AR978" i="1"/>
  <c r="AU978" i="1" s="1"/>
  <c r="AR981" i="1"/>
  <c r="AU981" i="1" s="1"/>
  <c r="AR1000" i="1"/>
  <c r="AU1000" i="1" s="1"/>
  <c r="AR634" i="1"/>
  <c r="AU634" i="1" s="1"/>
  <c r="AR639" i="1"/>
  <c r="AU639" i="1" s="1"/>
  <c r="AR660" i="1"/>
  <c r="AU660" i="1" s="1"/>
  <c r="AR668" i="1"/>
  <c r="AU668" i="1" s="1"/>
  <c r="AR700" i="1"/>
  <c r="AU700" i="1" s="1"/>
  <c r="AR708" i="1"/>
  <c r="AU708" i="1" s="1"/>
  <c r="AR717" i="1"/>
  <c r="AU717" i="1" s="1"/>
  <c r="AR733" i="1"/>
  <c r="AU733" i="1" s="1"/>
  <c r="AR758" i="1"/>
  <c r="AU758" i="1" s="1"/>
  <c r="AR785" i="1"/>
  <c r="AU785" i="1" s="1"/>
  <c r="AR818" i="1"/>
  <c r="AU818" i="1" s="1"/>
  <c r="Q827" i="1"/>
  <c r="BA827" i="1" s="1"/>
  <c r="AZ827" i="1" s="1"/>
  <c r="Q867" i="1"/>
  <c r="X867" i="1" s="1"/>
  <c r="Y867" i="1" s="1"/>
  <c r="AR881" i="1"/>
  <c r="AU881" i="1" s="1"/>
  <c r="AR965" i="1"/>
  <c r="AU965" i="1" s="1"/>
  <c r="AR527" i="1"/>
  <c r="AU527" i="1" s="1"/>
  <c r="AR552" i="1"/>
  <c r="AU552" i="1" s="1"/>
  <c r="AR562" i="1"/>
  <c r="AU562" i="1" s="1"/>
  <c r="AR569" i="1"/>
  <c r="AU569" i="1" s="1"/>
  <c r="AR575" i="1"/>
  <c r="AU575" i="1" s="1"/>
  <c r="AR584" i="1"/>
  <c r="AU584" i="1" s="1"/>
  <c r="AR595" i="1"/>
  <c r="AU595" i="1" s="1"/>
  <c r="AR602" i="1"/>
  <c r="AU602" i="1" s="1"/>
  <c r="AR608" i="1"/>
  <c r="AU608" i="1" s="1"/>
  <c r="AR612" i="1"/>
  <c r="AU612" i="1" s="1"/>
  <c r="AR619" i="1"/>
  <c r="AU619" i="1" s="1"/>
  <c r="AR629" i="1"/>
  <c r="AU629" i="1" s="1"/>
  <c r="AR633" i="1"/>
  <c r="AU633" i="1" s="1"/>
  <c r="AR638" i="1"/>
  <c r="AU638" i="1" s="1"/>
  <c r="AR647" i="1"/>
  <c r="AU647" i="1" s="1"/>
  <c r="AR651" i="1"/>
  <c r="AU651" i="1" s="1"/>
  <c r="AR659" i="1"/>
  <c r="AU659" i="1" s="1"/>
  <c r="AR661" i="1"/>
  <c r="AU661" i="1" s="1"/>
  <c r="AR670" i="1"/>
  <c r="AU670" i="1" s="1"/>
  <c r="AR682" i="1"/>
  <c r="AU682" i="1" s="1"/>
  <c r="AR688" i="1"/>
  <c r="AU688" i="1" s="1"/>
  <c r="AR699" i="1"/>
  <c r="AU699" i="1" s="1"/>
  <c r="AR705" i="1"/>
  <c r="AU705" i="1" s="1"/>
  <c r="AR709" i="1"/>
  <c r="AU709" i="1" s="1"/>
  <c r="AR710" i="1"/>
  <c r="AU710" i="1" s="1"/>
  <c r="AR714" i="1"/>
  <c r="AU714" i="1" s="1"/>
  <c r="AR722" i="1"/>
  <c r="AU722" i="1" s="1"/>
  <c r="AR726" i="1"/>
  <c r="AU726" i="1" s="1"/>
  <c r="AR730" i="1"/>
  <c r="AU730" i="1" s="1"/>
  <c r="AR739" i="1"/>
  <c r="AU739" i="1" s="1"/>
  <c r="AR750" i="1"/>
  <c r="AU750" i="1" s="1"/>
  <c r="AR755" i="1"/>
  <c r="AU755" i="1" s="1"/>
  <c r="AR756" i="1"/>
  <c r="AU756" i="1" s="1"/>
  <c r="AR764" i="1"/>
  <c r="AU764" i="1" s="1"/>
  <c r="AR765" i="1"/>
  <c r="AU765" i="1" s="1"/>
  <c r="AR772" i="1"/>
  <c r="AU772" i="1" s="1"/>
  <c r="AR782" i="1"/>
  <c r="AU782" i="1" s="1"/>
  <c r="Q797" i="1"/>
  <c r="BA797" i="1" s="1"/>
  <c r="Q802" i="1"/>
  <c r="R802" i="1" s="1"/>
  <c r="AR854" i="1"/>
  <c r="AU854" i="1" s="1"/>
  <c r="AR859" i="1"/>
  <c r="AU859" i="1" s="1"/>
  <c r="AR867" i="1"/>
  <c r="AU867" i="1" s="1"/>
  <c r="AR885" i="1"/>
  <c r="AU885" i="1" s="1"/>
  <c r="AR889" i="1"/>
  <c r="AU889" i="1" s="1"/>
  <c r="AR902" i="1"/>
  <c r="AU902" i="1" s="1"/>
  <c r="AR903" i="1"/>
  <c r="AU903" i="1" s="1"/>
  <c r="AR917" i="1"/>
  <c r="AU917" i="1" s="1"/>
  <c r="AR920" i="1"/>
  <c r="AU920" i="1" s="1"/>
  <c r="AR954" i="1"/>
  <c r="AU954" i="1" s="1"/>
  <c r="AR972" i="1"/>
  <c r="AU972" i="1" s="1"/>
  <c r="AR984" i="1"/>
  <c r="AU984" i="1" s="1"/>
  <c r="Q987" i="1"/>
  <c r="X987" i="1" s="1"/>
  <c r="Y987" i="1" s="1"/>
  <c r="AR992" i="1"/>
  <c r="AU992" i="1" s="1"/>
  <c r="AR811" i="1"/>
  <c r="AU811" i="1" s="1"/>
  <c r="AR817" i="1"/>
  <c r="AU817" i="1" s="1"/>
  <c r="AR820" i="1"/>
  <c r="AU820" i="1" s="1"/>
  <c r="AR821" i="1"/>
  <c r="AU821" i="1" s="1"/>
  <c r="AR834" i="1"/>
  <c r="AU834" i="1" s="1"/>
  <c r="AR851" i="1"/>
  <c r="AU851" i="1" s="1"/>
  <c r="AR857" i="1"/>
  <c r="AU857" i="1" s="1"/>
  <c r="AR858" i="1"/>
  <c r="AU858" i="1" s="1"/>
  <c r="AR875" i="1"/>
  <c r="AU875" i="1" s="1"/>
  <c r="AR878" i="1"/>
  <c r="AU878" i="1" s="1"/>
  <c r="AR882" i="1"/>
  <c r="AU882" i="1" s="1"/>
  <c r="AR883" i="1"/>
  <c r="AU883" i="1" s="1"/>
  <c r="AR886" i="1"/>
  <c r="AU886" i="1" s="1"/>
  <c r="AR894" i="1"/>
  <c r="AU894" i="1" s="1"/>
  <c r="AR900" i="1"/>
  <c r="AU900" i="1" s="1"/>
  <c r="AR908" i="1"/>
  <c r="AU908" i="1" s="1"/>
  <c r="AR909" i="1"/>
  <c r="AU909" i="1" s="1"/>
  <c r="AR916" i="1"/>
  <c r="AU916" i="1" s="1"/>
  <c r="AR926" i="1"/>
  <c r="AU926" i="1" s="1"/>
  <c r="AR942" i="1"/>
  <c r="AU942" i="1" s="1"/>
  <c r="AR957" i="1"/>
  <c r="AU957" i="1" s="1"/>
  <c r="AR964" i="1"/>
  <c r="AU964" i="1" s="1"/>
  <c r="AR986" i="1"/>
  <c r="AU986" i="1" s="1"/>
  <c r="AR991" i="1"/>
  <c r="AU991" i="1" s="1"/>
  <c r="AR999" i="1"/>
  <c r="AU999" i="1" s="1"/>
  <c r="AR351" i="1"/>
  <c r="AU351" i="1" s="1"/>
  <c r="AR342" i="1"/>
  <c r="AU342" i="1" s="1"/>
  <c r="AR343" i="1"/>
  <c r="AU343" i="1" s="1"/>
  <c r="AR352" i="1"/>
  <c r="AU352" i="1" s="1"/>
  <c r="AR245" i="1"/>
  <c r="AU245" i="1" s="1"/>
  <c r="AR235" i="1"/>
  <c r="AU235" i="1" s="1"/>
  <c r="AR236" i="1"/>
  <c r="AU236" i="1" s="1"/>
  <c r="AR249" i="1"/>
  <c r="AU249" i="1" s="1"/>
  <c r="AR186" i="1"/>
  <c r="AU186" i="1" s="1"/>
  <c r="AR184" i="1"/>
  <c r="AU184" i="1" s="1"/>
  <c r="AR197" i="1"/>
  <c r="AU197" i="1" s="1"/>
  <c r="AR143" i="1"/>
  <c r="AU143" i="1" s="1"/>
  <c r="AR149" i="1"/>
  <c r="AU149" i="1" s="1"/>
  <c r="AR151" i="1"/>
  <c r="AU151" i="1" s="1"/>
  <c r="AR99" i="1"/>
  <c r="AU99" i="1" s="1"/>
  <c r="AR101" i="1"/>
  <c r="AU101" i="1" s="1"/>
  <c r="BA412" i="1"/>
  <c r="R427" i="1"/>
  <c r="R907" i="1"/>
  <c r="Q402" i="1"/>
  <c r="X402" i="1" s="1"/>
  <c r="Y402" i="1" s="1"/>
  <c r="Q432" i="1"/>
  <c r="Q437" i="1"/>
  <c r="X437" i="1" s="1"/>
  <c r="Y437" i="1" s="1"/>
  <c r="Q442" i="1"/>
  <c r="X442" i="1" s="1"/>
  <c r="Y442" i="1" s="1"/>
  <c r="Q447" i="1"/>
  <c r="Q452" i="1"/>
  <c r="Q472" i="1"/>
  <c r="Q477" i="1"/>
  <c r="X477" i="1" s="1"/>
  <c r="Y477" i="1" s="1"/>
  <c r="Q517" i="1"/>
  <c r="Q527" i="1"/>
  <c r="X527" i="1" s="1"/>
  <c r="Y527" i="1" s="1"/>
  <c r="Q577" i="1"/>
  <c r="Q587" i="1"/>
  <c r="X587" i="1" s="1"/>
  <c r="Y587" i="1" s="1"/>
  <c r="Q597" i="1"/>
  <c r="Q617" i="1"/>
  <c r="Q632" i="1"/>
  <c r="X632" i="1" s="1"/>
  <c r="Y632" i="1" s="1"/>
  <c r="Q647" i="1"/>
  <c r="X647" i="1" s="1"/>
  <c r="Y647" i="1" s="1"/>
  <c r="Q672" i="1"/>
  <c r="Q677" i="1"/>
  <c r="Q687" i="1"/>
  <c r="Q712" i="1"/>
  <c r="X712" i="1" s="1"/>
  <c r="Y712" i="1" s="1"/>
  <c r="Q722" i="1"/>
  <c r="Q727" i="1"/>
  <c r="Q742" i="1"/>
  <c r="Q747" i="1"/>
  <c r="X747" i="1" s="1"/>
  <c r="Y747" i="1" s="1"/>
  <c r="Q772" i="1"/>
  <c r="X772" i="1" s="1"/>
  <c r="Y772" i="1" s="1"/>
  <c r="Q787" i="1"/>
  <c r="X787" i="1" s="1"/>
  <c r="Y787" i="1" s="1"/>
  <c r="Q877" i="1"/>
  <c r="X877" i="1" s="1"/>
  <c r="Y877" i="1" s="1"/>
  <c r="Q932" i="1"/>
  <c r="X932" i="1" s="1"/>
  <c r="Y932" i="1" s="1"/>
  <c r="Q937" i="1"/>
  <c r="X937" i="1" s="1"/>
  <c r="Y937" i="1" s="1"/>
  <c r="Q947" i="1"/>
  <c r="X947" i="1" s="1"/>
  <c r="Y947" i="1" s="1"/>
  <c r="Q952" i="1"/>
  <c r="X952" i="1" s="1"/>
  <c r="Y952" i="1" s="1"/>
  <c r="Q967" i="1"/>
  <c r="Q977" i="1"/>
  <c r="Q407" i="1"/>
  <c r="Q462" i="1"/>
  <c r="Q467" i="1"/>
  <c r="X467" i="1" s="1"/>
  <c r="Y467" i="1" s="1"/>
  <c r="Q492" i="1"/>
  <c r="Q497" i="1"/>
  <c r="Q512" i="1"/>
  <c r="Q542" i="1"/>
  <c r="Q547" i="1"/>
  <c r="Q552" i="1"/>
  <c r="Q562" i="1"/>
  <c r="X562" i="1" s="1"/>
  <c r="Y562" i="1" s="1"/>
  <c r="Q602" i="1"/>
  <c r="X602" i="1" s="1"/>
  <c r="Y602" i="1" s="1"/>
  <c r="Q612" i="1"/>
  <c r="Q627" i="1"/>
  <c r="Q642" i="1"/>
  <c r="Q682" i="1"/>
  <c r="Q697" i="1"/>
  <c r="Q702" i="1"/>
  <c r="Q737" i="1"/>
  <c r="X737" i="1" s="1"/>
  <c r="Y737" i="1" s="1"/>
  <c r="Q767" i="1"/>
  <c r="X767" i="1" s="1"/>
  <c r="Y767" i="1" s="1"/>
  <c r="Q782" i="1"/>
  <c r="X782" i="1" s="1"/>
  <c r="Y782" i="1" s="1"/>
  <c r="Q807" i="1"/>
  <c r="Q817" i="1"/>
  <c r="Q857" i="1"/>
  <c r="X857" i="1" s="1"/>
  <c r="Y857" i="1" s="1"/>
  <c r="Q882" i="1"/>
  <c r="X882" i="1" s="1"/>
  <c r="Y882" i="1" s="1"/>
  <c r="Q892" i="1"/>
  <c r="Q897" i="1"/>
  <c r="X897" i="1" s="1"/>
  <c r="Y897" i="1" s="1"/>
  <c r="Q942" i="1"/>
  <c r="X942" i="1" s="1"/>
  <c r="Y942" i="1" s="1"/>
  <c r="Q957" i="1"/>
  <c r="Q982" i="1"/>
  <c r="Q997" i="1"/>
  <c r="X997" i="1" s="1"/>
  <c r="Y997" i="1" s="1"/>
  <c r="X62" i="1"/>
  <c r="Y62" i="1" s="1"/>
  <c r="Q457" i="1"/>
  <c r="X457" i="1" s="1"/>
  <c r="Y457" i="1" s="1"/>
  <c r="Q482" i="1"/>
  <c r="Q487" i="1"/>
  <c r="X487" i="1" s="1"/>
  <c r="Y487" i="1" s="1"/>
  <c r="Q502" i="1"/>
  <c r="X502" i="1" s="1"/>
  <c r="Y502" i="1" s="1"/>
  <c r="Q507" i="1"/>
  <c r="Q522" i="1"/>
  <c r="Q532" i="1"/>
  <c r="X532" i="1" s="1"/>
  <c r="Y532" i="1" s="1"/>
  <c r="Q537" i="1"/>
  <c r="X537" i="1" s="1"/>
  <c r="Y537" i="1" s="1"/>
  <c r="Q572" i="1"/>
  <c r="Q582" i="1"/>
  <c r="Q592" i="1"/>
  <c r="X592" i="1" s="1"/>
  <c r="Y592" i="1" s="1"/>
  <c r="Q622" i="1"/>
  <c r="Q657" i="1"/>
  <c r="X657" i="1" s="1"/>
  <c r="Y657" i="1" s="1"/>
  <c r="Q667" i="1"/>
  <c r="Q692" i="1"/>
  <c r="X692" i="1" s="1"/>
  <c r="Y692" i="1" s="1"/>
  <c r="Q757" i="1"/>
  <c r="Q812" i="1"/>
  <c r="Q822" i="1"/>
  <c r="X822" i="1" s="1"/>
  <c r="Y822" i="1" s="1"/>
  <c r="Q832" i="1"/>
  <c r="X832" i="1" s="1"/>
  <c r="Y832" i="1" s="1"/>
  <c r="Q842" i="1"/>
  <c r="Q847" i="1"/>
  <c r="X847" i="1" s="1"/>
  <c r="Y847" i="1" s="1"/>
  <c r="Q852" i="1"/>
  <c r="Q887" i="1"/>
  <c r="Q902" i="1"/>
  <c r="X902" i="1" s="1"/>
  <c r="Y902" i="1" s="1"/>
  <c r="Q912" i="1"/>
  <c r="Q917" i="1"/>
  <c r="Q922" i="1"/>
  <c r="Q1002" i="1"/>
  <c r="AR103" i="1"/>
  <c r="AU103" i="1" s="1"/>
  <c r="AR114" i="1"/>
  <c r="AU114" i="1" s="1"/>
  <c r="AR132" i="1"/>
  <c r="AU132" i="1" s="1"/>
  <c r="AR171" i="1"/>
  <c r="AU171" i="1" s="1"/>
  <c r="AR180" i="1"/>
  <c r="AU180" i="1" s="1"/>
  <c r="AR181" i="1"/>
  <c r="AU181" i="1" s="1"/>
  <c r="AR183" i="1"/>
  <c r="AU183" i="1" s="1"/>
  <c r="AR230" i="1"/>
  <c r="AU230" i="1" s="1"/>
  <c r="AR252" i="1"/>
  <c r="AU252" i="1" s="1"/>
  <c r="AR253" i="1"/>
  <c r="AU253" i="1" s="1"/>
  <c r="AR267" i="1"/>
  <c r="AU267" i="1" s="1"/>
  <c r="AR270" i="1"/>
  <c r="AU270" i="1" s="1"/>
  <c r="AR272" i="1"/>
  <c r="AU272" i="1" s="1"/>
  <c r="AR283" i="1"/>
  <c r="AU283" i="1" s="1"/>
  <c r="AR291" i="1"/>
  <c r="AU291" i="1" s="1"/>
  <c r="AR299" i="1"/>
  <c r="AU299" i="1" s="1"/>
  <c r="AR301" i="1"/>
  <c r="AU301" i="1" s="1"/>
  <c r="AR332" i="1"/>
  <c r="AU332" i="1" s="1"/>
  <c r="AR333" i="1"/>
  <c r="AU333" i="1" s="1"/>
  <c r="AR517" i="1"/>
  <c r="AU517" i="1" s="1"/>
  <c r="AR944" i="1"/>
  <c r="AU944" i="1" s="1"/>
  <c r="AR951" i="1"/>
  <c r="AU951" i="1" s="1"/>
  <c r="AR977" i="1"/>
  <c r="AU977" i="1" s="1"/>
  <c r="AR1003" i="1"/>
  <c r="AU1003" i="1" s="1"/>
  <c r="AR85" i="1"/>
  <c r="AU85" i="1" s="1"/>
  <c r="AR65" i="1"/>
  <c r="AU65" i="1" s="1"/>
  <c r="AR89" i="1"/>
  <c r="AU89" i="1" s="1"/>
  <c r="AR105" i="1"/>
  <c r="AU105" i="1" s="1"/>
  <c r="AX497" i="1"/>
  <c r="AR515" i="1"/>
  <c r="AU515" i="1" s="1"/>
  <c r="AR573" i="1"/>
  <c r="AU573" i="1" s="1"/>
  <c r="AX572" i="1" s="1"/>
  <c r="AR64" i="1"/>
  <c r="AU64" i="1" s="1"/>
  <c r="AR69" i="1"/>
  <c r="AU69" i="1" s="1"/>
  <c r="AR118" i="1"/>
  <c r="AU118" i="1" s="1"/>
  <c r="AW118" i="1" s="1"/>
  <c r="AR119" i="1"/>
  <c r="AU119" i="1" s="1"/>
  <c r="AW119" i="1" s="1"/>
  <c r="AR127" i="1"/>
  <c r="AU127" i="1" s="1"/>
  <c r="AW127" i="1" s="1"/>
  <c r="AR139" i="1"/>
  <c r="AU139" i="1" s="1"/>
  <c r="AR154" i="1"/>
  <c r="AU154" i="1" s="1"/>
  <c r="AR172" i="1"/>
  <c r="AU172" i="1" s="1"/>
  <c r="AR194" i="1"/>
  <c r="AU194" i="1" s="1"/>
  <c r="AR199" i="1"/>
  <c r="AU199" i="1" s="1"/>
  <c r="AR201" i="1"/>
  <c r="AU201" i="1" s="1"/>
  <c r="AR206" i="1"/>
  <c r="AU206" i="1" s="1"/>
  <c r="AR216" i="1"/>
  <c r="AU216" i="1" s="1"/>
  <c r="AR218" i="1"/>
  <c r="AU218" i="1" s="1"/>
  <c r="AR257" i="1"/>
  <c r="AU257" i="1" s="1"/>
  <c r="AW257" i="1" s="1"/>
  <c r="AR258" i="1"/>
  <c r="AU258" i="1" s="1"/>
  <c r="AW258" i="1" s="1"/>
  <c r="AR302" i="1"/>
  <c r="AU302" i="1" s="1"/>
  <c r="AR310" i="1"/>
  <c r="AU310" i="1" s="1"/>
  <c r="AR339" i="1"/>
  <c r="AU339" i="1" s="1"/>
  <c r="AR345" i="1"/>
  <c r="AU345" i="1" s="1"/>
  <c r="AR350" i="1"/>
  <c r="AU350" i="1" s="1"/>
  <c r="AR464" i="1"/>
  <c r="AU464" i="1" s="1"/>
  <c r="AR523" i="1"/>
  <c r="AU523" i="1" s="1"/>
  <c r="AR593" i="1"/>
  <c r="AU593" i="1" s="1"/>
  <c r="AX592" i="1" s="1"/>
  <c r="AR686" i="1"/>
  <c r="AU686" i="1" s="1"/>
  <c r="AR689" i="1"/>
  <c r="AU689" i="1" s="1"/>
  <c r="AR795" i="1"/>
  <c r="AU795" i="1" s="1"/>
  <c r="AR796" i="1"/>
  <c r="AU796" i="1" s="1"/>
  <c r="AR798" i="1"/>
  <c r="AU798" i="1" s="1"/>
  <c r="AR800" i="1"/>
  <c r="AU800" i="1" s="1"/>
  <c r="AR147" i="1"/>
  <c r="AU147" i="1" s="1"/>
  <c r="AX147" i="1" s="1"/>
  <c r="AR285" i="1"/>
  <c r="AU285" i="1" s="1"/>
  <c r="AR289" i="1"/>
  <c r="AU289" i="1" s="1"/>
  <c r="AR293" i="1"/>
  <c r="AU293" i="1" s="1"/>
  <c r="AR297" i="1"/>
  <c r="AU297" i="1" s="1"/>
  <c r="AX297" i="1" s="1"/>
  <c r="AR303" i="1"/>
  <c r="AU303" i="1" s="1"/>
  <c r="AR308" i="1"/>
  <c r="AU308" i="1" s="1"/>
  <c r="AR427" i="1"/>
  <c r="AU427" i="1" s="1"/>
  <c r="AX427" i="1" s="1"/>
  <c r="AX512" i="1"/>
  <c r="AR615" i="1"/>
  <c r="AU615" i="1" s="1"/>
  <c r="AR643" i="1"/>
  <c r="AU643" i="1" s="1"/>
  <c r="AR786" i="1"/>
  <c r="AU786" i="1" s="1"/>
  <c r="AR830" i="1"/>
  <c r="AU830" i="1" s="1"/>
  <c r="AR165" i="1"/>
  <c r="AU165" i="1" s="1"/>
  <c r="AR185" i="1"/>
  <c r="AU185" i="1" s="1"/>
  <c r="AR193" i="1"/>
  <c r="AU193" i="1" s="1"/>
  <c r="AR62" i="1"/>
  <c r="AU62" i="1" s="1"/>
  <c r="AV62" i="1" s="1"/>
  <c r="AR66" i="1"/>
  <c r="AU66" i="1" s="1"/>
  <c r="AR73" i="1"/>
  <c r="AU73" i="1" s="1"/>
  <c r="AW73" i="1" s="1"/>
  <c r="AR75" i="1"/>
  <c r="AU75" i="1" s="1"/>
  <c r="AR76" i="1"/>
  <c r="AU76" i="1" s="1"/>
  <c r="AR77" i="1"/>
  <c r="AU77" i="1" s="1"/>
  <c r="AW77" i="1" s="1"/>
  <c r="AR82" i="1"/>
  <c r="AU82" i="1" s="1"/>
  <c r="AW82" i="1" s="1"/>
  <c r="AR86" i="1"/>
  <c r="AU86" i="1" s="1"/>
  <c r="AR93" i="1"/>
  <c r="AU93" i="1" s="1"/>
  <c r="AR95" i="1"/>
  <c r="AU95" i="1" s="1"/>
  <c r="AR96" i="1"/>
  <c r="AU96" i="1" s="1"/>
  <c r="AR97" i="1"/>
  <c r="AU97" i="1" s="1"/>
  <c r="AR106" i="1"/>
  <c r="AU106" i="1" s="1"/>
  <c r="AR110" i="1"/>
  <c r="AU110" i="1" s="1"/>
  <c r="AR111" i="1"/>
  <c r="AU111" i="1" s="1"/>
  <c r="AR135" i="1"/>
  <c r="AU135" i="1" s="1"/>
  <c r="AR137" i="1"/>
  <c r="AU137" i="1" s="1"/>
  <c r="AR144" i="1"/>
  <c r="AU144" i="1" s="1"/>
  <c r="AR148" i="1"/>
  <c r="AU148" i="1" s="1"/>
  <c r="AR163" i="1"/>
  <c r="AU163" i="1" s="1"/>
  <c r="AR167" i="1"/>
  <c r="AU167" i="1" s="1"/>
  <c r="AX167" i="1" s="1"/>
  <c r="AR173" i="1"/>
  <c r="AU173" i="1" s="1"/>
  <c r="AR175" i="1"/>
  <c r="AU175" i="1" s="1"/>
  <c r="AR176" i="1"/>
  <c r="AU176" i="1" s="1"/>
  <c r="AR177" i="1"/>
  <c r="AU177" i="1" s="1"/>
  <c r="AR179" i="1"/>
  <c r="AU179" i="1" s="1"/>
  <c r="AR182" i="1"/>
  <c r="AU182" i="1" s="1"/>
  <c r="AR187" i="1"/>
  <c r="AU187" i="1" s="1"/>
  <c r="AR191" i="1"/>
  <c r="AU191" i="1" s="1"/>
  <c r="AR205" i="1"/>
  <c r="AU205" i="1" s="1"/>
  <c r="AR219" i="1"/>
  <c r="AU219" i="1" s="1"/>
  <c r="AR239" i="1"/>
  <c r="AU239" i="1" s="1"/>
  <c r="AR242" i="1"/>
  <c r="AU242" i="1" s="1"/>
  <c r="AR274" i="1"/>
  <c r="AU274" i="1" s="1"/>
  <c r="AR354" i="1"/>
  <c r="AU354" i="1" s="1"/>
  <c r="AR360" i="1"/>
  <c r="AU360" i="1" s="1"/>
  <c r="AR365" i="1"/>
  <c r="AU365" i="1" s="1"/>
  <c r="AR367" i="1"/>
  <c r="AU367" i="1" s="1"/>
  <c r="AV367" i="1" s="1"/>
  <c r="AY367" i="1" s="1"/>
  <c r="AR369" i="1"/>
  <c r="AU369" i="1" s="1"/>
  <c r="AR374" i="1"/>
  <c r="AU374" i="1" s="1"/>
  <c r="AR379" i="1"/>
  <c r="AU379" i="1" s="1"/>
  <c r="AR382" i="1"/>
  <c r="AU382" i="1" s="1"/>
  <c r="AV382" i="1" s="1"/>
  <c r="AY382" i="1" s="1"/>
  <c r="AR383" i="1"/>
  <c r="AU383" i="1" s="1"/>
  <c r="AR384" i="1"/>
  <c r="AU384" i="1" s="1"/>
  <c r="AR386" i="1"/>
  <c r="AU386" i="1" s="1"/>
  <c r="AR467" i="1"/>
  <c r="AU467" i="1" s="1"/>
  <c r="AR476" i="1"/>
  <c r="AU476" i="1" s="1"/>
  <c r="AR477" i="1"/>
  <c r="AU477" i="1" s="1"/>
  <c r="AR478" i="1"/>
  <c r="AU478" i="1" s="1"/>
  <c r="AR490" i="1"/>
  <c r="AU490" i="1" s="1"/>
  <c r="AR491" i="1"/>
  <c r="AU491" i="1" s="1"/>
  <c r="AR495" i="1"/>
  <c r="AU495" i="1" s="1"/>
  <c r="AR500" i="1"/>
  <c r="AU500" i="1" s="1"/>
  <c r="AR526" i="1"/>
  <c r="AU526" i="1" s="1"/>
  <c r="AX527" i="1"/>
  <c r="AR533" i="1"/>
  <c r="AU533" i="1" s="1"/>
  <c r="AR549" i="1"/>
  <c r="AU549" i="1" s="1"/>
  <c r="AR551" i="1"/>
  <c r="AU551" i="1" s="1"/>
  <c r="AR574" i="1"/>
  <c r="AU574" i="1" s="1"/>
  <c r="AR578" i="1"/>
  <c r="AU578" i="1" s="1"/>
  <c r="AR583" i="1"/>
  <c r="AU583" i="1" s="1"/>
  <c r="AR594" i="1"/>
  <c r="AU594" i="1" s="1"/>
  <c r="AR598" i="1"/>
  <c r="AU598" i="1" s="1"/>
  <c r="AR610" i="1"/>
  <c r="AU610" i="1" s="1"/>
  <c r="AR623" i="1"/>
  <c r="AU623" i="1" s="1"/>
  <c r="AR654" i="1"/>
  <c r="AU654" i="1" s="1"/>
  <c r="AR690" i="1"/>
  <c r="AU690" i="1" s="1"/>
  <c r="AR695" i="1"/>
  <c r="AU695" i="1" s="1"/>
  <c r="AR696" i="1"/>
  <c r="AU696" i="1" s="1"/>
  <c r="AR698" i="1"/>
  <c r="AU698" i="1" s="1"/>
  <c r="AR702" i="1"/>
  <c r="AU702" i="1" s="1"/>
  <c r="AR754" i="1"/>
  <c r="AU754" i="1" s="1"/>
  <c r="AR822" i="1"/>
  <c r="AU822" i="1" s="1"/>
  <c r="AR849" i="1"/>
  <c r="AU849" i="1" s="1"/>
  <c r="AR864" i="1"/>
  <c r="AU864" i="1" s="1"/>
  <c r="AR865" i="1"/>
  <c r="AU865" i="1" s="1"/>
  <c r="AR877" i="1"/>
  <c r="AU877" i="1" s="1"/>
  <c r="AR914" i="1"/>
  <c r="AU914" i="1" s="1"/>
  <c r="AR831" i="1"/>
  <c r="AU831" i="1" s="1"/>
  <c r="AR842" i="1"/>
  <c r="AU842" i="1" s="1"/>
  <c r="AR873" i="1"/>
  <c r="AU873" i="1" s="1"/>
  <c r="AR897" i="1"/>
  <c r="AU897" i="1" s="1"/>
  <c r="AR919" i="1"/>
  <c r="AU919" i="1" s="1"/>
  <c r="AR923" i="1"/>
  <c r="AU923" i="1" s="1"/>
  <c r="AR927" i="1"/>
  <c r="AU927" i="1" s="1"/>
  <c r="AX927" i="1" s="1"/>
  <c r="AR966" i="1"/>
  <c r="AU966" i="1" s="1"/>
  <c r="AR997" i="1"/>
  <c r="AU997" i="1" s="1"/>
  <c r="AX997" i="1" s="1"/>
  <c r="AR232" i="1"/>
  <c r="AU232" i="1" s="1"/>
  <c r="AR240" i="1"/>
  <c r="AU240" i="1" s="1"/>
  <c r="AR241" i="1"/>
  <c r="AU241" i="1" s="1"/>
  <c r="AR263" i="1"/>
  <c r="AU263" i="1" s="1"/>
  <c r="AR266" i="1"/>
  <c r="AU266" i="1" s="1"/>
  <c r="AR269" i="1"/>
  <c r="AU269" i="1" s="1"/>
  <c r="AR275" i="1"/>
  <c r="AU275" i="1" s="1"/>
  <c r="AR279" i="1"/>
  <c r="AU279" i="1" s="1"/>
  <c r="AX277" i="1" s="1"/>
  <c r="AR282" i="1"/>
  <c r="AU282" i="1" s="1"/>
  <c r="AW282" i="1" s="1"/>
  <c r="AR286" i="1"/>
  <c r="AU286" i="1" s="1"/>
  <c r="AR290" i="1"/>
  <c r="AU290" i="1" s="1"/>
  <c r="AR294" i="1"/>
  <c r="AU294" i="1" s="1"/>
  <c r="AR311" i="1"/>
  <c r="AU311" i="1" s="1"/>
  <c r="AR314" i="1"/>
  <c r="AU314" i="1" s="1"/>
  <c r="AR338" i="1"/>
  <c r="AU338" i="1" s="1"/>
  <c r="AR348" i="1"/>
  <c r="AU348" i="1" s="1"/>
  <c r="AR355" i="1"/>
  <c r="AU355" i="1" s="1"/>
  <c r="AR356" i="1"/>
  <c r="AU356" i="1" s="1"/>
  <c r="AR358" i="1"/>
  <c r="AU358" i="1" s="1"/>
  <c r="AR364" i="1"/>
  <c r="AU364" i="1" s="1"/>
  <c r="AR368" i="1"/>
  <c r="AU368" i="1" s="1"/>
  <c r="AR370" i="1"/>
  <c r="AU370" i="1" s="1"/>
  <c r="AR372" i="1"/>
  <c r="AU372" i="1" s="1"/>
  <c r="AR373" i="1"/>
  <c r="AU373" i="1" s="1"/>
  <c r="AR393" i="1"/>
  <c r="AU393" i="1" s="1"/>
  <c r="AR402" i="1"/>
  <c r="AU402" i="1" s="1"/>
  <c r="AR406" i="1"/>
  <c r="AU406" i="1" s="1"/>
  <c r="AR417" i="1"/>
  <c r="AU417" i="1" s="1"/>
  <c r="AX422" i="1"/>
  <c r="AR436" i="1"/>
  <c r="AU436" i="1" s="1"/>
  <c r="AR443" i="1"/>
  <c r="AU443" i="1" s="1"/>
  <c r="AR446" i="1"/>
  <c r="AU446" i="1" s="1"/>
  <c r="AR447" i="1"/>
  <c r="AU447" i="1" s="1"/>
  <c r="AX447" i="1" s="1"/>
  <c r="AR448" i="1"/>
  <c r="AU448" i="1" s="1"/>
  <c r="AR455" i="1"/>
  <c r="AU455" i="1" s="1"/>
  <c r="AR456" i="1"/>
  <c r="AU456" i="1" s="1"/>
  <c r="AR462" i="1"/>
  <c r="AU462" i="1" s="1"/>
  <c r="AR463" i="1"/>
  <c r="AU463" i="1" s="1"/>
  <c r="AR474" i="1"/>
  <c r="AU474" i="1" s="1"/>
  <c r="AR493" i="1"/>
  <c r="AU493" i="1" s="1"/>
  <c r="AR499" i="1"/>
  <c r="AU499" i="1" s="1"/>
  <c r="AR505" i="1"/>
  <c r="AU505" i="1" s="1"/>
  <c r="AR507" i="1"/>
  <c r="AU507" i="1" s="1"/>
  <c r="AR513" i="1"/>
  <c r="AU513" i="1" s="1"/>
  <c r="AR519" i="1"/>
  <c r="AU519" i="1" s="1"/>
  <c r="AR521" i="1"/>
  <c r="AU521" i="1" s="1"/>
  <c r="AR525" i="1"/>
  <c r="AU525" i="1" s="1"/>
  <c r="AR536" i="1"/>
  <c r="AU536" i="1" s="1"/>
  <c r="AR537" i="1"/>
  <c r="AU537" i="1" s="1"/>
  <c r="AR540" i="1"/>
  <c r="AU540" i="1" s="1"/>
  <c r="AR546" i="1"/>
  <c r="AU546" i="1" s="1"/>
  <c r="AR547" i="1"/>
  <c r="AU547" i="1" s="1"/>
  <c r="AR548" i="1"/>
  <c r="AU548" i="1" s="1"/>
  <c r="AR555" i="1"/>
  <c r="AU555" i="1" s="1"/>
  <c r="AR556" i="1"/>
  <c r="AU556" i="1" s="1"/>
  <c r="AR563" i="1"/>
  <c r="AU563" i="1" s="1"/>
  <c r="AR566" i="1"/>
  <c r="AU566" i="1" s="1"/>
  <c r="AR571" i="1"/>
  <c r="AU571" i="1" s="1"/>
  <c r="AR576" i="1"/>
  <c r="AU576" i="1" s="1"/>
  <c r="AR577" i="1"/>
  <c r="AU577" i="1" s="1"/>
  <c r="AR582" i="1"/>
  <c r="AU582" i="1" s="1"/>
  <c r="AR587" i="1"/>
  <c r="AU587" i="1" s="1"/>
  <c r="AR591" i="1"/>
  <c r="AU591" i="1" s="1"/>
  <c r="AR596" i="1"/>
  <c r="AU596" i="1" s="1"/>
  <c r="AR597" i="1"/>
  <c r="AU597" i="1" s="1"/>
  <c r="AR603" i="1"/>
  <c r="AU603" i="1" s="1"/>
  <c r="AR616" i="1"/>
  <c r="AU616" i="1" s="1"/>
  <c r="AR621" i="1"/>
  <c r="AU621" i="1" s="1"/>
  <c r="AR626" i="1"/>
  <c r="AU626" i="1" s="1"/>
  <c r="AR627" i="1"/>
  <c r="AU627" i="1" s="1"/>
  <c r="AX627" i="1" s="1"/>
  <c r="AR636" i="1"/>
  <c r="AU636" i="1" s="1"/>
  <c r="AR641" i="1"/>
  <c r="AU641" i="1" s="1"/>
  <c r="AR645" i="1"/>
  <c r="AU645" i="1" s="1"/>
  <c r="AR649" i="1"/>
  <c r="AU649" i="1" s="1"/>
  <c r="AX647" i="1" s="1"/>
  <c r="AR656" i="1"/>
  <c r="AU656" i="1" s="1"/>
  <c r="AR657" i="1"/>
  <c r="AU657" i="1" s="1"/>
  <c r="AR665" i="1"/>
  <c r="AU665" i="1" s="1"/>
  <c r="AR677" i="1"/>
  <c r="AU677" i="1" s="1"/>
  <c r="AR680" i="1"/>
  <c r="AU680" i="1" s="1"/>
  <c r="AR707" i="1"/>
  <c r="AU707" i="1" s="1"/>
  <c r="AR723" i="1"/>
  <c r="AU723" i="1" s="1"/>
  <c r="AX722" i="1" s="1"/>
  <c r="AR731" i="1"/>
  <c r="AU731" i="1" s="1"/>
  <c r="AR735" i="1"/>
  <c r="AU735" i="1" s="1"/>
  <c r="AR740" i="1"/>
  <c r="AU740" i="1" s="1"/>
  <c r="AR741" i="1"/>
  <c r="AU741" i="1" s="1"/>
  <c r="AR742" i="1"/>
  <c r="AU742" i="1" s="1"/>
  <c r="AX742" i="1" s="1"/>
  <c r="AR743" i="1"/>
  <c r="AU743" i="1" s="1"/>
  <c r="AR751" i="1"/>
  <c r="AU751" i="1" s="1"/>
  <c r="AR763" i="1"/>
  <c r="AU763" i="1" s="1"/>
  <c r="AR769" i="1"/>
  <c r="AU769" i="1" s="1"/>
  <c r="AR773" i="1"/>
  <c r="AU773" i="1" s="1"/>
  <c r="AR777" i="1"/>
  <c r="AU777" i="1" s="1"/>
  <c r="AR802" i="1"/>
  <c r="AU802" i="1" s="1"/>
  <c r="AR805" i="1"/>
  <c r="AU805" i="1" s="1"/>
  <c r="AR807" i="1"/>
  <c r="AU807" i="1" s="1"/>
  <c r="AR813" i="1"/>
  <c r="AU813" i="1" s="1"/>
  <c r="AR814" i="1"/>
  <c r="AU814" i="1" s="1"/>
  <c r="AR906" i="1"/>
  <c r="AU906" i="1" s="1"/>
  <c r="AR915" i="1"/>
  <c r="AU915" i="1" s="1"/>
  <c r="AR918" i="1"/>
  <c r="AU918" i="1" s="1"/>
  <c r="AR933" i="1"/>
  <c r="AU933" i="1" s="1"/>
  <c r="AR952" i="1"/>
  <c r="AU952" i="1" s="1"/>
  <c r="AR953" i="1"/>
  <c r="AU953" i="1" s="1"/>
  <c r="AR985" i="1"/>
  <c r="AU985" i="1" s="1"/>
  <c r="AR987" i="1"/>
  <c r="AU987" i="1" s="1"/>
  <c r="AR988" i="1"/>
  <c r="AU988" i="1" s="1"/>
  <c r="AR989" i="1"/>
  <c r="AU989" i="1" s="1"/>
  <c r="AR653" i="1"/>
  <c r="AU653" i="1" s="1"/>
  <c r="AR663" i="1"/>
  <c r="AU663" i="1" s="1"/>
  <c r="AR666" i="1"/>
  <c r="AU666" i="1" s="1"/>
  <c r="AR685" i="1"/>
  <c r="AU685" i="1" s="1"/>
  <c r="AR697" i="1"/>
  <c r="AU697" i="1" s="1"/>
  <c r="AR712" i="1"/>
  <c r="AU712" i="1" s="1"/>
  <c r="AR718" i="1"/>
  <c r="AU718" i="1" s="1"/>
  <c r="AR732" i="1"/>
  <c r="AU732" i="1" s="1"/>
  <c r="AR738" i="1"/>
  <c r="AU738" i="1" s="1"/>
  <c r="AR762" i="1"/>
  <c r="AU762" i="1" s="1"/>
  <c r="AR767" i="1"/>
  <c r="AU767" i="1" s="1"/>
  <c r="AR770" i="1"/>
  <c r="AU770" i="1" s="1"/>
  <c r="AR775" i="1"/>
  <c r="AU775" i="1" s="1"/>
  <c r="AR776" i="1"/>
  <c r="AU776" i="1" s="1"/>
  <c r="AR778" i="1"/>
  <c r="AU778" i="1" s="1"/>
  <c r="AR789" i="1"/>
  <c r="AU789" i="1" s="1"/>
  <c r="AR799" i="1"/>
  <c r="AU799" i="1" s="1"/>
  <c r="AR809" i="1"/>
  <c r="AU809" i="1" s="1"/>
  <c r="AR815" i="1"/>
  <c r="AU815" i="1" s="1"/>
  <c r="AR816" i="1"/>
  <c r="AU816" i="1" s="1"/>
  <c r="AR827" i="1"/>
  <c r="AU827" i="1" s="1"/>
  <c r="AR828" i="1"/>
  <c r="AU828" i="1" s="1"/>
  <c r="AR844" i="1"/>
  <c r="AU844" i="1" s="1"/>
  <c r="AR847" i="1"/>
  <c r="AU847" i="1" s="1"/>
  <c r="AX847" i="1" s="1"/>
  <c r="AR848" i="1"/>
  <c r="AU848" i="1" s="1"/>
  <c r="AR866" i="1"/>
  <c r="AU866" i="1" s="1"/>
  <c r="AR869" i="1"/>
  <c r="AU869" i="1" s="1"/>
  <c r="AX867" i="1" s="1"/>
  <c r="AR874" i="1"/>
  <c r="AU874" i="1" s="1"/>
  <c r="AR893" i="1"/>
  <c r="AU893" i="1" s="1"/>
  <c r="AR899" i="1"/>
  <c r="AU899" i="1" s="1"/>
  <c r="AR905" i="1"/>
  <c r="AU905" i="1" s="1"/>
  <c r="AR907" i="1"/>
  <c r="AU907" i="1" s="1"/>
  <c r="AR913" i="1"/>
  <c r="AU913" i="1" s="1"/>
  <c r="AR921" i="1"/>
  <c r="AU921" i="1" s="1"/>
  <c r="AR936" i="1"/>
  <c r="AU936" i="1" s="1"/>
  <c r="AR937" i="1"/>
  <c r="AU937" i="1" s="1"/>
  <c r="AR940" i="1"/>
  <c r="AU940" i="1" s="1"/>
  <c r="AR941" i="1"/>
  <c r="AU941" i="1" s="1"/>
  <c r="AR943" i="1"/>
  <c r="AU943" i="1" s="1"/>
  <c r="AR947" i="1"/>
  <c r="AU947" i="1" s="1"/>
  <c r="AR948" i="1"/>
  <c r="AU948" i="1" s="1"/>
  <c r="AR955" i="1"/>
  <c r="AU955" i="1" s="1"/>
  <c r="AR956" i="1"/>
  <c r="AU956" i="1" s="1"/>
  <c r="AR963" i="1"/>
  <c r="AU963" i="1" s="1"/>
  <c r="AR976" i="1"/>
  <c r="AU976" i="1" s="1"/>
  <c r="AR983" i="1"/>
  <c r="AU983" i="1" s="1"/>
  <c r="AR994" i="1"/>
  <c r="AU994" i="1" s="1"/>
  <c r="AR998" i="1"/>
  <c r="AU998" i="1" s="1"/>
  <c r="AR1002" i="1"/>
  <c r="AU1002" i="1" s="1"/>
  <c r="AR1005" i="1"/>
  <c r="AU1005" i="1" s="1"/>
  <c r="AR971" i="1"/>
  <c r="AU971" i="1" s="1"/>
  <c r="AR974" i="1"/>
  <c r="AU974" i="1" s="1"/>
  <c r="BB957" i="1"/>
  <c r="BD957" i="1" s="1"/>
  <c r="G26" i="5" s="1"/>
  <c r="L26" i="5" s="1"/>
  <c r="AR970" i="1"/>
  <c r="AU970" i="1" s="1"/>
  <c r="AR982" i="1"/>
  <c r="AU982" i="1" s="1"/>
  <c r="AR935" i="1"/>
  <c r="AU935" i="1" s="1"/>
  <c r="AR939" i="1"/>
  <c r="AU939" i="1" s="1"/>
  <c r="BB857" i="1"/>
  <c r="BB807" i="1"/>
  <c r="AR819" i="1"/>
  <c r="AU819" i="1" s="1"/>
  <c r="AR836" i="1"/>
  <c r="AU836" i="1" s="1"/>
  <c r="AR771" i="1"/>
  <c r="AU771" i="1" s="1"/>
  <c r="AR774" i="1"/>
  <c r="AU774" i="1" s="1"/>
  <c r="AR791" i="1"/>
  <c r="AU791" i="1" s="1"/>
  <c r="AR794" i="1"/>
  <c r="AU794" i="1" s="1"/>
  <c r="BB707" i="1"/>
  <c r="AR719" i="1"/>
  <c r="AU719" i="1" s="1"/>
  <c r="AR736" i="1"/>
  <c r="AU736" i="1" s="1"/>
  <c r="X672" i="1"/>
  <c r="Y672" i="1" s="1"/>
  <c r="AR671" i="1"/>
  <c r="AU671" i="1" s="1"/>
  <c r="AR674" i="1"/>
  <c r="AU674" i="1" s="1"/>
  <c r="AR691" i="1"/>
  <c r="AU691" i="1" s="1"/>
  <c r="AR694" i="1"/>
  <c r="AU694" i="1" s="1"/>
  <c r="BB607" i="1"/>
  <c r="AR607" i="1"/>
  <c r="AU607" i="1" s="1"/>
  <c r="BB507" i="1"/>
  <c r="AR535" i="1"/>
  <c r="AU535" i="1" s="1"/>
  <c r="AR539" i="1"/>
  <c r="AU539" i="1" s="1"/>
  <c r="AX502" i="1"/>
  <c r="AR465" i="1"/>
  <c r="AU465" i="1" s="1"/>
  <c r="AR415" i="1"/>
  <c r="AU415" i="1" s="1"/>
  <c r="AR416" i="1"/>
  <c r="AU416" i="1" s="1"/>
  <c r="AR357" i="1"/>
  <c r="AU357" i="1" s="1"/>
  <c r="AV357" i="1" s="1"/>
  <c r="AY357" i="1" s="1"/>
  <c r="AR390" i="1"/>
  <c r="AU390" i="1" s="1"/>
  <c r="AR397" i="1"/>
  <c r="AU397" i="1" s="1"/>
  <c r="AV397" i="1" s="1"/>
  <c r="AY397" i="1" s="1"/>
  <c r="AR405" i="1"/>
  <c r="AU405" i="1" s="1"/>
  <c r="AX327" i="1"/>
  <c r="AX342" i="1"/>
  <c r="AR319" i="1"/>
  <c r="AU319" i="1" s="1"/>
  <c r="AW319" i="1" s="1"/>
  <c r="AR336" i="1"/>
  <c r="AU336" i="1" s="1"/>
  <c r="AR315" i="1"/>
  <c r="AU315" i="1" s="1"/>
  <c r="AR323" i="1"/>
  <c r="AU323" i="1" s="1"/>
  <c r="AW323" i="1" s="1"/>
  <c r="AR347" i="1"/>
  <c r="AU347" i="1" s="1"/>
  <c r="AR215" i="1"/>
  <c r="AU215" i="1" s="1"/>
  <c r="AX127" i="1"/>
  <c r="AR121" i="1"/>
  <c r="AU121" i="1" s="1"/>
  <c r="AR124" i="1"/>
  <c r="AU124" i="1" s="1"/>
  <c r="AW124" i="1" s="1"/>
  <c r="AR155" i="1"/>
  <c r="AU155" i="1" s="1"/>
  <c r="AR113" i="1"/>
  <c r="AU113" i="1" s="1"/>
  <c r="AR117" i="1"/>
  <c r="AU117" i="1" s="1"/>
  <c r="AW117" i="1" s="1"/>
  <c r="AR156" i="1"/>
  <c r="AU156" i="1" s="1"/>
  <c r="AR63" i="1"/>
  <c r="AU63" i="1" s="1"/>
  <c r="AV63" i="1" s="1"/>
  <c r="AR78" i="1"/>
  <c r="AU78" i="1" s="1"/>
  <c r="AW78" i="1" s="1"/>
  <c r="AR98" i="1"/>
  <c r="AU98" i="1" s="1"/>
  <c r="AR102" i="1"/>
  <c r="AU102" i="1" s="1"/>
  <c r="BF33" i="1"/>
  <c r="BF34" i="1"/>
  <c r="BF38" i="1"/>
  <c r="BF39" i="1"/>
  <c r="BF43" i="1"/>
  <c r="BF44" i="1"/>
  <c r="BF48" i="1"/>
  <c r="BF49" i="1"/>
  <c r="BF53" i="1"/>
  <c r="BF54" i="1"/>
  <c r="P52" i="1"/>
  <c r="O52" i="1"/>
  <c r="N52" i="1"/>
  <c r="M52" i="1"/>
  <c r="L52" i="1"/>
  <c r="P47" i="1"/>
  <c r="O47" i="1"/>
  <c r="N47" i="1"/>
  <c r="M47" i="1"/>
  <c r="L47" i="1"/>
  <c r="P42" i="1"/>
  <c r="O42" i="1"/>
  <c r="N42" i="1"/>
  <c r="M42" i="1"/>
  <c r="L42" i="1"/>
  <c r="P37" i="1"/>
  <c r="O37" i="1"/>
  <c r="N37" i="1"/>
  <c r="M37" i="1"/>
  <c r="L37" i="1"/>
  <c r="P32" i="1"/>
  <c r="O32" i="1"/>
  <c r="N32" i="1"/>
  <c r="M32" i="1"/>
  <c r="L32" i="1"/>
  <c r="AT56" i="1"/>
  <c r="AW56" i="1" s="1"/>
  <c r="AS56" i="1"/>
  <c r="AV56" i="1" s="1"/>
  <c r="AQ56" i="1"/>
  <c r="AM56" i="1"/>
  <c r="AT55" i="1"/>
  <c r="AW55" i="1" s="1"/>
  <c r="AS55" i="1"/>
  <c r="AV55" i="1" s="1"/>
  <c r="AQ55" i="1"/>
  <c r="AM55" i="1"/>
  <c r="AT54" i="1"/>
  <c r="AW54" i="1" s="1"/>
  <c r="AS54" i="1"/>
  <c r="AV54" i="1" s="1"/>
  <c r="AQ54" i="1"/>
  <c r="AM54" i="1"/>
  <c r="AT53" i="1"/>
  <c r="AW53" i="1" s="1"/>
  <c r="AS53" i="1"/>
  <c r="AV53" i="1" s="1"/>
  <c r="AQ53" i="1"/>
  <c r="AM53" i="1"/>
  <c r="AT52" i="1"/>
  <c r="AW52" i="1" s="1"/>
  <c r="AS52" i="1"/>
  <c r="AV52" i="1" s="1"/>
  <c r="AQ52" i="1"/>
  <c r="AM52" i="1"/>
  <c r="AT51" i="1"/>
  <c r="AW51" i="1" s="1"/>
  <c r="AS51" i="1"/>
  <c r="AV51" i="1" s="1"/>
  <c r="AQ51" i="1"/>
  <c r="AM51" i="1"/>
  <c r="AT50" i="1"/>
  <c r="AW50" i="1" s="1"/>
  <c r="AS50" i="1"/>
  <c r="AV50" i="1" s="1"/>
  <c r="AQ50" i="1"/>
  <c r="AM50" i="1"/>
  <c r="AT49" i="1"/>
  <c r="AW49" i="1" s="1"/>
  <c r="AS49" i="1"/>
  <c r="AV49" i="1" s="1"/>
  <c r="AQ49" i="1"/>
  <c r="AM49" i="1"/>
  <c r="AT48" i="1"/>
  <c r="AW48" i="1" s="1"/>
  <c r="AS48" i="1"/>
  <c r="AV48" i="1" s="1"/>
  <c r="AQ48" i="1"/>
  <c r="AM48" i="1"/>
  <c r="AT47" i="1"/>
  <c r="AW47" i="1" s="1"/>
  <c r="AS47" i="1"/>
  <c r="AV47" i="1" s="1"/>
  <c r="AQ47" i="1"/>
  <c r="AM47" i="1"/>
  <c r="AT46" i="1"/>
  <c r="AW46" i="1" s="1"/>
  <c r="AS46" i="1"/>
  <c r="AV46" i="1" s="1"/>
  <c r="AQ46" i="1"/>
  <c r="AM46" i="1"/>
  <c r="AT45" i="1"/>
  <c r="AW45" i="1" s="1"/>
  <c r="AS45" i="1"/>
  <c r="AV45" i="1" s="1"/>
  <c r="AQ45" i="1"/>
  <c r="AM45" i="1"/>
  <c r="AT44" i="1"/>
  <c r="AS44" i="1"/>
  <c r="AV44" i="1" s="1"/>
  <c r="AQ44" i="1"/>
  <c r="AM44" i="1"/>
  <c r="AT43" i="1"/>
  <c r="AW43" i="1" s="1"/>
  <c r="AS43" i="1"/>
  <c r="AV43" i="1" s="1"/>
  <c r="AQ43" i="1"/>
  <c r="AM43" i="1"/>
  <c r="AT42" i="1"/>
  <c r="AW42" i="1" s="1"/>
  <c r="AS42" i="1"/>
  <c r="AV42" i="1" s="1"/>
  <c r="AQ42" i="1"/>
  <c r="AM42" i="1"/>
  <c r="AT41" i="1"/>
  <c r="AW41" i="1" s="1"/>
  <c r="AS41" i="1"/>
  <c r="AV41" i="1" s="1"/>
  <c r="AQ41" i="1"/>
  <c r="AM41" i="1"/>
  <c r="AT40" i="1"/>
  <c r="AW40" i="1" s="1"/>
  <c r="AS40" i="1"/>
  <c r="AV40" i="1" s="1"/>
  <c r="AQ40" i="1"/>
  <c r="AM40" i="1"/>
  <c r="AT39" i="1"/>
  <c r="AW39" i="1" s="1"/>
  <c r="AS39" i="1"/>
  <c r="AV39" i="1" s="1"/>
  <c r="AQ39" i="1"/>
  <c r="AM39" i="1"/>
  <c r="AT38" i="1"/>
  <c r="AW38" i="1" s="1"/>
  <c r="AS38" i="1"/>
  <c r="AV38" i="1" s="1"/>
  <c r="AQ38" i="1"/>
  <c r="AM38" i="1"/>
  <c r="AT37" i="1"/>
  <c r="AS37" i="1"/>
  <c r="AV37" i="1" s="1"/>
  <c r="AY37" i="1" s="1"/>
  <c r="AQ37" i="1"/>
  <c r="AM37" i="1"/>
  <c r="AT36" i="1"/>
  <c r="AW36" i="1" s="1"/>
  <c r="AS36" i="1"/>
  <c r="AV36" i="1" s="1"/>
  <c r="AQ36" i="1"/>
  <c r="AM36" i="1"/>
  <c r="AT35" i="1"/>
  <c r="AW35" i="1" s="1"/>
  <c r="AS35" i="1"/>
  <c r="AV35" i="1" s="1"/>
  <c r="AQ35" i="1"/>
  <c r="AM35" i="1"/>
  <c r="AT34" i="1"/>
  <c r="AW34" i="1" s="1"/>
  <c r="AS34" i="1"/>
  <c r="AV34" i="1" s="1"/>
  <c r="AQ34" i="1"/>
  <c r="AM34" i="1"/>
  <c r="AT33" i="1"/>
  <c r="AW33" i="1" s="1"/>
  <c r="AS33" i="1"/>
  <c r="AQ33" i="1"/>
  <c r="AM33" i="1"/>
  <c r="AT32" i="1"/>
  <c r="AW32" i="1" s="1"/>
  <c r="AS32" i="1"/>
  <c r="AQ32" i="1"/>
  <c r="AM32" i="1"/>
  <c r="AV117" i="1" l="1"/>
  <c r="AY117" i="1" s="1"/>
  <c r="AV57" i="1"/>
  <c r="X927" i="1"/>
  <c r="Y927" i="1" s="1"/>
  <c r="BA422" i="1"/>
  <c r="BA802" i="1"/>
  <c r="AZ802" i="1" s="1"/>
  <c r="BA752" i="1"/>
  <c r="AZ752" i="1" s="1"/>
  <c r="AR34" i="1"/>
  <c r="AU34" i="1" s="1"/>
  <c r="R652" i="1"/>
  <c r="BA732" i="1"/>
  <c r="X872" i="1"/>
  <c r="Y872" i="1" s="1"/>
  <c r="X662" i="1"/>
  <c r="Y662" i="1" s="1"/>
  <c r="X652" i="1"/>
  <c r="Y652" i="1" s="1"/>
  <c r="BA987" i="1"/>
  <c r="AZ987" i="1" s="1"/>
  <c r="R797" i="1"/>
  <c r="R662" i="1"/>
  <c r="R987" i="1"/>
  <c r="R792" i="1"/>
  <c r="BA717" i="1"/>
  <c r="AZ717" i="1" s="1"/>
  <c r="BA707" i="1"/>
  <c r="BF707" i="1" s="1"/>
  <c r="BA607" i="1"/>
  <c r="X412" i="1"/>
  <c r="Y412" i="1" s="1"/>
  <c r="AR43" i="1"/>
  <c r="AU43" i="1" s="1"/>
  <c r="AR35" i="1"/>
  <c r="AU35" i="1" s="1"/>
  <c r="AR54" i="1"/>
  <c r="AU54" i="1" s="1"/>
  <c r="AR55" i="1"/>
  <c r="AU55" i="1" s="1"/>
  <c r="BB307" i="1"/>
  <c r="BD307" i="1" s="1"/>
  <c r="AR44" i="1"/>
  <c r="AU44" i="1" s="1"/>
  <c r="AW44" i="1" s="1"/>
  <c r="AR47" i="1"/>
  <c r="AU47" i="1" s="1"/>
  <c r="AR48" i="1"/>
  <c r="AU48" i="1" s="1"/>
  <c r="BA867" i="1"/>
  <c r="X567" i="1"/>
  <c r="Y567" i="1" s="1"/>
  <c r="X827" i="1"/>
  <c r="Y827" i="1" s="1"/>
  <c r="R962" i="1"/>
  <c r="R867" i="1"/>
  <c r="BA777" i="1"/>
  <c r="AZ777" i="1" s="1"/>
  <c r="BA567" i="1"/>
  <c r="AZ567" i="1" s="1"/>
  <c r="R417" i="1"/>
  <c r="X907" i="1"/>
  <c r="Y907" i="1" s="1"/>
  <c r="R777" i="1"/>
  <c r="BB357" i="1"/>
  <c r="BD357" i="1" s="1"/>
  <c r="X332" i="1"/>
  <c r="Y332" i="1" s="1"/>
  <c r="AW297" i="1"/>
  <c r="BA277" i="1"/>
  <c r="BA257" i="1"/>
  <c r="BF257" i="1" s="1"/>
  <c r="X257" i="1"/>
  <c r="Y257" i="1" s="1"/>
  <c r="Q37" i="1"/>
  <c r="BB207" i="1"/>
  <c r="BD207" i="1" s="1"/>
  <c r="AY62" i="1"/>
  <c r="AX62" i="1" s="1"/>
  <c r="AY57" i="1"/>
  <c r="Q42" i="1"/>
  <c r="R42" i="1" s="1"/>
  <c r="Q47" i="1"/>
  <c r="Q32" i="1"/>
  <c r="Q52" i="1"/>
  <c r="R182" i="1"/>
  <c r="R277" i="1"/>
  <c r="BA272" i="1"/>
  <c r="AZ272" i="1" s="1"/>
  <c r="BA332" i="1"/>
  <c r="AZ332" i="1" s="1"/>
  <c r="R257" i="1"/>
  <c r="X182" i="1"/>
  <c r="Y182" i="1" s="1"/>
  <c r="X307" i="1"/>
  <c r="Y307" i="1" s="1"/>
  <c r="BA307" i="1"/>
  <c r="AZ307" i="1" s="1"/>
  <c r="R192" i="1"/>
  <c r="R137" i="1"/>
  <c r="R167" i="1"/>
  <c r="BA137" i="1"/>
  <c r="AZ137" i="1" s="1"/>
  <c r="X82" i="1"/>
  <c r="Y82" i="1" s="1"/>
  <c r="BA82" i="1"/>
  <c r="AZ82" i="1" s="1"/>
  <c r="BA152" i="1"/>
  <c r="AZ152" i="1" s="1"/>
  <c r="X232" i="1"/>
  <c r="Y232" i="1" s="1"/>
  <c r="X67" i="1"/>
  <c r="Y67" i="1" s="1"/>
  <c r="R67" i="1"/>
  <c r="X367" i="1"/>
  <c r="Y367" i="1" s="1"/>
  <c r="X152" i="1"/>
  <c r="Y152" i="1" s="1"/>
  <c r="BA232" i="1"/>
  <c r="AZ232" i="1" s="1"/>
  <c r="R367" i="1"/>
  <c r="X372" i="1"/>
  <c r="Y372" i="1" s="1"/>
  <c r="R362" i="1"/>
  <c r="BA992" i="1"/>
  <c r="AZ992" i="1" s="1"/>
  <c r="X837" i="1"/>
  <c r="Y837" i="1" s="1"/>
  <c r="R927" i="1"/>
  <c r="BA872" i="1"/>
  <c r="AZ872" i="1" s="1"/>
  <c r="R837" i="1"/>
  <c r="BA762" i="1"/>
  <c r="AZ762" i="1" s="1"/>
  <c r="BA637" i="1"/>
  <c r="AZ637" i="1" s="1"/>
  <c r="BA557" i="1"/>
  <c r="BA417" i="1"/>
  <c r="AZ417" i="1" s="1"/>
  <c r="R707" i="1"/>
  <c r="R972" i="1"/>
  <c r="R422" i="1"/>
  <c r="BA372" i="1"/>
  <c r="AZ372" i="1" s="1"/>
  <c r="R827" i="1"/>
  <c r="BA392" i="1"/>
  <c r="AZ392" i="1" s="1"/>
  <c r="X362" i="1"/>
  <c r="Y362" i="1" s="1"/>
  <c r="BA862" i="1"/>
  <c r="AZ862" i="1" s="1"/>
  <c r="X557" i="1"/>
  <c r="Y557" i="1" s="1"/>
  <c r="X802" i="1"/>
  <c r="Y802" i="1" s="1"/>
  <c r="X862" i="1"/>
  <c r="Y862" i="1" s="1"/>
  <c r="AR50" i="1"/>
  <c r="AU50" i="1" s="1"/>
  <c r="AR45" i="1"/>
  <c r="AU45" i="1" s="1"/>
  <c r="AR49" i="1"/>
  <c r="AU49" i="1" s="1"/>
  <c r="AR52" i="1"/>
  <c r="AU52" i="1" s="1"/>
  <c r="AR56" i="1"/>
  <c r="AU56" i="1" s="1"/>
  <c r="BA912" i="1"/>
  <c r="AZ912" i="1" s="1"/>
  <c r="R912" i="1"/>
  <c r="R847" i="1"/>
  <c r="BA847" i="1"/>
  <c r="AZ847" i="1" s="1"/>
  <c r="R812" i="1"/>
  <c r="BA812" i="1"/>
  <c r="AZ812" i="1" s="1"/>
  <c r="BA657" i="1"/>
  <c r="R657" i="1"/>
  <c r="AA657" i="1"/>
  <c r="BA582" i="1"/>
  <c r="BF582" i="1" s="1"/>
  <c r="R582" i="1"/>
  <c r="BA522" i="1"/>
  <c r="AZ522" i="1" s="1"/>
  <c r="R522" i="1"/>
  <c r="BA482" i="1"/>
  <c r="AZ482" i="1" s="1"/>
  <c r="R482" i="1"/>
  <c r="R267" i="1"/>
  <c r="BA267" i="1"/>
  <c r="AZ267" i="1" s="1"/>
  <c r="R202" i="1"/>
  <c r="BA202" i="1"/>
  <c r="AZ202" i="1" s="1"/>
  <c r="BA122" i="1"/>
  <c r="AZ122" i="1" s="1"/>
  <c r="BA982" i="1"/>
  <c r="AZ982" i="1" s="1"/>
  <c r="R982" i="1"/>
  <c r="R892" i="1"/>
  <c r="BA892" i="1"/>
  <c r="AZ892" i="1" s="1"/>
  <c r="R807" i="1"/>
  <c r="BA807" i="1"/>
  <c r="AZ807" i="1" s="1"/>
  <c r="AA807" i="1"/>
  <c r="BA702" i="1"/>
  <c r="AZ702" i="1" s="1"/>
  <c r="R702" i="1"/>
  <c r="R627" i="1"/>
  <c r="BA627" i="1"/>
  <c r="AZ627" i="1" s="1"/>
  <c r="BA552" i="1"/>
  <c r="AZ552" i="1" s="1"/>
  <c r="R552" i="1"/>
  <c r="R512" i="1"/>
  <c r="BA512" i="1"/>
  <c r="AZ512" i="1" s="1"/>
  <c r="BA462" i="1"/>
  <c r="AZ462" i="1" s="1"/>
  <c r="R462" i="1"/>
  <c r="R357" i="1"/>
  <c r="BA357" i="1"/>
  <c r="BF357" i="1" s="1"/>
  <c r="AA357" i="1"/>
  <c r="R312" i="1"/>
  <c r="BA312" i="1"/>
  <c r="AZ312" i="1" s="1"/>
  <c r="R247" i="1"/>
  <c r="BA247" i="1"/>
  <c r="AZ247" i="1" s="1"/>
  <c r="R187" i="1"/>
  <c r="BA187" i="1"/>
  <c r="AZ187" i="1" s="1"/>
  <c r="BA97" i="1"/>
  <c r="AZ97" i="1" s="1"/>
  <c r="R97" i="1"/>
  <c r="BA952" i="1"/>
  <c r="AZ952" i="1" s="1"/>
  <c r="R952" i="1"/>
  <c r="BA877" i="1"/>
  <c r="AZ877" i="1" s="1"/>
  <c r="R877" i="1"/>
  <c r="BA742" i="1"/>
  <c r="R742" i="1"/>
  <c r="R687" i="1"/>
  <c r="BA687" i="1"/>
  <c r="AZ687" i="1" s="1"/>
  <c r="BA632" i="1"/>
  <c r="AZ632" i="1" s="1"/>
  <c r="R632" i="1"/>
  <c r="BA577" i="1"/>
  <c r="AZ577" i="1" s="1"/>
  <c r="R577" i="1"/>
  <c r="BA472" i="1"/>
  <c r="AZ472" i="1" s="1"/>
  <c r="R472" i="1"/>
  <c r="R437" i="1"/>
  <c r="BA437" i="1"/>
  <c r="AZ437" i="1" s="1"/>
  <c r="BA342" i="1"/>
  <c r="R342" i="1"/>
  <c r="R302" i="1"/>
  <c r="BA302" i="1"/>
  <c r="AZ302" i="1" s="1"/>
  <c r="BA212" i="1"/>
  <c r="AZ212" i="1" s="1"/>
  <c r="R212" i="1"/>
  <c r="BA142" i="1"/>
  <c r="AZ142" i="1" s="1"/>
  <c r="R142" i="1"/>
  <c r="BA107" i="1"/>
  <c r="BF107" i="1" s="1"/>
  <c r="AA107" i="1"/>
  <c r="BA72" i="1"/>
  <c r="AZ72" i="1" s="1"/>
  <c r="R72" i="1"/>
  <c r="AA907" i="1"/>
  <c r="BA297" i="1"/>
  <c r="AZ297" i="1" s="1"/>
  <c r="R297" i="1"/>
  <c r="X107" i="1"/>
  <c r="Y107" i="1" s="1"/>
  <c r="X312" i="1"/>
  <c r="Y312" i="1" s="1"/>
  <c r="X627" i="1"/>
  <c r="Y627" i="1" s="1"/>
  <c r="X687" i="1"/>
  <c r="Y687" i="1" s="1"/>
  <c r="X892" i="1"/>
  <c r="Y892" i="1" s="1"/>
  <c r="X912" i="1"/>
  <c r="Y912" i="1" s="1"/>
  <c r="BA1002" i="1"/>
  <c r="AZ1002" i="1" s="1"/>
  <c r="R1002" i="1"/>
  <c r="BA902" i="1"/>
  <c r="AZ902" i="1" s="1"/>
  <c r="R902" i="1"/>
  <c r="BA842" i="1"/>
  <c r="R842" i="1"/>
  <c r="R757" i="1"/>
  <c r="BA757" i="1"/>
  <c r="AZ757" i="1" s="1"/>
  <c r="AA757" i="1"/>
  <c r="BA622" i="1"/>
  <c r="AZ622" i="1" s="1"/>
  <c r="R622" i="1"/>
  <c r="R572" i="1"/>
  <c r="BA572" i="1"/>
  <c r="AZ572" i="1" s="1"/>
  <c r="R507" i="1"/>
  <c r="BA507" i="1"/>
  <c r="BF507" i="1" s="1"/>
  <c r="AA507" i="1"/>
  <c r="R457" i="1"/>
  <c r="BA457" i="1"/>
  <c r="AA457" i="1"/>
  <c r="R262" i="1"/>
  <c r="BA262" i="1"/>
  <c r="AZ262" i="1" s="1"/>
  <c r="BA147" i="1"/>
  <c r="R147" i="1"/>
  <c r="BA112" i="1"/>
  <c r="AZ112" i="1" s="1"/>
  <c r="BA957" i="1"/>
  <c r="BF957" i="1" s="1"/>
  <c r="R957" i="1"/>
  <c r="AA957" i="1"/>
  <c r="BA882" i="1"/>
  <c r="AZ882" i="1" s="1"/>
  <c r="R882" i="1"/>
  <c r="BA782" i="1"/>
  <c r="AZ782" i="1" s="1"/>
  <c r="R782" i="1"/>
  <c r="BA697" i="1"/>
  <c r="AZ697" i="1" s="1"/>
  <c r="R697" i="1"/>
  <c r="BA612" i="1"/>
  <c r="AZ612" i="1" s="1"/>
  <c r="R612" i="1"/>
  <c r="R547" i="1"/>
  <c r="BA547" i="1"/>
  <c r="AZ547" i="1" s="1"/>
  <c r="BA497" i="1"/>
  <c r="AZ497" i="1" s="1"/>
  <c r="R497" i="1"/>
  <c r="R407" i="1"/>
  <c r="BA407" i="1"/>
  <c r="AA407" i="1"/>
  <c r="BA352" i="1"/>
  <c r="AZ352" i="1" s="1"/>
  <c r="R352" i="1"/>
  <c r="X302" i="1"/>
  <c r="Y302" i="1" s="1"/>
  <c r="BA242" i="1"/>
  <c r="AZ242" i="1" s="1"/>
  <c r="R242" i="1"/>
  <c r="R172" i="1"/>
  <c r="BA172" i="1"/>
  <c r="AZ172" i="1" s="1"/>
  <c r="BA92" i="1"/>
  <c r="AZ92" i="1" s="1"/>
  <c r="R92" i="1"/>
  <c r="R947" i="1"/>
  <c r="BA947" i="1"/>
  <c r="AZ947" i="1" s="1"/>
  <c r="R787" i="1"/>
  <c r="BA787" i="1"/>
  <c r="AZ787" i="1" s="1"/>
  <c r="R727" i="1"/>
  <c r="BA727" i="1"/>
  <c r="AZ727" i="1" s="1"/>
  <c r="R677" i="1"/>
  <c r="BA677" i="1"/>
  <c r="R617" i="1"/>
  <c r="BA617" i="1"/>
  <c r="R527" i="1"/>
  <c r="BA527" i="1"/>
  <c r="BA452" i="1"/>
  <c r="AZ452" i="1" s="1"/>
  <c r="R452" i="1"/>
  <c r="BA432" i="1"/>
  <c r="AZ432" i="1" s="1"/>
  <c r="R432" i="1"/>
  <c r="R337" i="1"/>
  <c r="BA337" i="1"/>
  <c r="AZ337" i="1" s="1"/>
  <c r="R282" i="1"/>
  <c r="BA282" i="1"/>
  <c r="AZ282" i="1" s="1"/>
  <c r="BA197" i="1"/>
  <c r="AZ197" i="1" s="1"/>
  <c r="R197" i="1"/>
  <c r="BA127" i="1"/>
  <c r="AZ127" i="1" s="1"/>
  <c r="R127" i="1"/>
  <c r="BA102" i="1"/>
  <c r="AZ102" i="1" s="1"/>
  <c r="R102" i="1"/>
  <c r="BA57" i="1"/>
  <c r="R57" i="1"/>
  <c r="AA57" i="1"/>
  <c r="AA707" i="1"/>
  <c r="AA307" i="1"/>
  <c r="X297" i="1"/>
  <c r="Y297" i="1" s="1"/>
  <c r="X57" i="1"/>
  <c r="Y57" i="1" s="1"/>
  <c r="X337" i="1"/>
  <c r="Y337" i="1" s="1"/>
  <c r="X472" i="1"/>
  <c r="Y472" i="1" s="1"/>
  <c r="X497" i="1"/>
  <c r="Y497" i="1" s="1"/>
  <c r="X572" i="1"/>
  <c r="Y572" i="1" s="1"/>
  <c r="X612" i="1"/>
  <c r="Y612" i="1" s="1"/>
  <c r="X727" i="1"/>
  <c r="Y727" i="1" s="1"/>
  <c r="X807" i="1"/>
  <c r="Y807" i="1" s="1"/>
  <c r="X582" i="1"/>
  <c r="Y582" i="1" s="1"/>
  <c r="X242" i="1"/>
  <c r="Y242" i="1" s="1"/>
  <c r="BA922" i="1"/>
  <c r="AZ922" i="1" s="1"/>
  <c r="R922" i="1"/>
  <c r="R887" i="1"/>
  <c r="BA887" i="1"/>
  <c r="AZ887" i="1" s="1"/>
  <c r="R832" i="1"/>
  <c r="BA832" i="1"/>
  <c r="AZ832" i="1" s="1"/>
  <c r="BA692" i="1"/>
  <c r="AZ692" i="1" s="1"/>
  <c r="R692" i="1"/>
  <c r="BA537" i="1"/>
  <c r="AZ537" i="1" s="1"/>
  <c r="R537" i="1"/>
  <c r="BA502" i="1"/>
  <c r="AZ502" i="1" s="1"/>
  <c r="R502" i="1"/>
  <c r="R387" i="1"/>
  <c r="BA387" i="1"/>
  <c r="AZ387" i="1" s="1"/>
  <c r="X247" i="1"/>
  <c r="Y247" i="1" s="1"/>
  <c r="BA62" i="1"/>
  <c r="AZ62" i="1" s="1"/>
  <c r="R62" i="1"/>
  <c r="BA942" i="1"/>
  <c r="AZ942" i="1" s="1"/>
  <c r="R942" i="1"/>
  <c r="BA857" i="1"/>
  <c r="BF857" i="1" s="1"/>
  <c r="R857" i="1"/>
  <c r="AA857" i="1"/>
  <c r="R767" i="1"/>
  <c r="BA767" i="1"/>
  <c r="AZ767" i="1" s="1"/>
  <c r="BA682" i="1"/>
  <c r="AZ682" i="1" s="1"/>
  <c r="R682" i="1"/>
  <c r="BA602" i="1"/>
  <c r="AZ602" i="1" s="1"/>
  <c r="R602" i="1"/>
  <c r="X547" i="1"/>
  <c r="Y547" i="1" s="1"/>
  <c r="R492" i="1"/>
  <c r="BA492" i="1"/>
  <c r="AZ492" i="1" s="1"/>
  <c r="BA397" i="1"/>
  <c r="AZ397" i="1" s="1"/>
  <c r="R397" i="1"/>
  <c r="R347" i="1"/>
  <c r="BA347" i="1"/>
  <c r="AZ347" i="1" s="1"/>
  <c r="R287" i="1"/>
  <c r="BA287" i="1"/>
  <c r="AZ287" i="1" s="1"/>
  <c r="BA237" i="1"/>
  <c r="AZ237" i="1" s="1"/>
  <c r="R237" i="1"/>
  <c r="BA157" i="1"/>
  <c r="R157" i="1"/>
  <c r="AA157" i="1"/>
  <c r="BA977" i="1"/>
  <c r="AZ977" i="1" s="1"/>
  <c r="R977" i="1"/>
  <c r="R937" i="1"/>
  <c r="BA937" i="1"/>
  <c r="AZ937" i="1" s="1"/>
  <c r="BA772" i="1"/>
  <c r="AZ772" i="1" s="1"/>
  <c r="R772" i="1"/>
  <c r="BA722" i="1"/>
  <c r="AZ722" i="1" s="1"/>
  <c r="R722" i="1"/>
  <c r="R672" i="1"/>
  <c r="BA672" i="1"/>
  <c r="BF672" i="1" s="1"/>
  <c r="R597" i="1"/>
  <c r="BA597" i="1"/>
  <c r="AZ597" i="1" s="1"/>
  <c r="R517" i="1"/>
  <c r="BA517" i="1"/>
  <c r="AZ517" i="1" s="1"/>
  <c r="R447" i="1"/>
  <c r="BA447" i="1"/>
  <c r="AZ447" i="1" s="1"/>
  <c r="BA402" i="1"/>
  <c r="AZ402" i="1" s="1"/>
  <c r="R402" i="1"/>
  <c r="R327" i="1"/>
  <c r="BA327" i="1"/>
  <c r="AZ327" i="1" s="1"/>
  <c r="R227" i="1"/>
  <c r="BA227" i="1"/>
  <c r="AZ227" i="1" s="1"/>
  <c r="BA177" i="1"/>
  <c r="AZ177" i="1" s="1"/>
  <c r="R177" i="1"/>
  <c r="BA87" i="1"/>
  <c r="AZ87" i="1" s="1"/>
  <c r="R87" i="1"/>
  <c r="AA607" i="1"/>
  <c r="X482" i="1"/>
  <c r="Y482" i="1" s="1"/>
  <c r="AA257" i="1"/>
  <c r="X87" i="1"/>
  <c r="Y87" i="1" s="1"/>
  <c r="X127" i="1"/>
  <c r="Y127" i="1" s="1"/>
  <c r="X122" i="1"/>
  <c r="Y122" i="1" s="1"/>
  <c r="X197" i="1"/>
  <c r="Y197" i="1" s="1"/>
  <c r="X202" i="1"/>
  <c r="Y202" i="1" s="1"/>
  <c r="X262" i="1"/>
  <c r="Y262" i="1" s="1"/>
  <c r="X347" i="1"/>
  <c r="Y347" i="1" s="1"/>
  <c r="X492" i="1"/>
  <c r="Y492" i="1" s="1"/>
  <c r="X552" i="1"/>
  <c r="Y552" i="1" s="1"/>
  <c r="X577" i="1"/>
  <c r="Y577" i="1" s="1"/>
  <c r="X622" i="1"/>
  <c r="Y622" i="1" s="1"/>
  <c r="X682" i="1"/>
  <c r="Y682" i="1" s="1"/>
  <c r="X722" i="1"/>
  <c r="Y722" i="1" s="1"/>
  <c r="X887" i="1"/>
  <c r="Y887" i="1" s="1"/>
  <c r="X982" i="1"/>
  <c r="Y982" i="1" s="1"/>
  <c r="X1002" i="1"/>
  <c r="Y1002" i="1" s="1"/>
  <c r="X267" i="1"/>
  <c r="Y267" i="1" s="1"/>
  <c r="X512" i="1"/>
  <c r="Y512" i="1" s="1"/>
  <c r="X287" i="1"/>
  <c r="Y287" i="1" s="1"/>
  <c r="X447" i="1"/>
  <c r="Y447" i="1" s="1"/>
  <c r="X702" i="1"/>
  <c r="Y702" i="1" s="1"/>
  <c r="X452" i="1"/>
  <c r="Y452" i="1" s="1"/>
  <c r="R917" i="1"/>
  <c r="BA917" i="1"/>
  <c r="AZ917" i="1" s="1"/>
  <c r="BA852" i="1"/>
  <c r="AZ852" i="1" s="1"/>
  <c r="R852" i="1"/>
  <c r="BA822" i="1"/>
  <c r="AZ822" i="1" s="1"/>
  <c r="R822" i="1"/>
  <c r="R667" i="1"/>
  <c r="BA667" i="1"/>
  <c r="AZ667" i="1" s="1"/>
  <c r="BA592" i="1"/>
  <c r="AZ592" i="1" s="1"/>
  <c r="R592" i="1"/>
  <c r="BA532" i="1"/>
  <c r="AZ532" i="1" s="1"/>
  <c r="R532" i="1"/>
  <c r="R487" i="1"/>
  <c r="BA487" i="1"/>
  <c r="AZ487" i="1" s="1"/>
  <c r="BA292" i="1"/>
  <c r="BF292" i="1" s="1"/>
  <c r="R292" i="1"/>
  <c r="BA217" i="1"/>
  <c r="AZ217" i="1" s="1"/>
  <c r="R217" i="1"/>
  <c r="R997" i="1"/>
  <c r="BA997" i="1"/>
  <c r="BA897" i="1"/>
  <c r="AZ897" i="1" s="1"/>
  <c r="R897" i="1"/>
  <c r="BA817" i="1"/>
  <c r="AZ817" i="1" s="1"/>
  <c r="R817" i="1"/>
  <c r="BA737" i="1"/>
  <c r="AZ737" i="1" s="1"/>
  <c r="R737" i="1"/>
  <c r="BA642" i="1"/>
  <c r="AZ642" i="1" s="1"/>
  <c r="R642" i="1"/>
  <c r="BA562" i="1"/>
  <c r="AZ562" i="1" s="1"/>
  <c r="R562" i="1"/>
  <c r="BA542" i="1"/>
  <c r="AZ542" i="1" s="1"/>
  <c r="R542" i="1"/>
  <c r="R467" i="1"/>
  <c r="BA467" i="1"/>
  <c r="AZ467" i="1" s="1"/>
  <c r="BA382" i="1"/>
  <c r="AZ382" i="1" s="1"/>
  <c r="R382" i="1"/>
  <c r="BA317" i="1"/>
  <c r="AZ317" i="1" s="1"/>
  <c r="R317" i="1"/>
  <c r="R252" i="1"/>
  <c r="BA252" i="1"/>
  <c r="AZ252" i="1" s="1"/>
  <c r="R207" i="1"/>
  <c r="BA207" i="1"/>
  <c r="BF207" i="1" s="1"/>
  <c r="AA207" i="1"/>
  <c r="BA132" i="1"/>
  <c r="AZ132" i="1" s="1"/>
  <c r="R132" i="1"/>
  <c r="R967" i="1"/>
  <c r="BA967" i="1"/>
  <c r="AZ967" i="1" s="1"/>
  <c r="BA932" i="1"/>
  <c r="AZ932" i="1" s="1"/>
  <c r="R932" i="1"/>
  <c r="R747" i="1"/>
  <c r="BA747" i="1"/>
  <c r="AZ747" i="1" s="1"/>
  <c r="BA712" i="1"/>
  <c r="BF712" i="1" s="1"/>
  <c r="R712" i="1"/>
  <c r="R647" i="1"/>
  <c r="BA647" i="1"/>
  <c r="AZ647" i="1" s="1"/>
  <c r="R587" i="1"/>
  <c r="BA587" i="1"/>
  <c r="AZ587" i="1" s="1"/>
  <c r="BA477" i="1"/>
  <c r="AZ477" i="1" s="1"/>
  <c r="R477" i="1"/>
  <c r="BA442" i="1"/>
  <c r="AZ442" i="1" s="1"/>
  <c r="R442" i="1"/>
  <c r="R377" i="1"/>
  <c r="BA377" i="1"/>
  <c r="AZ377" i="1" s="1"/>
  <c r="BA322" i="1"/>
  <c r="AZ322" i="1" s="1"/>
  <c r="R322" i="1"/>
  <c r="R222" i="1"/>
  <c r="BA222" i="1"/>
  <c r="AZ222" i="1" s="1"/>
  <c r="BA162" i="1"/>
  <c r="AZ162" i="1" s="1"/>
  <c r="R162" i="1"/>
  <c r="BA117" i="1"/>
  <c r="AZ117" i="1" s="1"/>
  <c r="BA77" i="1"/>
  <c r="AZ77" i="1" s="1"/>
  <c r="R77" i="1"/>
  <c r="AA557" i="1"/>
  <c r="BD607" i="1"/>
  <c r="G19" i="5" s="1"/>
  <c r="L19" i="5" s="1"/>
  <c r="BD707" i="1"/>
  <c r="G21" i="5" s="1"/>
  <c r="L21" i="5" s="1"/>
  <c r="BD857" i="1"/>
  <c r="G24" i="5" s="1"/>
  <c r="L24" i="5" s="1"/>
  <c r="BD257" i="1"/>
  <c r="BD507" i="1"/>
  <c r="G17" i="5" s="1"/>
  <c r="L17" i="5" s="1"/>
  <c r="BD807" i="1"/>
  <c r="G23" i="5" s="1"/>
  <c r="L23" i="5" s="1"/>
  <c r="BD157" i="1"/>
  <c r="BB107" i="1"/>
  <c r="AX457" i="1"/>
  <c r="BB457" i="1"/>
  <c r="AX757" i="1"/>
  <c r="BB757" i="1"/>
  <c r="BB657" i="1"/>
  <c r="AX657" i="1"/>
  <c r="AX407" i="1"/>
  <c r="BB407" i="1"/>
  <c r="AX557" i="1"/>
  <c r="BB557" i="1"/>
  <c r="AX907" i="1"/>
  <c r="BB907" i="1"/>
  <c r="AZ367" i="1"/>
  <c r="X597" i="1"/>
  <c r="Y597" i="1" s="1"/>
  <c r="X667" i="1"/>
  <c r="Y667" i="1" s="1"/>
  <c r="X732" i="1"/>
  <c r="Y732" i="1" s="1"/>
  <c r="X992" i="1"/>
  <c r="Y992" i="1" s="1"/>
  <c r="X972" i="1"/>
  <c r="Y972" i="1" s="1"/>
  <c r="X852" i="1"/>
  <c r="Y852" i="1" s="1"/>
  <c r="X752" i="1"/>
  <c r="Y752" i="1" s="1"/>
  <c r="X377" i="1"/>
  <c r="Y377" i="1" s="1"/>
  <c r="AZ412" i="1"/>
  <c r="X542" i="1"/>
  <c r="Y542" i="1" s="1"/>
  <c r="X637" i="1"/>
  <c r="Y637" i="1" s="1"/>
  <c r="AZ732" i="1"/>
  <c r="X967" i="1"/>
  <c r="Y967" i="1" s="1"/>
  <c r="X352" i="1"/>
  <c r="Y352" i="1" s="1"/>
  <c r="X462" i="1"/>
  <c r="Y462" i="1" s="1"/>
  <c r="X187" i="1"/>
  <c r="Y187" i="1" s="1"/>
  <c r="X432" i="1"/>
  <c r="Y432" i="1" s="1"/>
  <c r="X812" i="1"/>
  <c r="Y812" i="1" s="1"/>
  <c r="X917" i="1"/>
  <c r="Y917" i="1" s="1"/>
  <c r="X962" i="1"/>
  <c r="Y962" i="1" s="1"/>
  <c r="AX902" i="1"/>
  <c r="AX747" i="1"/>
  <c r="X762" i="1"/>
  <c r="Y762" i="1" s="1"/>
  <c r="AX932" i="1"/>
  <c r="X357" i="1"/>
  <c r="Y357" i="1" s="1"/>
  <c r="X757" i="1"/>
  <c r="Y757" i="1" s="1"/>
  <c r="BF652" i="1"/>
  <c r="AX652" i="1"/>
  <c r="AR51" i="1"/>
  <c r="AU51" i="1" s="1"/>
  <c r="AX822" i="1"/>
  <c r="X617" i="1"/>
  <c r="Y617" i="1" s="1"/>
  <c r="AR33" i="1"/>
  <c r="AU33" i="1" s="1"/>
  <c r="AV33" i="1" s="1"/>
  <c r="AR37" i="1"/>
  <c r="AU37" i="1" s="1"/>
  <c r="AW37" i="1" s="1"/>
  <c r="AR38" i="1"/>
  <c r="AU38" i="1" s="1"/>
  <c r="AR39" i="1"/>
  <c r="AU39" i="1" s="1"/>
  <c r="AR40" i="1"/>
  <c r="AU40" i="1" s="1"/>
  <c r="AR41" i="1"/>
  <c r="AU41" i="1" s="1"/>
  <c r="AR42" i="1"/>
  <c r="AU42" i="1" s="1"/>
  <c r="AR46" i="1"/>
  <c r="AU46" i="1" s="1"/>
  <c r="AR53" i="1"/>
  <c r="AU53" i="1" s="1"/>
  <c r="X167" i="1"/>
  <c r="Y167" i="1" s="1"/>
  <c r="AZ167" i="1"/>
  <c r="AX792" i="1"/>
  <c r="BF972" i="1"/>
  <c r="AX547" i="1"/>
  <c r="AX842" i="1"/>
  <c r="AX382" i="1"/>
  <c r="AR32" i="1"/>
  <c r="AU32" i="1" s="1"/>
  <c r="AV32" i="1" s="1"/>
  <c r="AR36" i="1"/>
  <c r="AU36" i="1" s="1"/>
  <c r="X517" i="1"/>
  <c r="Y517" i="1" s="1"/>
  <c r="AX772" i="1"/>
  <c r="AX897" i="1"/>
  <c r="AX967" i="1"/>
  <c r="AX977" i="1"/>
  <c r="AX992" i="1"/>
  <c r="BF962" i="1"/>
  <c r="AX962" i="1"/>
  <c r="BF987" i="1"/>
  <c r="AX987" i="1"/>
  <c r="X957" i="1"/>
  <c r="Y957" i="1" s="1"/>
  <c r="AX957" i="1"/>
  <c r="AX1002" i="1"/>
  <c r="X977" i="1"/>
  <c r="Y977" i="1" s="1"/>
  <c r="AX952" i="1"/>
  <c r="AX942" i="1"/>
  <c r="X922" i="1"/>
  <c r="Y922" i="1" s="1"/>
  <c r="AX922" i="1"/>
  <c r="AX912" i="1"/>
  <c r="AX857" i="1"/>
  <c r="AX882" i="1"/>
  <c r="AX862" i="1"/>
  <c r="AX877" i="1"/>
  <c r="AX872" i="1"/>
  <c r="AX892" i="1"/>
  <c r="AX887" i="1"/>
  <c r="AX817" i="1"/>
  <c r="X817" i="1"/>
  <c r="Y817" i="1" s="1"/>
  <c r="AZ837" i="1"/>
  <c r="AX837" i="1"/>
  <c r="AX827" i="1"/>
  <c r="BF827" i="1"/>
  <c r="AX852" i="1"/>
  <c r="X842" i="1"/>
  <c r="Y842" i="1" s="1"/>
  <c r="AX832" i="1"/>
  <c r="AX807" i="1"/>
  <c r="AZ792" i="1"/>
  <c r="AX777" i="1"/>
  <c r="AX762" i="1"/>
  <c r="BF802" i="1"/>
  <c r="AX802" i="1"/>
  <c r="AX787" i="1"/>
  <c r="X792" i="1"/>
  <c r="Y792" i="1" s="1"/>
  <c r="AZ797" i="1"/>
  <c r="BF797" i="1"/>
  <c r="AX797" i="1"/>
  <c r="AX782" i="1"/>
  <c r="X797" i="1"/>
  <c r="Y797" i="1" s="1"/>
  <c r="AX717" i="1"/>
  <c r="AX712" i="1"/>
  <c r="X717" i="1"/>
  <c r="Y717" i="1" s="1"/>
  <c r="AX737" i="1"/>
  <c r="BF752" i="1"/>
  <c r="AX752" i="1"/>
  <c r="X742" i="1"/>
  <c r="Y742" i="1" s="1"/>
  <c r="AX732" i="1"/>
  <c r="BF732" i="1"/>
  <c r="AX707" i="1"/>
  <c r="AX727" i="1"/>
  <c r="AX692" i="1"/>
  <c r="AX667" i="1"/>
  <c r="AX672" i="1"/>
  <c r="AZ677" i="1"/>
  <c r="AX677" i="1"/>
  <c r="AX682" i="1"/>
  <c r="AX687" i="1"/>
  <c r="X677" i="1"/>
  <c r="Y677" i="1" s="1"/>
  <c r="AX702" i="1"/>
  <c r="X697" i="1"/>
  <c r="Y697" i="1" s="1"/>
  <c r="AX697" i="1"/>
  <c r="AX662" i="1"/>
  <c r="BF662" i="1"/>
  <c r="AX612" i="1"/>
  <c r="AX622" i="1"/>
  <c r="BF607" i="1"/>
  <c r="AX637" i="1"/>
  <c r="X642" i="1"/>
  <c r="Y642" i="1" s="1"/>
  <c r="X607" i="1"/>
  <c r="Y607" i="1" s="1"/>
  <c r="AX617" i="1"/>
  <c r="AX632" i="1"/>
  <c r="AX642" i="1"/>
  <c r="AX607" i="1"/>
  <c r="AX602" i="1"/>
  <c r="AX582" i="1"/>
  <c r="AX597" i="1"/>
  <c r="AX577" i="1"/>
  <c r="BF567" i="1"/>
  <c r="AX567" i="1"/>
  <c r="AX587" i="1"/>
  <c r="AX562" i="1"/>
  <c r="X522" i="1"/>
  <c r="Y522" i="1" s="1"/>
  <c r="AX507" i="1"/>
  <c r="X507" i="1"/>
  <c r="Y507" i="1" s="1"/>
  <c r="AX522" i="1"/>
  <c r="AX552" i="1"/>
  <c r="AX542" i="1"/>
  <c r="AX517" i="1"/>
  <c r="AX537" i="1"/>
  <c r="AX532" i="1"/>
  <c r="AX482" i="1"/>
  <c r="AX492" i="1"/>
  <c r="AX467" i="1"/>
  <c r="AX477" i="1"/>
  <c r="AX472" i="1"/>
  <c r="AX487" i="1"/>
  <c r="AX432" i="1"/>
  <c r="AX452" i="1"/>
  <c r="AX417" i="1"/>
  <c r="AX442" i="1"/>
  <c r="BF412" i="1"/>
  <c r="AX412" i="1"/>
  <c r="X407" i="1"/>
  <c r="Y407" i="1" s="1"/>
  <c r="AX437" i="1"/>
  <c r="X427" i="1"/>
  <c r="Y427" i="1" s="1"/>
  <c r="AX402" i="1"/>
  <c r="BF367" i="1"/>
  <c r="AX367" i="1"/>
  <c r="AX377" i="1"/>
  <c r="X392" i="1"/>
  <c r="Y392" i="1" s="1"/>
  <c r="AX372" i="1"/>
  <c r="BF362" i="1"/>
  <c r="AX362" i="1"/>
  <c r="AX397" i="1"/>
  <c r="AX357" i="1"/>
  <c r="AX387" i="1"/>
  <c r="D14" i="5"/>
  <c r="J14" i="5" s="1"/>
  <c r="AX392" i="1"/>
  <c r="AX317" i="1"/>
  <c r="AX322" i="1"/>
  <c r="AX332" i="1"/>
  <c r="AX312" i="1"/>
  <c r="AX307" i="1"/>
  <c r="AX352" i="1"/>
  <c r="AX337" i="1"/>
  <c r="AX302" i="1"/>
  <c r="AX292" i="1"/>
  <c r="AX262" i="1"/>
  <c r="AX287" i="1"/>
  <c r="AX257" i="1"/>
  <c r="AX272" i="1"/>
  <c r="AX267" i="1"/>
  <c r="AX282" i="1"/>
  <c r="X272" i="1"/>
  <c r="Y272" i="1" s="1"/>
  <c r="X277" i="1"/>
  <c r="Y277" i="1" s="1"/>
  <c r="D12" i="5"/>
  <c r="J12" i="5" s="1"/>
  <c r="AX252" i="1"/>
  <c r="AX227" i="1"/>
  <c r="AX207" i="1"/>
  <c r="AX212" i="1"/>
  <c r="AX237" i="1"/>
  <c r="D11" i="5"/>
  <c r="J11" i="5" s="1"/>
  <c r="AX242" i="1"/>
  <c r="AX217" i="1"/>
  <c r="AX232" i="1"/>
  <c r="AX247" i="1"/>
  <c r="X227" i="1"/>
  <c r="Y227" i="1" s="1"/>
  <c r="AX222" i="1"/>
  <c r="X157" i="1"/>
  <c r="Y157" i="1" s="1"/>
  <c r="AX202" i="1"/>
  <c r="AX177" i="1"/>
  <c r="AX197" i="1"/>
  <c r="AX192" i="1"/>
  <c r="AZ192" i="1"/>
  <c r="AX162" i="1"/>
  <c r="AX172" i="1"/>
  <c r="X177" i="1"/>
  <c r="Y177" i="1" s="1"/>
  <c r="AX157" i="1"/>
  <c r="AX187" i="1"/>
  <c r="AX182" i="1"/>
  <c r="BF182" i="1"/>
  <c r="X192" i="1"/>
  <c r="Y192" i="1" s="1"/>
  <c r="AX152" i="1"/>
  <c r="AX122" i="1"/>
  <c r="AX112" i="1"/>
  <c r="X142" i="1"/>
  <c r="Y142" i="1" s="1"/>
  <c r="AX142" i="1"/>
  <c r="AX107" i="1"/>
  <c r="AX117" i="1"/>
  <c r="AX132" i="1"/>
  <c r="AX137" i="1"/>
  <c r="AX97" i="1"/>
  <c r="AX77" i="1"/>
  <c r="X72" i="1"/>
  <c r="Y72" i="1" s="1"/>
  <c r="AX67" i="1"/>
  <c r="BF67" i="1"/>
  <c r="AX92" i="1"/>
  <c r="AX87" i="1"/>
  <c r="AX82" i="1"/>
  <c r="AX102" i="1"/>
  <c r="X77" i="1"/>
  <c r="Y77" i="1" s="1"/>
  <c r="X97" i="1"/>
  <c r="Y97" i="1" s="1"/>
  <c r="AX72" i="1"/>
  <c r="X92" i="1"/>
  <c r="Y92" i="1" s="1"/>
  <c r="BF787" i="1" l="1"/>
  <c r="BF872" i="1"/>
  <c r="BF472" i="1"/>
  <c r="BF437" i="1"/>
  <c r="AZ707" i="1"/>
  <c r="BF982" i="1"/>
  <c r="BF462" i="1"/>
  <c r="BF517" i="1"/>
  <c r="BF862" i="1"/>
  <c r="BF492" i="1"/>
  <c r="BF402" i="1"/>
  <c r="BF442" i="1"/>
  <c r="BF482" i="1"/>
  <c r="BF602" i="1"/>
  <c r="BF637" i="1"/>
  <c r="BF757" i="1"/>
  <c r="BF762" i="1"/>
  <c r="BF887" i="1"/>
  <c r="BF572" i="1"/>
  <c r="BF702" i="1"/>
  <c r="BF687" i="1"/>
  <c r="BF417" i="1"/>
  <c r="BF467" i="1"/>
  <c r="BF552" i="1"/>
  <c r="BF892" i="1"/>
  <c r="BF912" i="1"/>
  <c r="BF992" i="1"/>
  <c r="AZ292" i="1"/>
  <c r="BB57" i="1"/>
  <c r="BD57" i="1" s="1"/>
  <c r="AX57" i="1"/>
  <c r="BF332" i="1"/>
  <c r="AY32" i="1"/>
  <c r="AX32" i="1" s="1"/>
  <c r="BF127" i="1"/>
  <c r="BF137" i="1"/>
  <c r="BF307" i="1"/>
  <c r="BF82" i="1"/>
  <c r="X42" i="1"/>
  <c r="Y42" i="1" s="1"/>
  <c r="BA42" i="1"/>
  <c r="AZ42" i="1" s="1"/>
  <c r="BF152" i="1"/>
  <c r="BF252" i="1"/>
  <c r="BF242" i="1"/>
  <c r="BF392" i="1"/>
  <c r="BF132" i="1"/>
  <c r="BF162" i="1"/>
  <c r="BF232" i="1"/>
  <c r="BF322" i="1"/>
  <c r="BF352" i="1"/>
  <c r="BF267" i="1"/>
  <c r="BF397" i="1"/>
  <c r="BF112" i="1"/>
  <c r="BF212" i="1"/>
  <c r="BF302" i="1"/>
  <c r="BF117" i="1"/>
  <c r="BF87" i="1"/>
  <c r="BF282" i="1"/>
  <c r="BF202" i="1"/>
  <c r="BF222" i="1"/>
  <c r="BF247" i="1"/>
  <c r="BF337" i="1"/>
  <c r="BF347" i="1"/>
  <c r="BF542" i="1"/>
  <c r="BF632" i="1"/>
  <c r="BF727" i="1"/>
  <c r="BF812" i="1"/>
  <c r="AZ582" i="1"/>
  <c r="BF502" i="1"/>
  <c r="BF852" i="1"/>
  <c r="BF487" i="1"/>
  <c r="BF477" i="1"/>
  <c r="BF952" i="1"/>
  <c r="BF767" i="1"/>
  <c r="BC607" i="1"/>
  <c r="BE607" i="1" s="1"/>
  <c r="H19" i="5" s="1"/>
  <c r="M19" i="5" s="1"/>
  <c r="O19" i="5" s="1"/>
  <c r="Q19" i="5" s="1"/>
  <c r="BC957" i="1"/>
  <c r="BE957" i="1" s="1"/>
  <c r="H26" i="5" s="1"/>
  <c r="M26" i="5" s="1"/>
  <c r="O26" i="5" s="1"/>
  <c r="Q26" i="5" s="1"/>
  <c r="BC457" i="1"/>
  <c r="BE457" i="1" s="1"/>
  <c r="H16" i="5" s="1"/>
  <c r="M16" i="5" s="1"/>
  <c r="BF577" i="1"/>
  <c r="BF667" i="1"/>
  <c r="BF942" i="1"/>
  <c r="BF937" i="1"/>
  <c r="BF747" i="1"/>
  <c r="AZ712" i="1"/>
  <c r="BF432" i="1"/>
  <c r="BF832" i="1"/>
  <c r="BF497" i="1"/>
  <c r="BF377" i="1"/>
  <c r="BF612" i="1"/>
  <c r="BF782" i="1"/>
  <c r="BF877" i="1"/>
  <c r="BF902" i="1"/>
  <c r="AC607" i="1"/>
  <c r="E19" i="5" s="1"/>
  <c r="K19" i="5" s="1"/>
  <c r="N19" i="5" s="1"/>
  <c r="P19" i="5" s="1"/>
  <c r="AD607" i="1"/>
  <c r="F19" i="5" s="1"/>
  <c r="AC157" i="1"/>
  <c r="AD157" i="1"/>
  <c r="F10" i="5" s="1"/>
  <c r="AD857" i="1"/>
  <c r="F24" i="5" s="1"/>
  <c r="AC857" i="1"/>
  <c r="E24" i="5" s="1"/>
  <c r="K24" i="5" s="1"/>
  <c r="N24" i="5" s="1"/>
  <c r="P24" i="5" s="1"/>
  <c r="BC907" i="1"/>
  <c r="BE907" i="1" s="1"/>
  <c r="H25" i="5" s="1"/>
  <c r="M25" i="5" s="1"/>
  <c r="BC407" i="1"/>
  <c r="BE407" i="1" s="1"/>
  <c r="H15" i="5" s="1"/>
  <c r="M15" i="5" s="1"/>
  <c r="BC357" i="1"/>
  <c r="AC807" i="1"/>
  <c r="E23" i="5" s="1"/>
  <c r="K23" i="5" s="1"/>
  <c r="N23" i="5" s="1"/>
  <c r="P23" i="5" s="1"/>
  <c r="AD807" i="1"/>
  <c r="F23" i="5" s="1"/>
  <c r="BF217" i="1"/>
  <c r="BF562" i="1"/>
  <c r="BF822" i="1"/>
  <c r="BF592" i="1"/>
  <c r="AC257" i="1"/>
  <c r="AD257" i="1"/>
  <c r="F12" i="5" s="1"/>
  <c r="BC707" i="1"/>
  <c r="BA52" i="1"/>
  <c r="AZ52" i="1" s="1"/>
  <c r="R52" i="1"/>
  <c r="X52" i="1"/>
  <c r="Y52" i="1" s="1"/>
  <c r="AC307" i="1"/>
  <c r="AD307" i="1"/>
  <c r="F13" i="5" s="1"/>
  <c r="AD57" i="1"/>
  <c r="AC57" i="1"/>
  <c r="E8" i="5" s="1"/>
  <c r="AC757" i="1"/>
  <c r="E22" i="5" s="1"/>
  <c r="K22" i="5" s="1"/>
  <c r="N22" i="5" s="1"/>
  <c r="P22" i="5" s="1"/>
  <c r="AD757" i="1"/>
  <c r="F22" i="5" s="1"/>
  <c r="BA47" i="1"/>
  <c r="AZ47" i="1" s="1"/>
  <c r="R47" i="1"/>
  <c r="X47" i="1"/>
  <c r="Y47" i="1" s="1"/>
  <c r="AD907" i="1"/>
  <c r="F25" i="5" s="1"/>
  <c r="AC907" i="1"/>
  <c r="E25" i="5" s="1"/>
  <c r="K25" i="5" s="1"/>
  <c r="N25" i="5" s="1"/>
  <c r="P25" i="5" s="1"/>
  <c r="AC107" i="1"/>
  <c r="AD107" i="1"/>
  <c r="F9" i="5" s="1"/>
  <c r="BC807" i="1"/>
  <c r="BC657" i="1"/>
  <c r="BE657" i="1" s="1"/>
  <c r="H20" i="5" s="1"/>
  <c r="M20" i="5" s="1"/>
  <c r="AZ657" i="1"/>
  <c r="BF187" i="1"/>
  <c r="BF197" i="1"/>
  <c r="BF237" i="1"/>
  <c r="BF327" i="1"/>
  <c r="BF312" i="1"/>
  <c r="BF447" i="1"/>
  <c r="BF452" i="1"/>
  <c r="BF512" i="1"/>
  <c r="BF537" i="1"/>
  <c r="BF522" i="1"/>
  <c r="BF597" i="1"/>
  <c r="BF682" i="1"/>
  <c r="BF847" i="1"/>
  <c r="BF287" i="1"/>
  <c r="BF657" i="1"/>
  <c r="BG957" i="1"/>
  <c r="I26" i="5" s="1"/>
  <c r="AC557" i="1"/>
  <c r="E18" i="5" s="1"/>
  <c r="K18" i="5" s="1"/>
  <c r="N18" i="5" s="1"/>
  <c r="P18" i="5" s="1"/>
  <c r="AD557" i="1"/>
  <c r="F18" i="5" s="1"/>
  <c r="AC207" i="1"/>
  <c r="AD207" i="1"/>
  <c r="F11" i="5" s="1"/>
  <c r="BC307" i="1"/>
  <c r="BC157" i="1"/>
  <c r="BC857" i="1"/>
  <c r="AZ857" i="1"/>
  <c r="BA32" i="1"/>
  <c r="AZ32" i="1" s="1"/>
  <c r="R32" i="1"/>
  <c r="X32" i="1"/>
  <c r="Y32" i="1" s="1"/>
  <c r="BC557" i="1"/>
  <c r="BE557" i="1" s="1"/>
  <c r="H18" i="5" s="1"/>
  <c r="M18" i="5" s="1"/>
  <c r="AC957" i="1"/>
  <c r="E26" i="5" s="1"/>
  <c r="K26" i="5" s="1"/>
  <c r="N26" i="5" s="1"/>
  <c r="P26" i="5" s="1"/>
  <c r="AD957" i="1"/>
  <c r="F26" i="5" s="1"/>
  <c r="AD507" i="1"/>
  <c r="F17" i="5" s="1"/>
  <c r="AC507" i="1"/>
  <c r="BC757" i="1"/>
  <c r="BE757" i="1" s="1"/>
  <c r="H22" i="5" s="1"/>
  <c r="M22" i="5" s="1"/>
  <c r="BC257" i="1"/>
  <c r="BC107" i="1"/>
  <c r="BE107" i="1" s="1"/>
  <c r="H9" i="5" s="1"/>
  <c r="M9" i="5" s="1"/>
  <c r="BF102" i="1"/>
  <c r="BF62" i="1"/>
  <c r="BF172" i="1"/>
  <c r="BF297" i="1"/>
  <c r="BF262" i="1"/>
  <c r="BF387" i="1"/>
  <c r="AZ357" i="1"/>
  <c r="BF532" i="1"/>
  <c r="BF587" i="1"/>
  <c r="BF647" i="1"/>
  <c r="BF722" i="1"/>
  <c r="BF807" i="1"/>
  <c r="BF882" i="1"/>
  <c r="BF1002" i="1"/>
  <c r="AZ617" i="1"/>
  <c r="BF627" i="1"/>
  <c r="BC207" i="1"/>
  <c r="BA37" i="1"/>
  <c r="AZ37" i="1" s="1"/>
  <c r="R37" i="1"/>
  <c r="X37" i="1"/>
  <c r="Y37" i="1" s="1"/>
  <c r="AC707" i="1"/>
  <c r="E21" i="5" s="1"/>
  <c r="K21" i="5" s="1"/>
  <c r="N21" i="5" s="1"/>
  <c r="P21" i="5" s="1"/>
  <c r="AD707" i="1"/>
  <c r="F21" i="5" s="1"/>
  <c r="BC57" i="1"/>
  <c r="BE57" i="1" s="1"/>
  <c r="AC407" i="1"/>
  <c r="AD407" i="1"/>
  <c r="F15" i="5" s="1"/>
  <c r="AC457" i="1"/>
  <c r="AD457" i="1"/>
  <c r="F16" i="5" s="1"/>
  <c r="BC507" i="1"/>
  <c r="AC357" i="1"/>
  <c r="AD357" i="1"/>
  <c r="F14" i="5" s="1"/>
  <c r="AD657" i="1"/>
  <c r="F20" i="5" s="1"/>
  <c r="AC657" i="1"/>
  <c r="E20" i="5" s="1"/>
  <c r="K20" i="5" s="1"/>
  <c r="N20" i="5" s="1"/>
  <c r="P20" i="5" s="1"/>
  <c r="BD907" i="1"/>
  <c r="G25" i="5" s="1"/>
  <c r="L25" i="5" s="1"/>
  <c r="BD407" i="1"/>
  <c r="G15" i="5" s="1"/>
  <c r="L15" i="5" s="1"/>
  <c r="BD757" i="1"/>
  <c r="G22" i="5" s="1"/>
  <c r="L22" i="5" s="1"/>
  <c r="BD557" i="1"/>
  <c r="G18" i="5" s="1"/>
  <c r="L18" i="5" s="1"/>
  <c r="BD657" i="1"/>
  <c r="G20" i="5" s="1"/>
  <c r="L20" i="5" s="1"/>
  <c r="BD457" i="1"/>
  <c r="G16" i="5" s="1"/>
  <c r="L16" i="5" s="1"/>
  <c r="O16" i="5" s="1"/>
  <c r="Q16" i="5" s="1"/>
  <c r="BG457" i="1"/>
  <c r="I16" i="5" s="1"/>
  <c r="BD107" i="1"/>
  <c r="G9" i="5" s="1"/>
  <c r="L9" i="5" s="1"/>
  <c r="BF932" i="1"/>
  <c r="BF382" i="1"/>
  <c r="AX462" i="1"/>
  <c r="BF547" i="1"/>
  <c r="BF677" i="1"/>
  <c r="BF917" i="1"/>
  <c r="BF967" i="1"/>
  <c r="AX917" i="1"/>
  <c r="AX47" i="1"/>
  <c r="AX52" i="1"/>
  <c r="AX37" i="1"/>
  <c r="AX347" i="1"/>
  <c r="BF817" i="1"/>
  <c r="BF72" i="1"/>
  <c r="BF167" i="1"/>
  <c r="BF272" i="1"/>
  <c r="BF642" i="1"/>
  <c r="BF617" i="1"/>
  <c r="AX767" i="1"/>
  <c r="AX812" i="1"/>
  <c r="BF897" i="1"/>
  <c r="BF922" i="1"/>
  <c r="AX937" i="1"/>
  <c r="AX982" i="1"/>
  <c r="AX947" i="1"/>
  <c r="BF947" i="1"/>
  <c r="BF717" i="1"/>
  <c r="BF142" i="1"/>
  <c r="BF122" i="1"/>
  <c r="BF227" i="1"/>
  <c r="AZ997" i="1"/>
  <c r="BF997" i="1"/>
  <c r="AZ957" i="1"/>
  <c r="BF977" i="1"/>
  <c r="AZ927" i="1"/>
  <c r="BF927" i="1"/>
  <c r="AZ907" i="1"/>
  <c r="BF907" i="1"/>
  <c r="AZ867" i="1"/>
  <c r="BF867" i="1"/>
  <c r="AZ842" i="1"/>
  <c r="BF842" i="1"/>
  <c r="BF837" i="1"/>
  <c r="BF777" i="1"/>
  <c r="BF772" i="1"/>
  <c r="BF792" i="1"/>
  <c r="AZ742" i="1"/>
  <c r="BF742" i="1"/>
  <c r="BF737" i="1"/>
  <c r="BF697" i="1"/>
  <c r="AZ672" i="1"/>
  <c r="BF692" i="1"/>
  <c r="AZ607" i="1"/>
  <c r="BF622" i="1"/>
  <c r="AZ557" i="1"/>
  <c r="BF557" i="1"/>
  <c r="AZ507" i="1"/>
  <c r="AZ527" i="1"/>
  <c r="BF527" i="1"/>
  <c r="AZ457" i="1"/>
  <c r="BF457" i="1"/>
  <c r="AZ422" i="1"/>
  <c r="BF422" i="1"/>
  <c r="AZ407" i="1"/>
  <c r="BF407" i="1"/>
  <c r="AZ427" i="1"/>
  <c r="BF427" i="1"/>
  <c r="BF372" i="1"/>
  <c r="G14" i="5"/>
  <c r="L14" i="5" s="1"/>
  <c r="G13" i="5"/>
  <c r="L13" i="5" s="1"/>
  <c r="AZ342" i="1"/>
  <c r="BF342" i="1"/>
  <c r="BF317" i="1"/>
  <c r="AZ257" i="1"/>
  <c r="G12" i="5"/>
  <c r="L12" i="5" s="1"/>
  <c r="AZ277" i="1"/>
  <c r="BF277" i="1"/>
  <c r="G11" i="5"/>
  <c r="L11" i="5" s="1"/>
  <c r="AZ207" i="1"/>
  <c r="G10" i="5"/>
  <c r="L10" i="5" s="1"/>
  <c r="AZ157" i="1"/>
  <c r="BF157" i="1"/>
  <c r="BF192" i="1"/>
  <c r="BF177" i="1"/>
  <c r="AZ107" i="1"/>
  <c r="AZ147" i="1"/>
  <c r="BF147" i="1"/>
  <c r="BF77" i="1"/>
  <c r="AZ57" i="1"/>
  <c r="BF92" i="1"/>
  <c r="BF57" i="1"/>
  <c r="BF97" i="1"/>
  <c r="C7" i="5"/>
  <c r="B8" i="5"/>
  <c r="B7" i="5"/>
  <c r="AQ31" i="1"/>
  <c r="AQ30" i="1"/>
  <c r="AQ29" i="1"/>
  <c r="AQ28" i="1"/>
  <c r="AQ27" i="1"/>
  <c r="AQ26" i="1"/>
  <c r="AQ25" i="1"/>
  <c r="AQ24" i="1"/>
  <c r="AQ23" i="1"/>
  <c r="AQ22" i="1"/>
  <c r="AQ21" i="1"/>
  <c r="AQ20" i="1"/>
  <c r="AQ19" i="1"/>
  <c r="AQ18" i="1"/>
  <c r="AQ17" i="1"/>
  <c r="AQ16" i="1"/>
  <c r="AQ15" i="1"/>
  <c r="AQ14" i="1"/>
  <c r="AQ13" i="1"/>
  <c r="AQ12" i="1"/>
  <c r="AM31" i="1"/>
  <c r="AM30" i="1"/>
  <c r="AM29" i="1"/>
  <c r="AM28" i="1"/>
  <c r="AM27" i="1"/>
  <c r="AM26" i="1"/>
  <c r="AM25" i="1"/>
  <c r="AM24" i="1"/>
  <c r="AM23" i="1"/>
  <c r="AM22" i="1"/>
  <c r="AM21" i="1"/>
  <c r="AM20" i="1"/>
  <c r="AM19" i="1"/>
  <c r="AM18" i="1"/>
  <c r="AM17" i="1"/>
  <c r="AM16" i="1"/>
  <c r="AM15" i="1"/>
  <c r="AM14" i="1"/>
  <c r="AM13" i="1"/>
  <c r="AM12" i="1"/>
  <c r="AT31" i="1"/>
  <c r="AW31" i="1" s="1"/>
  <c r="AT30" i="1"/>
  <c r="AW30" i="1" s="1"/>
  <c r="AT29" i="1"/>
  <c r="AW29" i="1" s="1"/>
  <c r="AT28" i="1"/>
  <c r="AW28" i="1" s="1"/>
  <c r="AT27" i="1"/>
  <c r="AW27" i="1" s="1"/>
  <c r="AT26" i="1"/>
  <c r="AW26" i="1" s="1"/>
  <c r="AT25" i="1"/>
  <c r="AT24" i="1"/>
  <c r="AT23" i="1"/>
  <c r="AT22" i="1"/>
  <c r="AW22" i="1" s="1"/>
  <c r="AT21" i="1"/>
  <c r="AW21" i="1" s="1"/>
  <c r="AT20" i="1"/>
  <c r="AW20" i="1" s="1"/>
  <c r="AT19" i="1"/>
  <c r="AW19" i="1" s="1"/>
  <c r="AT18" i="1"/>
  <c r="AW18" i="1" s="1"/>
  <c r="AT17" i="1"/>
  <c r="AT16" i="1"/>
  <c r="AW16" i="1" s="1"/>
  <c r="AT15" i="1"/>
  <c r="AW15" i="1" s="1"/>
  <c r="AT14" i="1"/>
  <c r="AW14" i="1" s="1"/>
  <c r="AT13" i="1"/>
  <c r="AW13" i="1" s="1"/>
  <c r="AT12" i="1"/>
  <c r="AT11" i="1"/>
  <c r="AT10" i="1"/>
  <c r="AT9" i="1"/>
  <c r="AT8" i="1"/>
  <c r="AS31" i="1"/>
  <c r="AV31" i="1" s="1"/>
  <c r="AS30" i="1"/>
  <c r="AV30" i="1" s="1"/>
  <c r="AS29" i="1"/>
  <c r="AV29" i="1" s="1"/>
  <c r="AS28" i="1"/>
  <c r="AS27" i="1"/>
  <c r="AS26" i="1"/>
  <c r="AV26" i="1" s="1"/>
  <c r="AS25" i="1"/>
  <c r="AV25" i="1" s="1"/>
  <c r="AS24" i="1"/>
  <c r="AV24" i="1" s="1"/>
  <c r="AS23" i="1"/>
  <c r="AS22" i="1"/>
  <c r="AS21" i="1"/>
  <c r="AV21" i="1" s="1"/>
  <c r="AS20" i="1"/>
  <c r="AV20" i="1" s="1"/>
  <c r="AS19" i="1"/>
  <c r="AV19" i="1" s="1"/>
  <c r="AS18" i="1"/>
  <c r="AV18" i="1" s="1"/>
  <c r="AS17" i="1"/>
  <c r="AS16" i="1"/>
  <c r="AV16" i="1" s="1"/>
  <c r="AS15" i="1"/>
  <c r="AV15" i="1" s="1"/>
  <c r="AS14" i="1"/>
  <c r="AV14" i="1" s="1"/>
  <c r="AS13" i="1"/>
  <c r="AS12" i="1"/>
  <c r="AS8" i="1"/>
  <c r="AS9" i="1"/>
  <c r="AS10" i="1"/>
  <c r="AS11" i="1"/>
  <c r="AT7" i="1"/>
  <c r="O18" i="5" l="1"/>
  <c r="Q18" i="5" s="1"/>
  <c r="O22" i="5"/>
  <c r="Q22" i="5" s="1"/>
  <c r="E16" i="5"/>
  <c r="K16" i="5" s="1"/>
  <c r="N16" i="5" s="1"/>
  <c r="P16" i="5" s="1"/>
  <c r="E15" i="5"/>
  <c r="K15" i="5" s="1"/>
  <c r="N15" i="5" s="1"/>
  <c r="P15" i="5" s="1"/>
  <c r="O20" i="5"/>
  <c r="Q20" i="5" s="1"/>
  <c r="O25" i="5"/>
  <c r="Q25" i="5" s="1"/>
  <c r="E17" i="5"/>
  <c r="K17" i="5" s="1"/>
  <c r="N17" i="5" s="1"/>
  <c r="P17" i="5" s="1"/>
  <c r="E14" i="5"/>
  <c r="K14" i="5" s="1"/>
  <c r="N14" i="5" s="1"/>
  <c r="P14" i="5" s="1"/>
  <c r="E13" i="5"/>
  <c r="K13" i="5" s="1"/>
  <c r="N13" i="5" s="1"/>
  <c r="P13" i="5" s="1"/>
  <c r="E12" i="5"/>
  <c r="K12" i="5" s="1"/>
  <c r="N12" i="5" s="1"/>
  <c r="P12" i="5" s="1"/>
  <c r="E11" i="5"/>
  <c r="K11" i="5" s="1"/>
  <c r="N11" i="5" s="1"/>
  <c r="P11" i="5" s="1"/>
  <c r="E10" i="5"/>
  <c r="K10" i="5" s="1"/>
  <c r="N10" i="5" s="1"/>
  <c r="P10" i="5" s="1"/>
  <c r="E9" i="5"/>
  <c r="K9" i="5" s="1"/>
  <c r="N9" i="5" s="1"/>
  <c r="P9" i="5" s="1"/>
  <c r="O15" i="5"/>
  <c r="Q15" i="5" s="1"/>
  <c r="BG557" i="1"/>
  <c r="I18" i="5" s="1"/>
  <c r="BG407" i="1"/>
  <c r="I15" i="5" s="1"/>
  <c r="BG757" i="1"/>
  <c r="I22" i="5" s="1"/>
  <c r="AV23" i="1"/>
  <c r="BF37" i="1"/>
  <c r="BF52" i="1"/>
  <c r="BF47" i="1"/>
  <c r="BG107" i="1"/>
  <c r="I9" i="5" s="1"/>
  <c r="BG907" i="1"/>
  <c r="I25" i="5" s="1"/>
  <c r="BG607" i="1"/>
  <c r="I19" i="5" s="1"/>
  <c r="BG657" i="1"/>
  <c r="I20" i="5" s="1"/>
  <c r="BE257" i="1"/>
  <c r="H12" i="5" s="1"/>
  <c r="M12" i="5" s="1"/>
  <c r="BG257" i="1"/>
  <c r="I12" i="5" s="1"/>
  <c r="BE157" i="1"/>
  <c r="H10" i="5" s="1"/>
  <c r="M10" i="5" s="1"/>
  <c r="O10" i="5" s="1"/>
  <c r="Q10" i="5" s="1"/>
  <c r="BG157" i="1"/>
  <c r="I10" i="5" s="1"/>
  <c r="BE307" i="1"/>
  <c r="H13" i="5" s="1"/>
  <c r="M13" i="5" s="1"/>
  <c r="O13" i="5" s="1"/>
  <c r="Q13" i="5" s="1"/>
  <c r="BG307" i="1"/>
  <c r="I13" i="5" s="1"/>
  <c r="BE707" i="1"/>
  <c r="H21" i="5" s="1"/>
  <c r="M21" i="5" s="1"/>
  <c r="O21" i="5" s="1"/>
  <c r="Q21" i="5" s="1"/>
  <c r="BG707" i="1"/>
  <c r="I21" i="5" s="1"/>
  <c r="BG57" i="1"/>
  <c r="BE207" i="1"/>
  <c r="H11" i="5" s="1"/>
  <c r="M11" i="5" s="1"/>
  <c r="O11" i="5" s="1"/>
  <c r="Q11" i="5" s="1"/>
  <c r="BG207" i="1"/>
  <c r="I11" i="5" s="1"/>
  <c r="BE357" i="1"/>
  <c r="H14" i="5" s="1"/>
  <c r="M14" i="5" s="1"/>
  <c r="O14" i="5" s="1"/>
  <c r="Q14" i="5" s="1"/>
  <c r="BG357" i="1"/>
  <c r="I14" i="5" s="1"/>
  <c r="BF32" i="1"/>
  <c r="BE507" i="1"/>
  <c r="H17" i="5" s="1"/>
  <c r="M17" i="5" s="1"/>
  <c r="O17" i="5" s="1"/>
  <c r="Q17" i="5" s="1"/>
  <c r="BG507" i="1"/>
  <c r="I17" i="5" s="1"/>
  <c r="BE857" i="1"/>
  <c r="H24" i="5" s="1"/>
  <c r="M24" i="5" s="1"/>
  <c r="O24" i="5" s="1"/>
  <c r="Q24" i="5" s="1"/>
  <c r="BG857" i="1"/>
  <c r="I24" i="5" s="1"/>
  <c r="BE807" i="1"/>
  <c r="H23" i="5" s="1"/>
  <c r="M23" i="5" s="1"/>
  <c r="O23" i="5" s="1"/>
  <c r="Q23" i="5" s="1"/>
  <c r="BG807" i="1"/>
  <c r="I23" i="5" s="1"/>
  <c r="O9" i="5"/>
  <c r="Q9" i="5" s="1"/>
  <c r="AX42" i="1"/>
  <c r="BF42" i="1"/>
  <c r="AR23" i="1"/>
  <c r="AU23" i="1" s="1"/>
  <c r="AW23" i="1" s="1"/>
  <c r="AR31" i="1"/>
  <c r="AU31" i="1" s="1"/>
  <c r="AR14" i="1"/>
  <c r="AU14" i="1" s="1"/>
  <c r="AR18" i="1"/>
  <c r="AU18" i="1" s="1"/>
  <c r="AR22" i="1"/>
  <c r="AU22" i="1" s="1"/>
  <c r="AV22" i="1" s="1"/>
  <c r="AR17" i="1"/>
  <c r="AU17" i="1" s="1"/>
  <c r="AW17" i="1" s="1"/>
  <c r="AR21" i="1"/>
  <c r="AU21" i="1" s="1"/>
  <c r="AR29" i="1"/>
  <c r="AU29" i="1" s="1"/>
  <c r="AR24" i="1"/>
  <c r="AU24" i="1" s="1"/>
  <c r="AW24" i="1" s="1"/>
  <c r="AR28" i="1"/>
  <c r="AU28" i="1" s="1"/>
  <c r="AV28" i="1" s="1"/>
  <c r="D8" i="5"/>
  <c r="J8" i="5" s="1"/>
  <c r="AR15" i="1"/>
  <c r="AU15" i="1" s="1"/>
  <c r="AR12" i="1"/>
  <c r="AU12" i="1" s="1"/>
  <c r="AW12" i="1" s="1"/>
  <c r="AR19" i="1"/>
  <c r="AU19" i="1" s="1"/>
  <c r="AR26" i="1"/>
  <c r="AU26" i="1" s="1"/>
  <c r="AR30" i="1"/>
  <c r="AU30" i="1" s="1"/>
  <c r="AR13" i="1"/>
  <c r="AU13" i="1" s="1"/>
  <c r="AV13" i="1" s="1"/>
  <c r="AR16" i="1"/>
  <c r="AU16" i="1" s="1"/>
  <c r="AR20" i="1"/>
  <c r="AU20" i="1" s="1"/>
  <c r="AR27" i="1"/>
  <c r="AU27" i="1" s="1"/>
  <c r="AV27" i="1" s="1"/>
  <c r="AR25" i="1"/>
  <c r="AU25" i="1" s="1"/>
  <c r="AW25" i="1" s="1"/>
  <c r="AQ9" i="1"/>
  <c r="L7" i="1"/>
  <c r="M7" i="1"/>
  <c r="N7" i="1"/>
  <c r="O7" i="1"/>
  <c r="P7" i="1"/>
  <c r="AS7" i="1"/>
  <c r="AM8" i="1"/>
  <c r="AQ8" i="1"/>
  <c r="AM9" i="1"/>
  <c r="AW9" i="1"/>
  <c r="AM10" i="1"/>
  <c r="AQ10" i="1"/>
  <c r="AM11" i="1"/>
  <c r="AQ11" i="1"/>
  <c r="AW11" i="1"/>
  <c r="L12" i="1"/>
  <c r="M12" i="1"/>
  <c r="N12" i="1"/>
  <c r="O12" i="1"/>
  <c r="P12" i="1"/>
  <c r="BF13" i="1"/>
  <c r="BF14" i="1"/>
  <c r="L17" i="1"/>
  <c r="M17" i="1"/>
  <c r="N17" i="1"/>
  <c r="O17" i="1"/>
  <c r="P17" i="1"/>
  <c r="BF18" i="1"/>
  <c r="BF19" i="1"/>
  <c r="L22" i="1"/>
  <c r="M22" i="1"/>
  <c r="N22" i="1"/>
  <c r="O22" i="1"/>
  <c r="P22" i="1"/>
  <c r="BF23" i="1"/>
  <c r="BF24" i="1"/>
  <c r="L27" i="1"/>
  <c r="M27" i="1"/>
  <c r="N27" i="1"/>
  <c r="O27" i="1"/>
  <c r="P27" i="1"/>
  <c r="BF28" i="1"/>
  <c r="BF29" i="1"/>
  <c r="AV12" i="1" l="1"/>
  <c r="AY12" i="1" s="1"/>
  <c r="O12" i="5"/>
  <c r="Q12" i="5" s="1"/>
  <c r="Q17" i="1"/>
  <c r="BA17" i="1" s="1"/>
  <c r="Q12" i="1"/>
  <c r="Q22" i="1"/>
  <c r="Q7" i="1"/>
  <c r="Q27" i="1"/>
  <c r="AY27" i="1"/>
  <c r="AY22" i="1"/>
  <c r="AV17" i="1"/>
  <c r="AY17" i="1" s="1"/>
  <c r="AR9" i="1"/>
  <c r="AU9" i="1" s="1"/>
  <c r="AV9" i="1" s="1"/>
  <c r="AR11" i="1"/>
  <c r="AR7" i="1"/>
  <c r="AU7" i="1" s="1"/>
  <c r="AR8" i="1"/>
  <c r="AR10" i="1"/>
  <c r="H11" i="3"/>
  <c r="AV7" i="1" l="1"/>
  <c r="AW7" i="1"/>
  <c r="R7" i="1"/>
  <c r="X7" i="1"/>
  <c r="Y7" i="1" s="1"/>
  <c r="R17" i="1"/>
  <c r="BA27" i="1"/>
  <c r="R27" i="1"/>
  <c r="BA22" i="1"/>
  <c r="R22" i="1"/>
  <c r="BA12" i="1"/>
  <c r="R12" i="1"/>
  <c r="AA7" i="1"/>
  <c r="D7" i="5"/>
  <c r="J7" i="5" s="1"/>
  <c r="X17" i="1"/>
  <c r="Y17" i="1" s="1"/>
  <c r="AZ17" i="1"/>
  <c r="H8" i="5"/>
  <c r="M8" i="5" s="1"/>
  <c r="G8" i="5"/>
  <c r="L8" i="5" s="1"/>
  <c r="AU8" i="1"/>
  <c r="AU11" i="1"/>
  <c r="AV11" i="1" s="1"/>
  <c r="AU10" i="1"/>
  <c r="F8" i="5"/>
  <c r="AX22" i="1"/>
  <c r="X27" i="1"/>
  <c r="Y27" i="1" s="1"/>
  <c r="X12" i="1"/>
  <c r="Y12" i="1" s="1"/>
  <c r="X22" i="1"/>
  <c r="Y22" i="1" s="1"/>
  <c r="W8" i="2"/>
  <c r="AC7" i="1" l="1"/>
  <c r="E7" i="5" s="1"/>
  <c r="K7" i="5" s="1"/>
  <c r="N7" i="5" s="1"/>
  <c r="K8" i="5"/>
  <c r="N8" i="5" s="1"/>
  <c r="P8" i="5" s="1"/>
  <c r="O8" i="5"/>
  <c r="Q8" i="5" s="1"/>
  <c r="AD7" i="1"/>
  <c r="F7" i="5" s="1"/>
  <c r="AW8" i="1"/>
  <c r="AV8" i="1"/>
  <c r="AW10" i="1"/>
  <c r="AV10" i="1"/>
  <c r="I8" i="5"/>
  <c r="AX17" i="1"/>
  <c r="BF27" i="1"/>
  <c r="AX27" i="1"/>
  <c r="AZ27" i="1"/>
  <c r="AX12" i="1"/>
  <c r="AZ22" i="1"/>
  <c r="BF22" i="1"/>
  <c r="AZ12" i="1"/>
  <c r="BF12" i="1"/>
  <c r="Z13" i="2"/>
  <c r="Y8" i="2"/>
  <c r="T3" i="2"/>
  <c r="O11" i="3"/>
  <c r="AY7" i="1" l="1"/>
  <c r="AX7" i="1" s="1"/>
  <c r="BA7" i="1"/>
  <c r="BF17" i="1"/>
  <c r="AA13" i="2"/>
  <c r="Z16" i="2"/>
  <c r="Z15" i="2"/>
  <c r="Z17" i="2"/>
  <c r="AE4" i="2"/>
  <c r="Z14" i="2"/>
  <c r="Z8" i="2"/>
  <c r="AA14" i="2" s="1"/>
  <c r="AA8" i="2"/>
  <c r="AA15" i="2" s="1"/>
  <c r="AB8" i="2"/>
  <c r="AA16" i="2" s="1"/>
  <c r="AC8" i="2"/>
  <c r="AA17" i="2" s="1"/>
  <c r="BC7" i="1" l="1"/>
  <c r="BE7" i="1" s="1"/>
  <c r="H7" i="5" s="1"/>
  <c r="M7" i="5" s="1"/>
  <c r="AZ7" i="1"/>
  <c r="BF7" i="1"/>
  <c r="BB7" i="1"/>
  <c r="AF12" i="2"/>
  <c r="AH12" i="2" s="1"/>
  <c r="AF13" i="2"/>
  <c r="AH13" i="2" s="1"/>
  <c r="AF17" i="2"/>
  <c r="AH17" i="2" s="1"/>
  <c r="AF16" i="2"/>
  <c r="AH16" i="2" s="1"/>
  <c r="AG13" i="2"/>
  <c r="AI13" i="2" s="1"/>
  <c r="AG17" i="2"/>
  <c r="AI17" i="2" s="1"/>
  <c r="AG12" i="2"/>
  <c r="AI12" i="2" s="1"/>
  <c r="AG16" i="2"/>
  <c r="AI16" i="2" s="1"/>
  <c r="AG14" i="2"/>
  <c r="AG18" i="2"/>
  <c r="AI18" i="2" s="1"/>
  <c r="BG7" i="1" l="1"/>
  <c r="I7" i="5" s="1"/>
  <c r="BD7" i="1"/>
  <c r="G7" i="5" s="1"/>
  <c r="AF18" i="2"/>
  <c r="AH18" i="2" s="1"/>
  <c r="AF14" i="2"/>
  <c r="AH14" i="2" s="1"/>
  <c r="AK16" i="2"/>
  <c r="AM16" i="2" s="1"/>
  <c r="AI14" i="2"/>
  <c r="AK12" i="2"/>
  <c r="AF9" i="2" l="1" a="1"/>
  <c r="AF9" i="2" s="1"/>
  <c r="L7" i="5"/>
  <c r="AJ12" i="2"/>
  <c r="AL12" i="2" s="1"/>
  <c r="AM12" i="2"/>
  <c r="AJ16" i="2"/>
  <c r="AL16" i="2" s="1"/>
  <c r="O7" i="5" l="1"/>
  <c r="Q7" i="5" s="1"/>
  <c r="T27" i="2"/>
  <c r="T26" i="2"/>
  <c r="T25" i="2"/>
  <c r="T24" i="2"/>
  <c r="T23" i="2"/>
  <c r="T22" i="2"/>
  <c r="T21" i="2"/>
  <c r="T20" i="2"/>
  <c r="T19" i="2"/>
  <c r="T18" i="2"/>
  <c r="T17" i="2"/>
  <c r="T16" i="2"/>
  <c r="P7" i="5" s="1"/>
  <c r="T15" i="2"/>
  <c r="T14" i="2"/>
  <c r="T13" i="2"/>
  <c r="T12" i="2"/>
  <c r="T11" i="2"/>
  <c r="T10" i="2"/>
  <c r="T9" i="2"/>
  <c r="T8" i="2"/>
  <c r="T7" i="2"/>
  <c r="T6" i="2"/>
  <c r="T5" i="2"/>
  <c r="T4" i="2"/>
  <c r="B19" i="3"/>
  <c r="E19" i="3"/>
  <c r="O12" i="3"/>
  <c r="O13" i="3"/>
  <c r="O14" i="3"/>
  <c r="O15" i="3"/>
  <c r="O16" i="3"/>
  <c r="O17" i="3"/>
  <c r="O18" i="3"/>
  <c r="O19" i="3"/>
  <c r="O20" i="3"/>
  <c r="O21" i="3"/>
  <c r="O22" i="3"/>
  <c r="O23" i="3"/>
  <c r="O24" i="3"/>
  <c r="O25" i="3"/>
  <c r="O26" i="3"/>
  <c r="O27" i="3"/>
  <c r="O28" i="3"/>
  <c r="O29" i="3"/>
  <c r="O30" i="3"/>
  <c r="O31" i="3"/>
  <c r="O32" i="3"/>
  <c r="O33" i="3"/>
  <c r="O34" i="3"/>
  <c r="O35" i="3"/>
  <c r="F23" i="3"/>
  <c r="E23" i="3"/>
  <c r="D23" i="3"/>
  <c r="C23" i="3"/>
  <c r="B23" i="3"/>
  <c r="F22" i="3"/>
  <c r="E22" i="3"/>
  <c r="D22" i="3"/>
  <c r="C22" i="3"/>
  <c r="B22" i="3"/>
  <c r="F21" i="3"/>
  <c r="E21" i="3"/>
  <c r="D21" i="3"/>
  <c r="C21" i="3"/>
  <c r="B21" i="3"/>
  <c r="F20" i="3"/>
  <c r="E20" i="3"/>
  <c r="D20" i="3"/>
  <c r="C20" i="3"/>
  <c r="B20" i="3"/>
  <c r="F19" i="3"/>
  <c r="D19" i="3"/>
  <c r="C19" i="3"/>
  <c r="U13" i="3" l="1"/>
  <c r="U11" i="3"/>
  <c r="J11" i="3"/>
  <c r="J15" i="3"/>
  <c r="U12" i="3"/>
  <c r="J13" i="3"/>
  <c r="K12" i="3"/>
  <c r="J14" i="3"/>
  <c r="K13" i="3"/>
  <c r="J12" i="3"/>
  <c r="K14" i="3"/>
  <c r="K11" i="3"/>
  <c r="K15" i="3"/>
  <c r="V9" i="3" l="1"/>
  <c r="Q28" i="5"/>
  <c r="P28" i="5"/>
  <c r="J9" i="3"/>
  <c r="U18" i="3"/>
  <c r="V13" i="3" s="1"/>
  <c r="K9" i="3"/>
  <c r="W11" i="3" l="1"/>
  <c r="V11" i="3"/>
  <c r="V12" i="3"/>
  <c r="T7" i="5"/>
  <c r="T17" i="5" s="1"/>
  <c r="S7" i="5"/>
  <c r="S17" i="5" s="1"/>
  <c r="W13" i="3"/>
  <c r="W12" i="3"/>
  <c r="V18" i="3" l="1"/>
  <c r="W18"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Gustavo Guerra Galvez</author>
  </authors>
  <commentList>
    <comment ref="AG5" authorId="0" shapeId="0" xr:uid="{00000000-0006-0000-0200-000001000000}">
      <text>
        <r>
          <rPr>
            <b/>
            <sz val="9"/>
            <color indexed="81"/>
            <rFont val="Tahoma"/>
            <family val="2"/>
          </rPr>
          <t xml:space="preserve">Gustavo Guerra Galvez:
</t>
        </r>
        <r>
          <rPr>
            <sz val="9"/>
            <color indexed="81"/>
            <rFont val="Tahoma"/>
            <family val="2"/>
          </rPr>
          <t>Auxiliar, analista, coordinador, gestor, jefe, director, …etc.</t>
        </r>
        <r>
          <rPr>
            <b/>
            <sz val="9"/>
            <color indexed="81"/>
            <rFont val="Tahoma"/>
            <family val="2"/>
          </rPr>
          <t xml:space="preserve">
</t>
        </r>
      </text>
    </comment>
  </commentList>
</comments>
</file>

<file path=xl/sharedStrings.xml><?xml version="1.0" encoding="utf-8"?>
<sst xmlns="http://schemas.openxmlformats.org/spreadsheetml/2006/main" count="1887" uniqueCount="260">
  <si>
    <t>Riesgo</t>
  </si>
  <si>
    <t>Causa</t>
  </si>
  <si>
    <t xml:space="preserve">Prob. </t>
  </si>
  <si>
    <t>Impacto</t>
  </si>
  <si>
    <t>Método</t>
  </si>
  <si>
    <t>Media</t>
  </si>
  <si>
    <t>Mediana</t>
  </si>
  <si>
    <t>Máximo</t>
  </si>
  <si>
    <t>Prob. Riesgo</t>
  </si>
  <si>
    <t>Impacto Riesgo</t>
  </si>
  <si>
    <t>Prob.</t>
  </si>
  <si>
    <t>Probabilidad</t>
  </si>
  <si>
    <t>Impact.</t>
  </si>
  <si>
    <t>Peso C.</t>
  </si>
  <si>
    <t>F1</t>
  </si>
  <si>
    <t>F2</t>
  </si>
  <si>
    <t>F3</t>
  </si>
  <si>
    <t>P - I</t>
  </si>
  <si>
    <t>F4</t>
  </si>
  <si>
    <t>F5</t>
  </si>
  <si>
    <t>F6</t>
  </si>
  <si>
    <t>P</t>
  </si>
  <si>
    <t>I</t>
  </si>
  <si>
    <t>1-1</t>
  </si>
  <si>
    <t>1-2</t>
  </si>
  <si>
    <t>1-3</t>
  </si>
  <si>
    <t>1-4</t>
  </si>
  <si>
    <t>1-5</t>
  </si>
  <si>
    <t>2-1</t>
  </si>
  <si>
    <t>2-2</t>
  </si>
  <si>
    <t>2-3</t>
  </si>
  <si>
    <t>2-4</t>
  </si>
  <si>
    <t>2-5</t>
  </si>
  <si>
    <t>3-1</t>
  </si>
  <si>
    <t>3-2</t>
  </si>
  <si>
    <t>3-3</t>
  </si>
  <si>
    <t>3-4</t>
  </si>
  <si>
    <t>3-5</t>
  </si>
  <si>
    <t>4-1</t>
  </si>
  <si>
    <t>4-2</t>
  </si>
  <si>
    <t>4-3</t>
  </si>
  <si>
    <t>4-4</t>
  </si>
  <si>
    <t>4-5</t>
  </si>
  <si>
    <t>5-1</t>
  </si>
  <si>
    <t>5-2</t>
  </si>
  <si>
    <t>5-3</t>
  </si>
  <si>
    <t>5-4</t>
  </si>
  <si>
    <t>5-5</t>
  </si>
  <si>
    <t>Valor</t>
  </si>
  <si>
    <t>Muy Baja</t>
  </si>
  <si>
    <t>Baja</t>
  </si>
  <si>
    <t>Alta</t>
  </si>
  <si>
    <t>Muy Alta</t>
  </si>
  <si>
    <t>Insignificante</t>
  </si>
  <si>
    <t>Menor</t>
  </si>
  <si>
    <t>Moderado</t>
  </si>
  <si>
    <t>Mayor</t>
  </si>
  <si>
    <t>Catastrófico</t>
  </si>
  <si>
    <t>C. Severidad</t>
  </si>
  <si>
    <t>Moderada</t>
  </si>
  <si>
    <t>Extrema</t>
  </si>
  <si>
    <t>Severidad</t>
  </si>
  <si>
    <t>Sev.</t>
  </si>
  <si>
    <t>Sev. Inherente</t>
  </si>
  <si>
    <t>Tipo</t>
  </si>
  <si>
    <t>Naturaleza</t>
  </si>
  <si>
    <t>Evidencia</t>
  </si>
  <si>
    <t>Correctivo</t>
  </si>
  <si>
    <t>Detectivo</t>
  </si>
  <si>
    <t>Preventivo</t>
  </si>
  <si>
    <t>Puntaje</t>
  </si>
  <si>
    <t>Manual</t>
  </si>
  <si>
    <t>Automático</t>
  </si>
  <si>
    <t>No</t>
  </si>
  <si>
    <t>Sí</t>
  </si>
  <si>
    <t>NA</t>
  </si>
  <si>
    <t>% Efectividad Individual</t>
  </si>
  <si>
    <t>% Funcionalidad Individual</t>
  </si>
  <si>
    <t>% Mitigación Control</t>
  </si>
  <si>
    <t>Afecta Impacto</t>
  </si>
  <si>
    <t>Afecta probabilidad</t>
  </si>
  <si>
    <t>Af. Prob</t>
  </si>
  <si>
    <t>Af. Impacto</t>
  </si>
  <si>
    <t>Mov. Cuadrante</t>
  </si>
  <si>
    <t>C</t>
  </si>
  <si>
    <t>% Mitig.</t>
  </si>
  <si>
    <t>Impacto Residual</t>
  </si>
  <si>
    <t>Probabilidad Residual</t>
  </si>
  <si>
    <t>Prob. Riesgo Residual</t>
  </si>
  <si>
    <t>Impacto Riesgo Residual</t>
  </si>
  <si>
    <t>Prob. Riesgo Residual Cat.</t>
  </si>
  <si>
    <t>Impacto Riesgo Residual Cat.</t>
  </si>
  <si>
    <t>Prob. Causa</t>
  </si>
  <si>
    <t>Severidad Causa</t>
  </si>
  <si>
    <t>Vigia Normal</t>
  </si>
  <si>
    <t>Vigia Corregido</t>
  </si>
  <si>
    <t>Severidad Residual Riesgo</t>
  </si>
  <si>
    <t>RIESGO RESIDUAL</t>
  </si>
  <si>
    <t>RIESGO INHERENTE</t>
  </si>
  <si>
    <t>Falla 1</t>
  </si>
  <si>
    <t>Falla 2</t>
  </si>
  <si>
    <t>Falla 3</t>
  </si>
  <si>
    <t>Financieros</t>
  </si>
  <si>
    <t>Operación
Servicio</t>
  </si>
  <si>
    <t>Reputación
/Imagen</t>
  </si>
  <si>
    <t>Balance Social</t>
  </si>
  <si>
    <t>Falla 4</t>
  </si>
  <si>
    <t>Falla 5</t>
  </si>
  <si>
    <t>Operación/Servicio</t>
  </si>
  <si>
    <t>Reputación/Imagen</t>
  </si>
  <si>
    <t>Impactos</t>
  </si>
  <si>
    <t>Impacto Causa</t>
  </si>
  <si>
    <t>I. Causa</t>
  </si>
  <si>
    <t>C1</t>
  </si>
  <si>
    <t>C2</t>
  </si>
  <si>
    <t>C3</t>
  </si>
  <si>
    <t>Causa/Falla</t>
  </si>
  <si>
    <t>Pérdida de información</t>
  </si>
  <si>
    <t>Consecuencias legales</t>
  </si>
  <si>
    <t>Pérdidas económicas</t>
  </si>
  <si>
    <t>Controles</t>
  </si>
  <si>
    <t>Manual Óptimo</t>
  </si>
  <si>
    <t>Deja Evidencia</t>
  </si>
  <si>
    <t>Freq. Ejec.</t>
  </si>
  <si>
    <t>Esporádico</t>
  </si>
  <si>
    <t>Periódico</t>
  </si>
  <si>
    <t>Periódico Óptimo</t>
  </si>
  <si>
    <t>Continuo</t>
  </si>
  <si>
    <t>Documentación</t>
  </si>
  <si>
    <t>Parcialmente documentado</t>
  </si>
  <si>
    <t>Documentado</t>
  </si>
  <si>
    <t>No documentado</t>
  </si>
  <si>
    <t>Frecuencia de ejecucuón</t>
  </si>
  <si>
    <t>Peso Diseño</t>
  </si>
  <si>
    <t>Diseño del Control (40%)</t>
  </si>
  <si>
    <t>Ejecución del Control (60%)</t>
  </si>
  <si>
    <t>Amb. De Control</t>
  </si>
  <si>
    <t>Inestable</t>
  </si>
  <si>
    <t>Estable</t>
  </si>
  <si>
    <t>Muy Estable</t>
  </si>
  <si>
    <t>Ejec./Evidencia</t>
  </si>
  <si>
    <t>No se ejecuta</t>
  </si>
  <si>
    <t>Se ejecuta parcialmente</t>
  </si>
  <si>
    <t>Se ejecuta adecuadamente</t>
  </si>
  <si>
    <t>Cubrimiento</t>
  </si>
  <si>
    <t>Bajo</t>
  </si>
  <si>
    <t>Medio</t>
  </si>
  <si>
    <t>Alto</t>
  </si>
  <si>
    <t>Peso Ejec.</t>
  </si>
  <si>
    <t>Mov. Prob.</t>
  </si>
  <si>
    <t>Mov. Impact.</t>
  </si>
  <si>
    <t>Probabilidad residual causa</t>
  </si>
  <si>
    <t>Impacto Residual causa</t>
  </si>
  <si>
    <t>C4</t>
  </si>
  <si>
    <t>C5</t>
  </si>
  <si>
    <t>Descripción Riesgo</t>
  </si>
  <si>
    <t>Descripción Causa</t>
  </si>
  <si>
    <t>Descripción Control</t>
  </si>
  <si>
    <t>-</t>
  </si>
  <si>
    <t>RIESGO CONSOLIDADO</t>
  </si>
  <si>
    <t>Descripción</t>
  </si>
  <si>
    <t>Riesgo Inherente</t>
  </si>
  <si>
    <t>Riesgo Residual</t>
  </si>
  <si>
    <t>R.I</t>
  </si>
  <si>
    <t>P.R</t>
  </si>
  <si>
    <t>I.I</t>
  </si>
  <si>
    <t>Inh.</t>
  </si>
  <si>
    <t>Res.</t>
  </si>
  <si>
    <t>Peso Inh.</t>
  </si>
  <si>
    <t>Peso Res.</t>
  </si>
  <si>
    <t>R.R</t>
  </si>
  <si>
    <t>Categorías del Impacto de la causa</t>
  </si>
  <si>
    <t>Prob. Inherente Riesgo</t>
  </si>
  <si>
    <t>Impacto Inherente Riesgo</t>
  </si>
  <si>
    <t>RECURSO HUMANO</t>
  </si>
  <si>
    <t>PROCESOS</t>
  </si>
  <si>
    <t>TECNOLOGÍA</t>
  </si>
  <si>
    <t>INFRAESTRUCTURA FÍSICA</t>
  </si>
  <si>
    <t>EV. EXTERNO</t>
  </si>
  <si>
    <t>FACTORES DE RIESGO ASOCIADOS (MARQUE CON X)</t>
  </si>
  <si>
    <t>F7</t>
  </si>
  <si>
    <t>F8</t>
  </si>
  <si>
    <t>F9</t>
  </si>
  <si>
    <t>F10</t>
  </si>
  <si>
    <t>R2</t>
  </si>
  <si>
    <t>R3</t>
  </si>
  <si>
    <t>R4</t>
  </si>
  <si>
    <t>R5</t>
  </si>
  <si>
    <t>R6</t>
  </si>
  <si>
    <t>R7</t>
  </si>
  <si>
    <t>R8</t>
  </si>
  <si>
    <t>R9</t>
  </si>
  <si>
    <t>Descripción R9</t>
  </si>
  <si>
    <t>R10</t>
  </si>
  <si>
    <t>Descripción R10</t>
  </si>
  <si>
    <t>R11</t>
  </si>
  <si>
    <t>Descripción R11</t>
  </si>
  <si>
    <t>R12</t>
  </si>
  <si>
    <t>Descripción R12</t>
  </si>
  <si>
    <t>R13</t>
  </si>
  <si>
    <t>Descripción R13</t>
  </si>
  <si>
    <t>R14</t>
  </si>
  <si>
    <t>Descripción R14</t>
  </si>
  <si>
    <t>R15</t>
  </si>
  <si>
    <t>Descripción R15</t>
  </si>
  <si>
    <t>R16</t>
  </si>
  <si>
    <t>Descripción R16</t>
  </si>
  <si>
    <t>R17</t>
  </si>
  <si>
    <t>Descripción R17</t>
  </si>
  <si>
    <t>R18</t>
  </si>
  <si>
    <t>Descripción R18</t>
  </si>
  <si>
    <t>R19</t>
  </si>
  <si>
    <t>Descripción R19</t>
  </si>
  <si>
    <t>R20</t>
  </si>
  <si>
    <t>Descripción R20</t>
  </si>
  <si>
    <t>Nro. Riesgo</t>
  </si>
  <si>
    <t>P.I</t>
  </si>
  <si>
    <t>I.R</t>
  </si>
  <si>
    <t>RIESGO</t>
  </si>
  <si>
    <t>PROBABILIDAD</t>
  </si>
  <si>
    <t>IMPACTO</t>
  </si>
  <si>
    <t>R1</t>
  </si>
  <si>
    <t>Semiautomático</t>
  </si>
  <si>
    <t>Cargo de quien ejecuta el control</t>
  </si>
  <si>
    <t>Descripción R05</t>
  </si>
  <si>
    <t>Descripción R06</t>
  </si>
  <si>
    <t>Descripción R07</t>
  </si>
  <si>
    <t>Descripción R08</t>
  </si>
  <si>
    <t xml:space="preserve">Impacto </t>
  </si>
  <si>
    <t>Frecuencia</t>
  </si>
  <si>
    <t>%</t>
  </si>
  <si>
    <t>Total</t>
  </si>
  <si>
    <t>Riesgos asociados la confidencialidad</t>
  </si>
  <si>
    <t>Riesgos asociados a la disponibilidad</t>
  </si>
  <si>
    <t>Riesgos asociados a la integridad</t>
  </si>
  <si>
    <t>Riesgos legales</t>
  </si>
  <si>
    <t>x</t>
  </si>
  <si>
    <t>revisión mensual de los accesos</t>
  </si>
  <si>
    <t xml:space="preserve">R1
</t>
  </si>
  <si>
    <t xml:space="preserve">R.I
</t>
  </si>
  <si>
    <t xml:space="preserve">R.R
</t>
  </si>
  <si>
    <t>Que no tenga seguridad de acceso</t>
  </si>
  <si>
    <t xml:space="preserve">Autenticación muy debil </t>
  </si>
  <si>
    <t>Suplantación de usuarios</t>
  </si>
  <si>
    <t>Debilidad en los logs de accceso y modificación de la base de datos</t>
  </si>
  <si>
    <t>Que se compartan usuarios de acceso a la aplicación</t>
  </si>
  <si>
    <t>Realizar campañas de sensibilizacion de utilizacion de usuarios y contraseñas</t>
  </si>
  <si>
    <t>No exista Back up de los servidores de app y BD</t>
  </si>
  <si>
    <t>Asegurar plan de generacion de respaldos en el ambiente en el que sean publicados</t>
  </si>
  <si>
    <t xml:space="preserve">R2
</t>
  </si>
  <si>
    <t>No esté cifrado la informacion en la BD</t>
  </si>
  <si>
    <t>X</t>
  </si>
  <si>
    <t>Cifrar datos en la base de datos a traves de un mecanismo</t>
  </si>
  <si>
    <t>Tener matriz de roles de perfiles documentada y automatizada para los accesos</t>
  </si>
  <si>
    <t>Implementar un doble factor de autenticación</t>
  </si>
  <si>
    <t>Campañas de sensibilizacion</t>
  </si>
  <si>
    <t>No se dimensione la carga operativa de la aplicación</t>
  </si>
  <si>
    <t>Asegurar con el equipo de arquitectura el dimensionamiento del proyecto</t>
  </si>
  <si>
    <t xml:space="preserve">R3
R1
</t>
  </si>
  <si>
    <t xml:space="preserve">R3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</si>
</sst>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quot;$&quot;\ * #,##0.00_);_(&quot;$&quot;\ * \(#,##0.00\);_(&quot;$&quot;\ * &quot;-&quot;??_);_(@_)"/>
    <numFmt numFmtId="165" formatCode="0.000"/>
    <numFmt numFmtId="166" formatCode="0.0"/>
    <numFmt numFmtId="167" formatCode="0.0%"/>
    <numFmt numFmtId="168" formatCode="_(&quot;$&quot;\ * #,##0_);_(&quot;$&quot;\ * \(#,##0\);_(&quot;$&quot;\ * &quot;-&quot;??_);_(@_)"/>
  </numFmts>
  <fonts count="12" x14ac:knownFonts="1">
    <font>
      <sz val="11"/>
      <color theme="1"/>
      <name val="Calibri"/>
      <family val="2"/>
      <scheme val="minor"/>
    </font>
    <font>
      <b/>
      <sz val="11"/>
      <color theme="1"/>
      <name val="Calibri"/>
      <family val="2"/>
      <scheme val="minor"/>
    </font>
    <font>
      <sz val="11"/>
      <color theme="1"/>
      <name val="Calibri"/>
      <family val="2"/>
      <scheme val="minor"/>
    </font>
    <font>
      <b/>
      <sz val="12"/>
      <color theme="1"/>
      <name val="Calibri"/>
      <family val="2"/>
      <scheme val="minor"/>
    </font>
    <font>
      <b/>
      <sz val="11"/>
      <name val="Calibri"/>
      <family val="2"/>
      <scheme val="minor"/>
    </font>
    <font>
      <b/>
      <sz val="11"/>
      <color rgb="FF000000"/>
      <name val="Calibri"/>
      <family val="2"/>
    </font>
    <font>
      <sz val="9"/>
      <color theme="1"/>
      <name val="Calibri"/>
      <family val="2"/>
      <scheme val="minor"/>
    </font>
    <font>
      <b/>
      <sz val="11"/>
      <color rgb="FFFF9900"/>
      <name val="Calibri"/>
      <family val="2"/>
    </font>
    <font>
      <sz val="9"/>
      <color indexed="81"/>
      <name val="Tahoma"/>
      <family val="2"/>
    </font>
    <font>
      <b/>
      <sz val="9"/>
      <color indexed="81"/>
      <name val="Tahoma"/>
      <family val="2"/>
    </font>
    <font>
      <b/>
      <sz val="11"/>
      <color theme="0"/>
      <name val="Calibri"/>
      <family val="2"/>
      <scheme val="minor"/>
    </font>
    <font>
      <b/>
      <sz val="12"/>
      <color theme="1"/>
      <name val="Arial"/>
      <family val="2"/>
    </font>
  </fonts>
  <fills count="13">
    <fill>
      <patternFill patternType="none"/>
    </fill>
    <fill>
      <patternFill patternType="gray125"/>
    </fill>
    <fill>
      <patternFill patternType="solid">
        <fgColor rgb="FFFFC000"/>
        <bgColor indexed="64"/>
      </patternFill>
    </fill>
    <fill>
      <patternFill patternType="solid">
        <fgColor rgb="FFFF0000"/>
        <bgColor indexed="64"/>
      </patternFill>
    </fill>
    <fill>
      <patternFill patternType="solid">
        <fgColor rgb="FFFFFF00"/>
        <bgColor indexed="64"/>
      </patternFill>
    </fill>
    <fill>
      <patternFill patternType="solid">
        <fgColor rgb="FF92D050"/>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theme="2" tint="-9.9978637043366805E-2"/>
        <bgColor indexed="64"/>
      </patternFill>
    </fill>
    <fill>
      <patternFill patternType="solid">
        <fgColor rgb="FF00B050"/>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0"/>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thin">
        <color indexed="64"/>
      </left>
      <right style="medium">
        <color indexed="64"/>
      </right>
      <top/>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diagonal/>
    </border>
    <border>
      <left/>
      <right/>
      <top style="thin">
        <color indexed="64"/>
      </top>
      <bottom/>
      <diagonal/>
    </border>
  </borders>
  <cellStyleXfs count="3">
    <xf numFmtId="0" fontId="0" fillId="0" borderId="0"/>
    <xf numFmtId="9" fontId="2" fillId="0" borderId="0" applyFont="0" applyFill="0" applyBorder="0" applyAlignment="0" applyProtection="0"/>
    <xf numFmtId="164" fontId="2" fillId="0" borderId="0" applyFont="0" applyFill="0" applyBorder="0" applyAlignment="0" applyProtection="0"/>
  </cellStyleXfs>
  <cellXfs count="222">
    <xf numFmtId="0" fontId="0" fillId="0" borderId="0" xfId="0"/>
    <xf numFmtId="0" fontId="0" fillId="0" borderId="0" xfId="0" applyAlignment="1">
      <alignment horizontal="center"/>
    </xf>
    <xf numFmtId="0" fontId="0" fillId="0" borderId="1" xfId="0" applyBorder="1" applyAlignment="1">
      <alignment horizontal="center"/>
    </xf>
    <xf numFmtId="2" fontId="0" fillId="0" borderId="0" xfId="0" applyNumberFormat="1" applyAlignment="1">
      <alignment horizontal="center"/>
    </xf>
    <xf numFmtId="0" fontId="0" fillId="4" borderId="1" xfId="0" applyFill="1" applyBorder="1" applyAlignment="1">
      <alignment horizontal="center" vertical="center"/>
    </xf>
    <xf numFmtId="0" fontId="0" fillId="2" borderId="1" xfId="0" applyFill="1" applyBorder="1" applyAlignment="1">
      <alignment horizontal="center" vertical="center"/>
    </xf>
    <xf numFmtId="0" fontId="0" fillId="3" borderId="1" xfId="0" applyFill="1" applyBorder="1" applyAlignment="1">
      <alignment horizontal="center" vertical="center"/>
    </xf>
    <xf numFmtId="0" fontId="0" fillId="5" borderId="1" xfId="0" applyFill="1" applyBorder="1" applyAlignment="1">
      <alignment horizontal="center" vertical="center"/>
    </xf>
    <xf numFmtId="166" fontId="0" fillId="4" borderId="1" xfId="0" applyNumberFormat="1" applyFill="1" applyBorder="1" applyAlignment="1">
      <alignment horizontal="center" vertical="center"/>
    </xf>
    <xf numFmtId="166" fontId="0" fillId="2" borderId="1" xfId="0" applyNumberFormat="1" applyFill="1" applyBorder="1" applyAlignment="1">
      <alignment horizontal="center" vertical="center"/>
    </xf>
    <xf numFmtId="166" fontId="0" fillId="3" borderId="1" xfId="0" applyNumberFormat="1" applyFill="1" applyBorder="1" applyAlignment="1">
      <alignment horizontal="center" vertical="center"/>
    </xf>
    <xf numFmtId="166" fontId="0" fillId="5" borderId="1" xfId="0" applyNumberFormat="1" applyFill="1" applyBorder="1" applyAlignment="1">
      <alignment horizontal="center" vertical="center"/>
    </xf>
    <xf numFmtId="2" fontId="0" fillId="4" borderId="1" xfId="0" applyNumberFormat="1" applyFill="1" applyBorder="1" applyAlignment="1">
      <alignment horizontal="center" vertical="center"/>
    </xf>
    <xf numFmtId="2" fontId="0" fillId="2" borderId="1" xfId="0" applyNumberFormat="1" applyFill="1" applyBorder="1" applyAlignment="1">
      <alignment horizontal="center" vertical="center"/>
    </xf>
    <xf numFmtId="2" fontId="0" fillId="3" borderId="1" xfId="0" applyNumberFormat="1" applyFill="1" applyBorder="1" applyAlignment="1">
      <alignment horizontal="center" vertical="center"/>
    </xf>
    <xf numFmtId="2" fontId="0" fillId="5" borderId="1" xfId="0" applyNumberFormat="1" applyFill="1" applyBorder="1" applyAlignment="1">
      <alignment horizontal="center" vertical="center"/>
    </xf>
    <xf numFmtId="0" fontId="1" fillId="0" borderId="0" xfId="0" applyFont="1" applyAlignment="1">
      <alignment horizontal="center"/>
    </xf>
    <xf numFmtId="2" fontId="0" fillId="0" borderId="1" xfId="0" applyNumberFormat="1" applyBorder="1" applyAlignment="1">
      <alignment horizontal="center"/>
    </xf>
    <xf numFmtId="2" fontId="1" fillId="6" borderId="1" xfId="0" applyNumberFormat="1" applyFont="1" applyFill="1" applyBorder="1" applyAlignment="1">
      <alignment horizontal="center"/>
    </xf>
    <xf numFmtId="166" fontId="0" fillId="0" borderId="0" xfId="0" applyNumberFormat="1" applyAlignment="1">
      <alignment horizontal="center"/>
    </xf>
    <xf numFmtId="165" fontId="0" fillId="0" borderId="0" xfId="0" applyNumberFormat="1" applyAlignment="1">
      <alignment horizontal="center"/>
    </xf>
    <xf numFmtId="0" fontId="1" fillId="6" borderId="1" xfId="0" applyFont="1" applyFill="1" applyBorder="1" applyAlignment="1">
      <alignment horizontal="center"/>
    </xf>
    <xf numFmtId="2" fontId="1" fillId="2" borderId="0" xfId="0" applyNumberFormat="1" applyFont="1" applyFill="1" applyAlignment="1">
      <alignment horizontal="center"/>
    </xf>
    <xf numFmtId="0" fontId="1" fillId="0" borderId="1" xfId="0" applyFont="1" applyBorder="1" applyAlignment="1">
      <alignment horizontal="center"/>
    </xf>
    <xf numFmtId="0" fontId="0" fillId="0" borderId="1" xfId="0" applyFill="1" applyBorder="1" applyAlignment="1">
      <alignment horizontal="center"/>
    </xf>
    <xf numFmtId="0" fontId="1" fillId="0" borderId="0" xfId="0" applyFont="1" applyBorder="1" applyAlignment="1">
      <alignment horizontal="center"/>
    </xf>
    <xf numFmtId="0" fontId="0" fillId="0" borderId="0" xfId="0" applyBorder="1" applyAlignment="1">
      <alignment horizontal="center"/>
    </xf>
    <xf numFmtId="0" fontId="0" fillId="0" borderId="1" xfId="0" applyFont="1" applyBorder="1" applyAlignment="1">
      <alignment horizontal="center"/>
    </xf>
    <xf numFmtId="49" fontId="0" fillId="0" borderId="1" xfId="0" applyNumberFormat="1" applyFont="1" applyBorder="1" applyAlignment="1">
      <alignment horizontal="center"/>
    </xf>
    <xf numFmtId="9" fontId="1" fillId="0" borderId="1" xfId="0" applyNumberFormat="1" applyFont="1" applyBorder="1" applyAlignment="1">
      <alignment horizontal="center"/>
    </xf>
    <xf numFmtId="9" fontId="1" fillId="0" borderId="1" xfId="1" applyFont="1" applyBorder="1" applyAlignment="1">
      <alignment horizontal="center"/>
    </xf>
    <xf numFmtId="9" fontId="0" fillId="0" borderId="1" xfId="0" applyNumberFormat="1" applyBorder="1" applyAlignment="1">
      <alignment horizontal="center"/>
    </xf>
    <xf numFmtId="9" fontId="1" fillId="2" borderId="1" xfId="0" applyNumberFormat="1" applyFont="1" applyFill="1" applyBorder="1" applyAlignment="1">
      <alignment horizontal="center"/>
    </xf>
    <xf numFmtId="0" fontId="0" fillId="0" borderId="0" xfId="0" applyBorder="1"/>
    <xf numFmtId="0" fontId="1" fillId="7" borderId="1" xfId="0" applyFont="1" applyFill="1" applyBorder="1" applyAlignment="1">
      <alignment horizontal="center"/>
    </xf>
    <xf numFmtId="2" fontId="0" fillId="0" borderId="0" xfId="0" applyNumberFormat="1"/>
    <xf numFmtId="0" fontId="0" fillId="0" borderId="1" xfId="0" applyBorder="1"/>
    <xf numFmtId="2" fontId="1" fillId="0" borderId="0" xfId="0" applyNumberFormat="1" applyFont="1" applyFill="1" applyAlignment="1">
      <alignment horizontal="center"/>
    </xf>
    <xf numFmtId="0" fontId="0" fillId="0" borderId="0" xfId="0" applyAlignment="1">
      <alignment vertical="center"/>
    </xf>
    <xf numFmtId="0" fontId="1" fillId="0" borderId="0" xfId="0" applyFont="1" applyFill="1" applyAlignment="1">
      <alignment horizontal="center" vertical="center"/>
    </xf>
    <xf numFmtId="0" fontId="0" fillId="0" borderId="0" xfId="0" applyFill="1"/>
    <xf numFmtId="2" fontId="0" fillId="0" borderId="0" xfId="0" applyNumberFormat="1" applyAlignment="1">
      <alignment horizontal="center" vertical="center"/>
    </xf>
    <xf numFmtId="0" fontId="0" fillId="0" borderId="1" xfId="0" applyBorder="1" applyAlignment="1">
      <alignment horizontal="center" vertical="center"/>
    </xf>
    <xf numFmtId="0" fontId="0" fillId="0" borderId="0" xfId="0" applyAlignment="1">
      <alignment horizontal="left"/>
    </xf>
    <xf numFmtId="0" fontId="0" fillId="0" borderId="3" xfId="0" applyBorder="1" applyAlignment="1">
      <alignment horizontal="center"/>
    </xf>
    <xf numFmtId="0" fontId="0" fillId="0" borderId="6" xfId="0" applyBorder="1" applyAlignment="1">
      <alignment horizontal="center"/>
    </xf>
    <xf numFmtId="0" fontId="1" fillId="0" borderId="3" xfId="0" applyFont="1" applyBorder="1" applyAlignment="1">
      <alignment horizontal="center"/>
    </xf>
    <xf numFmtId="0" fontId="0" fillId="0" borderId="1" xfId="0" applyBorder="1" applyAlignment="1">
      <alignment horizontal="left"/>
    </xf>
    <xf numFmtId="0" fontId="0" fillId="0" borderId="0" xfId="0" applyFont="1" applyBorder="1" applyAlignment="1">
      <alignment horizontal="center"/>
    </xf>
    <xf numFmtId="0" fontId="0" fillId="0" borderId="3" xfId="0" applyFont="1" applyBorder="1" applyAlignment="1">
      <alignment horizontal="center"/>
    </xf>
    <xf numFmtId="0" fontId="0" fillId="0" borderId="0" xfId="0" applyAlignment="1" applyProtection="1">
      <alignment horizontal="center"/>
      <protection locked="0"/>
    </xf>
    <xf numFmtId="0" fontId="0" fillId="0" borderId="0" xfId="0" applyProtection="1">
      <protection locked="0"/>
    </xf>
    <xf numFmtId="0" fontId="0" fillId="0" borderId="0" xfId="0" applyBorder="1" applyAlignment="1" applyProtection="1">
      <alignment horizontal="center" vertical="center"/>
      <protection locked="0"/>
    </xf>
    <xf numFmtId="0" fontId="0" fillId="0" borderId="0" xfId="0" applyBorder="1" applyAlignment="1" applyProtection="1">
      <alignment horizontal="center"/>
      <protection locked="0"/>
    </xf>
    <xf numFmtId="0" fontId="0" fillId="0" borderId="0" xfId="0" applyBorder="1" applyProtection="1">
      <protection locked="0"/>
    </xf>
    <xf numFmtId="1" fontId="0" fillId="0" borderId="0" xfId="0" applyNumberFormat="1" applyProtection="1">
      <protection locked="0"/>
    </xf>
    <xf numFmtId="0" fontId="1" fillId="11" borderId="1" xfId="0" applyFont="1" applyFill="1" applyBorder="1" applyAlignment="1" applyProtection="1">
      <alignment horizontal="center" vertical="center" wrapText="1"/>
      <protection locked="0"/>
    </xf>
    <xf numFmtId="0" fontId="1" fillId="9"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wrapText="1"/>
      <protection locked="0"/>
    </xf>
    <xf numFmtId="1" fontId="0" fillId="0" borderId="18" xfId="0" applyNumberFormat="1" applyFill="1" applyBorder="1" applyAlignment="1" applyProtection="1">
      <alignment horizontal="center" vertical="center"/>
      <protection locked="0"/>
    </xf>
    <xf numFmtId="1" fontId="0" fillId="0" borderId="8" xfId="0" applyNumberFormat="1" applyFill="1" applyBorder="1" applyAlignment="1" applyProtection="1">
      <alignment horizontal="left" vertical="center"/>
      <protection locked="0"/>
    </xf>
    <xf numFmtId="1" fontId="0" fillId="0" borderId="5" xfId="0" applyNumberFormat="1" applyFill="1" applyBorder="1" applyAlignment="1" applyProtection="1">
      <alignment horizontal="center" vertical="center"/>
      <protection locked="0"/>
    </xf>
    <xf numFmtId="1" fontId="0" fillId="0" borderId="12" xfId="0" applyNumberFormat="1" applyFill="1" applyBorder="1" applyAlignment="1" applyProtection="1">
      <alignment horizontal="center" vertical="center"/>
      <protection locked="0"/>
    </xf>
    <xf numFmtId="1" fontId="0" fillId="0" borderId="6" xfId="0" applyNumberFormat="1" applyFill="1" applyBorder="1" applyAlignment="1" applyProtection="1">
      <alignment horizontal="left" vertical="center"/>
      <protection locked="0"/>
    </xf>
    <xf numFmtId="1" fontId="0" fillId="0" borderId="1" xfId="0" applyNumberFormat="1" applyFill="1" applyBorder="1" applyAlignment="1" applyProtection="1">
      <alignment horizontal="center" vertical="center"/>
      <protection locked="0"/>
    </xf>
    <xf numFmtId="1" fontId="0" fillId="0" borderId="6" xfId="0" applyNumberFormat="1" applyFill="1" applyBorder="1" applyAlignment="1" applyProtection="1">
      <alignment horizontal="center" vertical="center"/>
      <protection locked="0"/>
    </xf>
    <xf numFmtId="1" fontId="0" fillId="0" borderId="14" xfId="0" applyNumberFormat="1" applyFill="1" applyBorder="1" applyAlignment="1" applyProtection="1">
      <alignment horizontal="center" vertical="center"/>
      <protection locked="0"/>
    </xf>
    <xf numFmtId="1" fontId="0" fillId="0" borderId="20" xfId="0" applyNumberFormat="1" applyFill="1" applyBorder="1" applyAlignment="1" applyProtection="1">
      <alignment horizontal="center" vertical="center"/>
      <protection locked="0"/>
    </xf>
    <xf numFmtId="1" fontId="0" fillId="0" borderId="7" xfId="0" applyNumberFormat="1" applyFill="1" applyBorder="1" applyAlignment="1" applyProtection="1">
      <alignment horizontal="center" vertical="center"/>
      <protection locked="0"/>
    </xf>
    <xf numFmtId="1" fontId="0" fillId="0" borderId="15" xfId="0" applyNumberFormat="1" applyFill="1" applyBorder="1" applyAlignment="1" applyProtection="1">
      <alignment horizontal="center" vertical="center"/>
      <protection locked="0"/>
    </xf>
    <xf numFmtId="1" fontId="0" fillId="0" borderId="9" xfId="0" applyNumberFormat="1" applyFill="1" applyBorder="1" applyAlignment="1" applyProtection="1">
      <alignment horizontal="center" vertical="center"/>
      <protection locked="0"/>
    </xf>
    <xf numFmtId="1" fontId="0" fillId="0" borderId="21" xfId="0" applyNumberFormat="1" applyFill="1" applyBorder="1" applyAlignment="1" applyProtection="1">
      <alignment horizontal="left" vertical="center"/>
      <protection locked="0"/>
    </xf>
    <xf numFmtId="1" fontId="0" fillId="0" borderId="10" xfId="0" applyNumberFormat="1" applyFill="1" applyBorder="1" applyAlignment="1" applyProtection="1">
      <alignment horizontal="center" vertical="center"/>
      <protection locked="0"/>
    </xf>
    <xf numFmtId="168" fontId="0" fillId="0" borderId="0" xfId="2" applyNumberFormat="1" applyFont="1" applyAlignment="1" applyProtection="1">
      <alignment horizontal="center"/>
      <protection locked="0"/>
    </xf>
    <xf numFmtId="1" fontId="0" fillId="0" borderId="21" xfId="0" applyNumberFormat="1" applyFill="1" applyBorder="1" applyAlignment="1" applyProtection="1">
      <alignment horizontal="center" vertical="center"/>
      <protection locked="0"/>
    </xf>
    <xf numFmtId="1" fontId="0" fillId="0" borderId="26" xfId="0" applyNumberFormat="1" applyFill="1" applyBorder="1" applyAlignment="1" applyProtection="1">
      <alignment horizontal="center" vertical="center"/>
      <protection locked="0"/>
    </xf>
    <xf numFmtId="1" fontId="0" fillId="0" borderId="4" xfId="0" applyNumberFormat="1" applyFill="1" applyBorder="1" applyAlignment="1" applyProtection="1">
      <alignment horizontal="center" vertical="center"/>
      <protection locked="0"/>
    </xf>
    <xf numFmtId="1" fontId="0" fillId="0" borderId="8" xfId="0" applyNumberFormat="1" applyFill="1" applyBorder="1" applyAlignment="1" applyProtection="1">
      <alignment horizontal="center" vertical="center"/>
      <protection locked="0"/>
    </xf>
    <xf numFmtId="0" fontId="0" fillId="0" borderId="1" xfId="0" applyBorder="1" applyAlignment="1" applyProtection="1">
      <alignment horizontal="center" vertical="center"/>
      <protection hidden="1"/>
    </xf>
    <xf numFmtId="9" fontId="0" fillId="0" borderId="5" xfId="1" applyFont="1" applyFill="1" applyBorder="1" applyAlignment="1" applyProtection="1">
      <alignment horizontal="center" vertical="center"/>
      <protection hidden="1"/>
    </xf>
    <xf numFmtId="9" fontId="0" fillId="0" borderId="1" xfId="1" applyFont="1" applyFill="1" applyBorder="1" applyAlignment="1" applyProtection="1">
      <alignment horizontal="center" vertical="center"/>
      <protection hidden="1"/>
    </xf>
    <xf numFmtId="9" fontId="0" fillId="0" borderId="15" xfId="1" applyFont="1" applyFill="1" applyBorder="1" applyAlignment="1" applyProtection="1">
      <alignment horizontal="center" vertical="center"/>
      <protection hidden="1"/>
    </xf>
    <xf numFmtId="9" fontId="0" fillId="0" borderId="10" xfId="1" applyFont="1" applyFill="1" applyBorder="1" applyAlignment="1" applyProtection="1">
      <alignment horizontal="center" vertical="center"/>
      <protection hidden="1"/>
    </xf>
    <xf numFmtId="9" fontId="0" fillId="0" borderId="4" xfId="1" applyFont="1" applyFill="1" applyBorder="1" applyAlignment="1" applyProtection="1">
      <alignment horizontal="center" vertical="center"/>
      <protection hidden="1"/>
    </xf>
    <xf numFmtId="1" fontId="0" fillId="0" borderId="24" xfId="0" applyNumberFormat="1" applyFill="1" applyBorder="1" applyAlignment="1" applyProtection="1">
      <alignment horizontal="center" vertical="center"/>
      <protection hidden="1"/>
    </xf>
    <xf numFmtId="1" fontId="0" fillId="0" borderId="1" xfId="0" applyNumberFormat="1" applyFill="1" applyBorder="1" applyAlignment="1" applyProtection="1">
      <alignment horizontal="center" vertical="center"/>
      <protection hidden="1"/>
    </xf>
    <xf numFmtId="1" fontId="0" fillId="0" borderId="4" xfId="0" applyNumberFormat="1" applyFill="1" applyBorder="1" applyAlignment="1" applyProtection="1">
      <alignment horizontal="center" vertical="center"/>
      <protection hidden="1"/>
    </xf>
    <xf numFmtId="1" fontId="0" fillId="0" borderId="5" xfId="0" applyNumberFormat="1" applyFill="1" applyBorder="1" applyAlignment="1" applyProtection="1">
      <alignment horizontal="center" vertical="center"/>
      <protection hidden="1"/>
    </xf>
    <xf numFmtId="1" fontId="0" fillId="0" borderId="25" xfId="0" applyNumberFormat="1" applyFill="1" applyBorder="1" applyAlignment="1" applyProtection="1">
      <alignment horizontal="center" vertical="center"/>
      <protection hidden="1"/>
    </xf>
    <xf numFmtId="167" fontId="0" fillId="0" borderId="5" xfId="1" applyNumberFormat="1" applyFont="1" applyFill="1" applyBorder="1" applyAlignment="1" applyProtection="1">
      <alignment horizontal="center" vertical="center"/>
      <protection hidden="1"/>
    </xf>
    <xf numFmtId="1" fontId="0" fillId="0" borderId="27" xfId="0" applyNumberFormat="1" applyFill="1" applyBorder="1" applyAlignment="1" applyProtection="1">
      <alignment horizontal="center" vertical="center"/>
      <protection hidden="1"/>
    </xf>
    <xf numFmtId="167" fontId="0" fillId="0" borderId="1" xfId="1" applyNumberFormat="1" applyFont="1" applyFill="1" applyBorder="1" applyAlignment="1" applyProtection="1">
      <alignment horizontal="center" vertical="center"/>
      <protection hidden="1"/>
    </xf>
    <xf numFmtId="1" fontId="0" fillId="0" borderId="3" xfId="0" applyNumberFormat="1" applyFill="1" applyBorder="1" applyAlignment="1" applyProtection="1">
      <alignment horizontal="center" vertical="center"/>
      <protection hidden="1"/>
    </xf>
    <xf numFmtId="167" fontId="0" fillId="0" borderId="15" xfId="1" applyNumberFormat="1" applyFont="1" applyFill="1" applyBorder="1" applyAlignment="1" applyProtection="1">
      <alignment horizontal="center" vertical="center"/>
      <protection hidden="1"/>
    </xf>
    <xf numFmtId="1" fontId="0" fillId="0" borderId="15" xfId="0" applyNumberFormat="1" applyFill="1" applyBorder="1" applyAlignment="1" applyProtection="1">
      <alignment horizontal="center" vertical="center"/>
      <protection hidden="1"/>
    </xf>
    <xf numFmtId="1" fontId="0" fillId="0" borderId="28" xfId="0" applyNumberFormat="1" applyFill="1" applyBorder="1" applyAlignment="1" applyProtection="1">
      <alignment horizontal="center" vertical="center"/>
      <protection hidden="1"/>
    </xf>
    <xf numFmtId="167" fontId="0" fillId="0" borderId="10" xfId="1" applyNumberFormat="1" applyFont="1" applyFill="1" applyBorder="1" applyAlignment="1" applyProtection="1">
      <alignment horizontal="center" vertical="center"/>
      <protection hidden="1"/>
    </xf>
    <xf numFmtId="1" fontId="0" fillId="0" borderId="10" xfId="0" applyNumberFormat="1" applyFill="1" applyBorder="1" applyAlignment="1" applyProtection="1">
      <alignment horizontal="center" vertical="center"/>
      <protection hidden="1"/>
    </xf>
    <xf numFmtId="1" fontId="0" fillId="0" borderId="29" xfId="0" applyNumberFormat="1" applyFill="1" applyBorder="1" applyAlignment="1" applyProtection="1">
      <alignment horizontal="center" vertical="center"/>
      <protection hidden="1"/>
    </xf>
    <xf numFmtId="167" fontId="0" fillId="0" borderId="4" xfId="1" applyNumberFormat="1" applyFont="1" applyFill="1" applyBorder="1" applyAlignment="1" applyProtection="1">
      <alignment horizontal="center" vertical="center"/>
      <protection hidden="1"/>
    </xf>
    <xf numFmtId="1" fontId="0" fillId="0" borderId="19" xfId="0" applyNumberFormat="1" applyFill="1" applyBorder="1" applyAlignment="1" applyProtection="1">
      <alignment horizontal="center" vertical="center"/>
      <protection hidden="1"/>
    </xf>
    <xf numFmtId="1" fontId="0" fillId="0" borderId="13" xfId="0" applyNumberFormat="1" applyFill="1" applyBorder="1" applyAlignment="1" applyProtection="1">
      <alignment horizontal="center" vertical="center"/>
      <protection hidden="1"/>
    </xf>
    <xf numFmtId="1" fontId="0" fillId="0" borderId="16" xfId="0" applyNumberFormat="1" applyFill="1" applyBorder="1" applyAlignment="1" applyProtection="1">
      <alignment horizontal="center" vertical="center"/>
      <protection hidden="1"/>
    </xf>
    <xf numFmtId="1" fontId="0" fillId="0" borderId="11" xfId="0" applyNumberFormat="1" applyFill="1" applyBorder="1" applyAlignment="1" applyProtection="1">
      <alignment horizontal="center" vertical="center"/>
      <protection hidden="1"/>
    </xf>
    <xf numFmtId="0" fontId="1" fillId="0" borderId="3" xfId="0" applyFont="1" applyBorder="1" applyAlignment="1" applyProtection="1">
      <alignment horizontal="center"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1" fillId="8" borderId="4" xfId="0" applyFont="1" applyFill="1" applyBorder="1" applyAlignment="1" applyProtection="1">
      <alignment horizontal="center" vertical="center"/>
      <protection hidden="1"/>
    </xf>
    <xf numFmtId="0" fontId="1" fillId="0" borderId="1" xfId="0" applyFont="1" applyBorder="1" applyAlignment="1" applyProtection="1">
      <alignment horizontal="center" vertical="center"/>
      <protection hidden="1"/>
    </xf>
    <xf numFmtId="1" fontId="0" fillId="0" borderId="1" xfId="0" applyNumberFormat="1" applyBorder="1" applyAlignment="1" applyProtection="1">
      <alignment horizontal="center" vertical="center"/>
      <protection hidden="1"/>
    </xf>
    <xf numFmtId="1" fontId="1" fillId="0" borderId="1" xfId="0" applyNumberFormat="1" applyFont="1" applyBorder="1" applyAlignment="1" applyProtection="1">
      <alignment horizontal="center" vertical="center"/>
      <protection hidden="1"/>
    </xf>
    <xf numFmtId="0" fontId="0" fillId="0" borderId="0" xfId="0" applyBorder="1" applyProtection="1">
      <protection hidden="1"/>
    </xf>
    <xf numFmtId="1" fontId="0" fillId="0" borderId="0" xfId="0" applyNumberFormat="1" applyFill="1" applyBorder="1" applyAlignment="1" applyProtection="1">
      <alignment vertical="center"/>
      <protection hidden="1"/>
    </xf>
    <xf numFmtId="0" fontId="0" fillId="0" borderId="0" xfId="0" applyBorder="1" applyAlignment="1" applyProtection="1">
      <alignment horizontal="center"/>
      <protection hidden="1"/>
    </xf>
    <xf numFmtId="1" fontId="0" fillId="0" borderId="6" xfId="0" applyNumberFormat="1" applyBorder="1" applyAlignment="1" applyProtection="1">
      <alignment horizontal="center" vertical="center"/>
      <protection hidden="1"/>
    </xf>
    <xf numFmtId="0" fontId="0" fillId="0" borderId="6" xfId="0" applyBorder="1" applyAlignment="1" applyProtection="1">
      <alignment horizontal="center" vertical="center"/>
      <protection hidden="1"/>
    </xf>
    <xf numFmtId="0" fontId="0" fillId="0" borderId="0" xfId="0" applyProtection="1">
      <protection hidden="1"/>
    </xf>
    <xf numFmtId="167" fontId="0" fillId="0" borderId="0" xfId="1" applyNumberFormat="1" applyFont="1" applyAlignment="1">
      <alignment horizontal="center"/>
    </xf>
    <xf numFmtId="167" fontId="1" fillId="0" borderId="0" xfId="1" applyNumberFormat="1" applyFont="1" applyAlignment="1">
      <alignment horizontal="center"/>
    </xf>
    <xf numFmtId="167" fontId="0" fillId="0" borderId="0" xfId="0" applyNumberFormat="1" applyAlignment="1">
      <alignment horizontal="center"/>
    </xf>
    <xf numFmtId="0" fontId="3" fillId="0" borderId="0" xfId="0" applyFont="1" applyAlignment="1">
      <alignment horizontal="center" vertical="center"/>
    </xf>
    <xf numFmtId="0" fontId="1" fillId="0" borderId="0" xfId="0" applyFont="1" applyBorder="1" applyProtection="1">
      <protection locked="0"/>
    </xf>
    <xf numFmtId="0" fontId="1" fillId="0" borderId="0" xfId="0" applyFont="1" applyBorder="1" applyAlignment="1" applyProtection="1">
      <alignment vertical="top" wrapText="1"/>
      <protection locked="0"/>
    </xf>
    <xf numFmtId="0" fontId="3" fillId="4" borderId="1" xfId="0" applyFont="1" applyFill="1" applyBorder="1" applyAlignment="1" applyProtection="1">
      <alignment horizontal="center" vertical="center"/>
      <protection locked="0"/>
    </xf>
    <xf numFmtId="0" fontId="3" fillId="2" borderId="1" xfId="0" applyFont="1" applyFill="1" applyBorder="1" applyAlignment="1" applyProtection="1">
      <alignment horizontal="center" vertical="center"/>
      <protection locked="0"/>
    </xf>
    <xf numFmtId="0" fontId="3" fillId="3" borderId="1" xfId="0" applyFont="1" applyFill="1" applyBorder="1" applyAlignment="1" applyProtection="1">
      <alignment horizontal="center" vertical="center" wrapText="1"/>
      <protection locked="0"/>
    </xf>
    <xf numFmtId="0" fontId="3" fillId="3" borderId="1" xfId="0" applyFont="1" applyFill="1" applyBorder="1" applyAlignment="1" applyProtection="1">
      <alignment horizontal="center" vertical="center"/>
      <protection locked="0"/>
    </xf>
    <xf numFmtId="0" fontId="3" fillId="2" borderId="1" xfId="0" applyFont="1" applyFill="1" applyBorder="1" applyAlignment="1" applyProtection="1">
      <alignment horizontal="center" vertical="center" wrapText="1"/>
      <protection locked="0"/>
    </xf>
    <xf numFmtId="0" fontId="3" fillId="5" borderId="1" xfId="0" applyFont="1" applyFill="1" applyBorder="1" applyAlignment="1" applyProtection="1">
      <alignment horizontal="center" vertical="center"/>
      <protection locked="0"/>
    </xf>
    <xf numFmtId="0" fontId="3" fillId="4" borderId="1" xfId="0" applyFont="1" applyFill="1" applyBorder="1" applyAlignment="1" applyProtection="1">
      <alignment horizontal="center" vertical="center" wrapText="1"/>
      <protection locked="0"/>
    </xf>
    <xf numFmtId="0" fontId="3" fillId="5" borderId="1" xfId="0" applyFont="1" applyFill="1" applyBorder="1" applyAlignment="1" applyProtection="1">
      <alignment horizontal="center" vertical="center" wrapText="1"/>
      <protection locked="0"/>
    </xf>
    <xf numFmtId="0" fontId="6" fillId="0" borderId="1" xfId="0" applyFont="1" applyBorder="1" applyAlignment="1" applyProtection="1">
      <alignment horizontal="left" vertical="center" wrapText="1"/>
      <protection hidden="1"/>
    </xf>
    <xf numFmtId="1" fontId="0" fillId="0" borderId="8" xfId="0" applyNumberFormat="1" applyFill="1" applyBorder="1" applyAlignment="1" applyProtection="1">
      <alignment horizontal="justify" vertical="center" wrapText="1"/>
      <protection locked="0"/>
    </xf>
    <xf numFmtId="1" fontId="0" fillId="0" borderId="6" xfId="0" applyNumberFormat="1" applyFill="1" applyBorder="1" applyAlignment="1" applyProtection="1">
      <alignment horizontal="justify" vertical="center" wrapText="1"/>
      <protection locked="0"/>
    </xf>
    <xf numFmtId="1" fontId="0" fillId="0" borderId="20" xfId="0" applyNumberFormat="1" applyFill="1" applyBorder="1" applyAlignment="1" applyProtection="1">
      <alignment horizontal="justify" vertical="center" wrapText="1"/>
      <protection locked="0"/>
    </xf>
    <xf numFmtId="1" fontId="0" fillId="0" borderId="21" xfId="0" applyNumberFormat="1" applyFill="1" applyBorder="1" applyAlignment="1" applyProtection="1">
      <alignment horizontal="justify" vertical="center" wrapText="1"/>
      <protection locked="0"/>
    </xf>
    <xf numFmtId="1" fontId="0" fillId="0" borderId="7" xfId="0" applyNumberFormat="1" applyFill="1" applyBorder="1" applyAlignment="1" applyProtection="1">
      <alignment horizontal="justify" vertical="center" wrapText="1"/>
      <protection locked="0"/>
    </xf>
    <xf numFmtId="0" fontId="0" fillId="0" borderId="37" xfId="0" applyBorder="1" applyProtection="1">
      <protection locked="0"/>
    </xf>
    <xf numFmtId="0" fontId="0" fillId="0" borderId="37" xfId="0" applyBorder="1" applyProtection="1">
      <protection hidden="1"/>
    </xf>
    <xf numFmtId="1" fontId="0" fillId="0" borderId="37" xfId="0" applyNumberFormat="1" applyFill="1" applyBorder="1" applyAlignment="1" applyProtection="1">
      <alignment vertical="center"/>
      <protection hidden="1"/>
    </xf>
    <xf numFmtId="0" fontId="11" fillId="12" borderId="0" xfId="0" applyFont="1" applyFill="1" applyAlignment="1">
      <alignment horizontal="center"/>
    </xf>
    <xf numFmtId="0" fontId="4" fillId="6" borderId="30" xfId="0" applyFont="1" applyFill="1" applyBorder="1" applyAlignment="1">
      <alignment horizontal="center" vertical="center"/>
    </xf>
    <xf numFmtId="0" fontId="4" fillId="6" borderId="31" xfId="0" applyFont="1" applyFill="1" applyBorder="1" applyAlignment="1">
      <alignment horizontal="center" vertical="center"/>
    </xf>
    <xf numFmtId="0" fontId="4" fillId="6" borderId="32" xfId="0" applyFont="1" applyFill="1" applyBorder="1" applyAlignment="1">
      <alignment horizontal="center" vertical="center"/>
    </xf>
    <xf numFmtId="0" fontId="4" fillId="6" borderId="33" xfId="0" applyFont="1" applyFill="1" applyBorder="1" applyAlignment="1">
      <alignment horizontal="center" vertical="center"/>
    </xf>
    <xf numFmtId="0" fontId="4" fillId="6" borderId="34" xfId="0" applyFont="1" applyFill="1" applyBorder="1" applyAlignment="1">
      <alignment horizontal="center" vertical="center"/>
    </xf>
    <xf numFmtId="0" fontId="4" fillId="6" borderId="35" xfId="0" applyFont="1" applyFill="1" applyBorder="1" applyAlignment="1">
      <alignment horizontal="center" vertical="center"/>
    </xf>
    <xf numFmtId="0" fontId="11" fillId="12" borderId="0" xfId="0" applyFont="1" applyFill="1" applyAlignment="1">
      <alignment horizontal="right" vertical="center" textRotation="90" wrapText="1"/>
    </xf>
    <xf numFmtId="0" fontId="1" fillId="0" borderId="4" xfId="0" applyFont="1" applyBorder="1" applyAlignment="1" applyProtection="1">
      <alignment horizontal="center" vertical="center"/>
      <protection locked="0"/>
    </xf>
    <xf numFmtId="0" fontId="1" fillId="0" borderId="5" xfId="0" applyFont="1" applyBorder="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5" borderId="1" xfId="0" applyFont="1" applyFill="1" applyBorder="1" applyAlignment="1" applyProtection="1">
      <alignment horizontal="center" vertical="center"/>
      <protection hidden="1"/>
    </xf>
    <xf numFmtId="0" fontId="1" fillId="2" borderId="1" xfId="0" applyFont="1" applyFill="1" applyBorder="1" applyAlignment="1" applyProtection="1">
      <alignment horizontal="center" vertical="center"/>
      <protection hidden="1"/>
    </xf>
    <xf numFmtId="0" fontId="1" fillId="2" borderId="4" xfId="0" applyFont="1" applyFill="1" applyBorder="1" applyAlignment="1" applyProtection="1">
      <alignment horizontal="center" vertical="center"/>
      <protection hidden="1"/>
    </xf>
    <xf numFmtId="0" fontId="1" fillId="5" borderId="4" xfId="0" applyFont="1" applyFill="1" applyBorder="1" applyAlignment="1" applyProtection="1">
      <alignment horizontal="center" vertical="center"/>
      <protection hidden="1"/>
    </xf>
    <xf numFmtId="0" fontId="1" fillId="5" borderId="2" xfId="0" applyFont="1" applyFill="1" applyBorder="1" applyAlignment="1" applyProtection="1">
      <alignment horizontal="center" vertical="center"/>
      <protection hidden="1"/>
    </xf>
    <xf numFmtId="0" fontId="1" fillId="0" borderId="4" xfId="0" applyFont="1" applyBorder="1" applyAlignment="1" applyProtection="1">
      <alignment horizontal="center" vertical="center"/>
      <protection hidden="1"/>
    </xf>
    <xf numFmtId="0" fontId="1" fillId="0" borderId="2" xfId="0" applyFont="1" applyBorder="1" applyAlignment="1" applyProtection="1">
      <alignment horizontal="center" vertical="center"/>
      <protection hidden="1"/>
    </xf>
    <xf numFmtId="0" fontId="1" fillId="0" borderId="5" xfId="0" applyFont="1" applyBorder="1" applyAlignment="1" applyProtection="1">
      <alignment horizontal="center" vertical="center"/>
      <protection hidden="1"/>
    </xf>
    <xf numFmtId="0" fontId="0"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4" xfId="0" applyBorder="1" applyAlignment="1" applyProtection="1">
      <alignment horizontal="center" vertical="center"/>
      <protection hidden="1"/>
    </xf>
    <xf numFmtId="0" fontId="0" fillId="0" borderId="2" xfId="0" applyBorder="1" applyAlignment="1" applyProtection="1">
      <alignment horizontal="center" vertical="center"/>
      <protection hidden="1"/>
    </xf>
    <xf numFmtId="0" fontId="0" fillId="0" borderId="5" xfId="0" applyBorder="1" applyAlignment="1" applyProtection="1">
      <alignment horizontal="center" vertical="center"/>
      <protection hidden="1"/>
    </xf>
    <xf numFmtId="0" fontId="0" fillId="0" borderId="1" xfId="0" applyBorder="1" applyAlignment="1" applyProtection="1">
      <alignment horizontal="center" vertical="center"/>
      <protection hidden="1"/>
    </xf>
    <xf numFmtId="0" fontId="1" fillId="0" borderId="2" xfId="0" applyFont="1" applyBorder="1" applyAlignment="1" applyProtection="1">
      <alignment horizontal="center" vertical="center"/>
      <protection locked="0"/>
    </xf>
    <xf numFmtId="1" fontId="1" fillId="0" borderId="10" xfId="0" applyNumberFormat="1" applyFont="1" applyFill="1" applyBorder="1" applyAlignment="1" applyProtection="1">
      <alignment horizontal="center" vertical="center"/>
      <protection hidden="1"/>
    </xf>
    <xf numFmtId="1" fontId="1" fillId="0" borderId="1" xfId="0" applyNumberFormat="1" applyFont="1" applyFill="1" applyBorder="1" applyAlignment="1" applyProtection="1">
      <alignment horizontal="center" vertical="center"/>
      <protection hidden="1"/>
    </xf>
    <xf numFmtId="1" fontId="1" fillId="0" borderId="4" xfId="0" applyNumberFormat="1" applyFont="1" applyFill="1" applyBorder="1" applyAlignment="1" applyProtection="1">
      <alignment horizontal="center" vertical="center"/>
      <protection hidden="1"/>
    </xf>
    <xf numFmtId="1" fontId="0" fillId="0" borderId="4" xfId="0" applyNumberFormat="1" applyBorder="1" applyAlignment="1" applyProtection="1">
      <alignment horizontal="center" vertical="center"/>
      <protection hidden="1"/>
    </xf>
    <xf numFmtId="1" fontId="0" fillId="0" borderId="2" xfId="0" applyNumberFormat="1" applyBorder="1" applyAlignment="1" applyProtection="1">
      <alignment horizontal="center" vertical="center"/>
      <protection hidden="1"/>
    </xf>
    <xf numFmtId="1" fontId="0" fillId="0" borderId="5" xfId="0" applyNumberFormat="1" applyBorder="1" applyAlignment="1" applyProtection="1">
      <alignment horizontal="center" vertical="center"/>
      <protection hidden="1"/>
    </xf>
    <xf numFmtId="1" fontId="0" fillId="0" borderId="24" xfId="0" applyNumberFormat="1" applyFill="1" applyBorder="1" applyAlignment="1" applyProtection="1">
      <alignment horizontal="center" vertical="center"/>
      <protection hidden="1"/>
    </xf>
    <xf numFmtId="1" fontId="0" fillId="0" borderId="23" xfId="0" applyNumberFormat="1" applyFill="1" applyBorder="1" applyAlignment="1" applyProtection="1">
      <alignment horizontal="center" vertical="center"/>
      <protection hidden="1"/>
    </xf>
    <xf numFmtId="0" fontId="1" fillId="0" borderId="10" xfId="0" applyFont="1" applyBorder="1" applyAlignment="1" applyProtection="1">
      <alignment horizontal="center" vertical="center"/>
      <protection hidden="1"/>
    </xf>
    <xf numFmtId="0" fontId="1" fillId="0" borderId="1" xfId="0" applyFont="1" applyBorder="1" applyAlignment="1" applyProtection="1">
      <alignment horizontal="center" vertical="center"/>
      <protection hidden="1"/>
    </xf>
    <xf numFmtId="0" fontId="1" fillId="0" borderId="36" xfId="0" applyFont="1" applyBorder="1" applyAlignment="1" applyProtection="1">
      <alignment horizontal="center" vertical="center"/>
      <protection hidden="1"/>
    </xf>
    <xf numFmtId="0" fontId="1" fillId="0" borderId="17" xfId="0" applyFont="1" applyBorder="1" applyAlignment="1" applyProtection="1">
      <alignment horizontal="center" vertical="center"/>
      <protection hidden="1"/>
    </xf>
    <xf numFmtId="0" fontId="1" fillId="0" borderId="9" xfId="0" applyFont="1" applyBorder="1" applyAlignment="1" applyProtection="1">
      <alignment horizontal="center" vertical="center"/>
      <protection hidden="1"/>
    </xf>
    <xf numFmtId="0" fontId="1" fillId="0" borderId="12" xfId="0" applyFont="1" applyBorder="1" applyAlignment="1" applyProtection="1">
      <alignment horizontal="center" vertical="center"/>
      <protection hidden="1"/>
    </xf>
    <xf numFmtId="1" fontId="1" fillId="0" borderId="2" xfId="0" applyNumberFormat="1" applyFont="1" applyFill="1" applyBorder="1" applyAlignment="1" applyProtection="1">
      <alignment horizontal="center" vertical="center"/>
      <protection hidden="1"/>
    </xf>
    <xf numFmtId="1" fontId="1" fillId="0" borderId="5" xfId="0" applyNumberFormat="1" applyFont="1" applyFill="1" applyBorder="1" applyAlignment="1" applyProtection="1">
      <alignment horizontal="center" vertical="center"/>
      <protection hidden="1"/>
    </xf>
    <xf numFmtId="1" fontId="1" fillId="0" borderId="4" xfId="0" applyNumberFormat="1" applyFont="1" applyBorder="1" applyAlignment="1" applyProtection="1">
      <alignment horizontal="center" vertical="center"/>
      <protection hidden="1"/>
    </xf>
    <xf numFmtId="1" fontId="1" fillId="0" borderId="2" xfId="0" applyNumberFormat="1" applyFont="1" applyBorder="1" applyAlignment="1" applyProtection="1">
      <alignment horizontal="center" vertical="center"/>
      <protection hidden="1"/>
    </xf>
    <xf numFmtId="1" fontId="1" fillId="0" borderId="5" xfId="0" applyNumberFormat="1" applyFont="1" applyBorder="1" applyAlignment="1" applyProtection="1">
      <alignment horizontal="center" vertical="center"/>
      <protection hidden="1"/>
    </xf>
    <xf numFmtId="1" fontId="0" fillId="0" borderId="4" xfId="0" applyNumberFormat="1" applyFill="1" applyBorder="1" applyAlignment="1" applyProtection="1">
      <alignment horizontal="center" vertical="center"/>
      <protection hidden="1"/>
    </xf>
    <xf numFmtId="1" fontId="0" fillId="0" borderId="2" xfId="0" applyNumberFormat="1" applyFill="1" applyBorder="1" applyAlignment="1" applyProtection="1">
      <alignment horizontal="center" vertical="center"/>
      <protection hidden="1"/>
    </xf>
    <xf numFmtId="1" fontId="0" fillId="0" borderId="5" xfId="0" applyNumberFormat="1" applyFill="1" applyBorder="1" applyAlignment="1" applyProtection="1">
      <alignment horizontal="center" vertical="center"/>
      <protection hidden="1"/>
    </xf>
    <xf numFmtId="1" fontId="1" fillId="0" borderId="24" xfId="0" applyNumberFormat="1" applyFont="1" applyFill="1" applyBorder="1" applyAlignment="1" applyProtection="1">
      <alignment horizontal="center" vertical="center"/>
      <protection hidden="1"/>
    </xf>
    <xf numFmtId="1" fontId="1" fillId="0" borderId="23" xfId="0" applyNumberFormat="1" applyFont="1" applyFill="1" applyBorder="1" applyAlignment="1" applyProtection="1">
      <alignment horizontal="center" vertical="center"/>
      <protection hidden="1"/>
    </xf>
    <xf numFmtId="1" fontId="1" fillId="0" borderId="19" xfId="0" applyNumberFormat="1" applyFont="1" applyFill="1" applyBorder="1" applyAlignment="1" applyProtection="1">
      <alignment horizontal="center" vertical="center"/>
      <protection hidden="1"/>
    </xf>
    <xf numFmtId="0" fontId="0" fillId="0" borderId="5" xfId="0" applyBorder="1" applyAlignment="1" applyProtection="1">
      <alignment horizontal="center" vertical="center"/>
      <protection locked="0"/>
    </xf>
    <xf numFmtId="0" fontId="1" fillId="0" borderId="4" xfId="0" applyFont="1" applyBorder="1" applyAlignment="1" applyProtection="1">
      <alignment horizontal="center" vertical="center" wrapText="1"/>
      <protection locked="0"/>
    </xf>
    <xf numFmtId="0" fontId="1" fillId="0" borderId="2" xfId="0" applyFont="1" applyBorder="1" applyAlignment="1" applyProtection="1">
      <alignment horizontal="center" vertical="center" wrapText="1"/>
      <protection locked="0"/>
    </xf>
    <xf numFmtId="0" fontId="1" fillId="0" borderId="5" xfId="0" applyFont="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9" borderId="1" xfId="0" applyFont="1" applyFill="1" applyBorder="1" applyAlignment="1" applyProtection="1">
      <alignment horizontal="center"/>
      <protection locked="0"/>
    </xf>
    <xf numFmtId="0" fontId="10" fillId="9" borderId="1" xfId="0" applyFont="1" applyFill="1" applyBorder="1" applyAlignment="1" applyProtection="1">
      <alignment horizontal="center" vertical="center" wrapText="1"/>
      <protection locked="0"/>
    </xf>
    <xf numFmtId="0" fontId="1" fillId="9" borderId="4" xfId="0" applyFont="1" applyFill="1" applyBorder="1" applyAlignment="1" applyProtection="1">
      <alignment horizontal="center" vertical="center"/>
      <protection locked="0"/>
    </xf>
    <xf numFmtId="0" fontId="1" fillId="9" borderId="5" xfId="0" applyFont="1" applyFill="1" applyBorder="1" applyAlignment="1" applyProtection="1">
      <alignment horizontal="center" vertical="center"/>
      <protection locked="0"/>
    </xf>
    <xf numFmtId="0" fontId="10" fillId="10" borderId="1" xfId="0" applyFont="1" applyFill="1" applyBorder="1" applyAlignment="1" applyProtection="1">
      <alignment horizontal="center" vertical="center" wrapText="1"/>
      <protection locked="0"/>
    </xf>
    <xf numFmtId="0" fontId="1" fillId="10" borderId="1" xfId="0" applyFont="1" applyFill="1" applyBorder="1" applyAlignment="1" applyProtection="1">
      <alignment horizontal="center" vertical="center" wrapText="1"/>
      <protection locked="0"/>
    </xf>
    <xf numFmtId="0" fontId="1" fillId="9" borderId="1" xfId="0" applyFont="1" applyFill="1" applyBorder="1" applyAlignment="1" applyProtection="1">
      <alignment horizontal="center" vertical="center"/>
      <protection locked="0"/>
    </xf>
    <xf numFmtId="0" fontId="1" fillId="9" borderId="3" xfId="0" applyFont="1" applyFill="1" applyBorder="1" applyAlignment="1" applyProtection="1">
      <alignment horizontal="center" vertical="center" wrapText="1"/>
      <protection locked="0"/>
    </xf>
    <xf numFmtId="0" fontId="1" fillId="9" borderId="22" xfId="0" applyFont="1" applyFill="1" applyBorder="1" applyAlignment="1" applyProtection="1">
      <alignment horizontal="center" vertical="center" wrapText="1"/>
      <protection locked="0"/>
    </xf>
    <xf numFmtId="0" fontId="1" fillId="9" borderId="6" xfId="0" applyFont="1" applyFill="1" applyBorder="1" applyAlignment="1" applyProtection="1">
      <alignment horizontal="center" vertical="center" wrapText="1"/>
      <protection locked="0"/>
    </xf>
    <xf numFmtId="0" fontId="1" fillId="9" borderId="5" xfId="0" applyFont="1" applyFill="1" applyBorder="1" applyAlignment="1" applyProtection="1">
      <alignment horizontal="center" vertical="center" wrapText="1"/>
      <protection locked="0"/>
    </xf>
    <xf numFmtId="0" fontId="1" fillId="9" borderId="1" xfId="0" applyFont="1" applyFill="1" applyBorder="1" applyAlignment="1" applyProtection="1">
      <alignment horizontal="center" vertical="center" wrapText="1"/>
      <protection locked="0"/>
    </xf>
    <xf numFmtId="0" fontId="4" fillId="9" borderId="5" xfId="0" applyFont="1" applyFill="1" applyBorder="1" applyAlignment="1" applyProtection="1">
      <alignment horizontal="center" vertical="center" wrapText="1"/>
      <protection locked="0"/>
    </xf>
    <xf numFmtId="0" fontId="4" fillId="9" borderId="1" xfId="0" applyFont="1" applyFill="1" applyBorder="1" applyAlignment="1" applyProtection="1">
      <alignment horizontal="center" vertical="center" wrapText="1"/>
      <protection locked="0"/>
    </xf>
    <xf numFmtId="0" fontId="1" fillId="10" borderId="6" xfId="0" applyFont="1" applyFill="1" applyBorder="1" applyAlignment="1" applyProtection="1">
      <alignment horizontal="center" vertical="center" wrapText="1"/>
      <protection locked="0"/>
    </xf>
    <xf numFmtId="0" fontId="1" fillId="9" borderId="2" xfId="0" applyFont="1" applyFill="1" applyBorder="1" applyAlignment="1" applyProtection="1">
      <alignment horizontal="center" vertical="center" wrapText="1"/>
      <protection locked="0"/>
    </xf>
    <xf numFmtId="0" fontId="1" fillId="9" borderId="4" xfId="0" applyFont="1" applyFill="1" applyBorder="1" applyAlignment="1" applyProtection="1">
      <alignment horizontal="center" vertical="center" wrapText="1"/>
      <protection locked="0"/>
    </xf>
    <xf numFmtId="1" fontId="1" fillId="0" borderId="1" xfId="0" applyNumberFormat="1" applyFont="1" applyBorder="1" applyAlignment="1" applyProtection="1">
      <alignment horizontal="center" vertical="center"/>
      <protection hidden="1"/>
    </xf>
    <xf numFmtId="0" fontId="1" fillId="0" borderId="1" xfId="0" applyFont="1" applyBorder="1" applyAlignment="1">
      <alignment horizontal="center" vertical="center"/>
    </xf>
    <xf numFmtId="2" fontId="0" fillId="0" borderId="1" xfId="0" applyNumberFormat="1" applyBorder="1" applyAlignment="1">
      <alignment horizontal="center" vertical="center"/>
    </xf>
    <xf numFmtId="0" fontId="0" fillId="0" borderId="1" xfId="0" applyBorder="1" applyAlignment="1">
      <alignment horizontal="center" vertical="center"/>
    </xf>
    <xf numFmtId="0" fontId="1" fillId="0" borderId="4" xfId="0" applyFont="1" applyBorder="1" applyAlignment="1" applyProtection="1">
      <alignment horizontal="center" vertical="top" wrapText="1"/>
      <protection locked="0"/>
    </xf>
    <xf numFmtId="0" fontId="1" fillId="0" borderId="2" xfId="0" applyFont="1" applyBorder="1" applyAlignment="1" applyProtection="1">
      <alignment horizontal="center" vertical="top" wrapText="1"/>
      <protection locked="0"/>
    </xf>
    <xf numFmtId="0" fontId="1" fillId="0" borderId="5" xfId="0" applyFont="1" applyBorder="1" applyAlignment="1" applyProtection="1">
      <alignment horizontal="center" vertical="top" wrapText="1"/>
      <protection locked="0"/>
    </xf>
  </cellXfs>
  <cellStyles count="3">
    <cellStyle name="Moneda" xfId="2" builtinId="4"/>
    <cellStyle name="Normal" xfId="0" builtinId="0"/>
    <cellStyle name="Porcentaje" xfId="1" builtinId="5"/>
  </cellStyles>
  <dxfs count="1418">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color auto="1"/>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auto="1"/>
      </font>
      <fill>
        <patternFill>
          <bgColor rgb="FF00B050"/>
        </patternFill>
      </fill>
    </dxf>
    <dxf>
      <font>
        <color auto="1"/>
      </font>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ES" b="1"/>
              <a:t>% de Controles por Tipo</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O"/>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E17C-4EC8-B0FF-10EB6869AC4A}"/>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E17C-4EC8-B0FF-10EB6869AC4A}"/>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6445-459F-87F2-DD3883ABFD41}"/>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Gráficos!$J$5:$J$7</c:f>
              <c:strCache>
                <c:ptCount val="3"/>
                <c:pt idx="0">
                  <c:v>Preventivo</c:v>
                </c:pt>
                <c:pt idx="1">
                  <c:v>Detectivo</c:v>
                </c:pt>
                <c:pt idx="2">
                  <c:v>Correctivo</c:v>
                </c:pt>
              </c:strCache>
            </c:strRef>
          </c:cat>
          <c:val>
            <c:numRef>
              <c:f>Gráficos!$L$5:$L$7</c:f>
              <c:numCache>
                <c:formatCode>0.0%</c:formatCode>
                <c:ptCount val="3"/>
                <c:pt idx="0">
                  <c:v>0.91666666666666663</c:v>
                </c:pt>
                <c:pt idx="1">
                  <c:v>8.3333333333333329E-2</c:v>
                </c:pt>
                <c:pt idx="2">
                  <c:v>0</c:v>
                </c:pt>
              </c:numCache>
            </c:numRef>
          </c:val>
          <c:extLst>
            <c:ext xmlns:c16="http://schemas.microsoft.com/office/drawing/2014/chart" uri="{C3380CC4-5D6E-409C-BE32-E72D297353CC}">
              <c16:uniqueId val="{00000006-E17C-4EC8-B0FF-10EB6869AC4A}"/>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sz="1400" b="1" i="0" baseline="0">
                <a:effectLst/>
              </a:rPr>
              <a:t>% de Controles por Naturaleza</a:t>
            </a:r>
            <a:endParaRPr lang="es-E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4507-4811-B707-60F635E6F9C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4507-4811-B707-60F635E6F9C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4507-4811-B707-60F635E6F9C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F4CB-43CA-B678-BC5847E0DCA9}"/>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Gráficos!$J$13:$J$16</c:f>
              <c:strCache>
                <c:ptCount val="4"/>
                <c:pt idx="0">
                  <c:v>Manual</c:v>
                </c:pt>
                <c:pt idx="1">
                  <c:v>Semiautomático</c:v>
                </c:pt>
                <c:pt idx="2">
                  <c:v>Automático</c:v>
                </c:pt>
                <c:pt idx="3">
                  <c:v>Manual Óptimo</c:v>
                </c:pt>
              </c:strCache>
            </c:strRef>
          </c:cat>
          <c:val>
            <c:numRef>
              <c:f>Gráficos!$L$13:$L$16</c:f>
              <c:numCache>
                <c:formatCode>0.0%</c:formatCode>
                <c:ptCount val="4"/>
                <c:pt idx="0">
                  <c:v>0.66666666666666663</c:v>
                </c:pt>
                <c:pt idx="1">
                  <c:v>0</c:v>
                </c:pt>
                <c:pt idx="2">
                  <c:v>0.25</c:v>
                </c:pt>
                <c:pt idx="3">
                  <c:v>8.3333333333333329E-2</c:v>
                </c:pt>
              </c:numCache>
            </c:numRef>
          </c:val>
          <c:extLst>
            <c:ext xmlns:c16="http://schemas.microsoft.com/office/drawing/2014/chart" uri="{C3380CC4-5D6E-409C-BE32-E72D297353CC}">
              <c16:uniqueId val="{00000008-4507-4811-B707-60F635E6F9C7}"/>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 de Controles por Documentación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spPr>
            <a:solidFill>
              <a:schemeClr val="accent1"/>
            </a:solidFill>
            <a:ln>
              <a:noFill/>
            </a:ln>
            <a:effectLst/>
            <a:sp3d/>
          </c:spPr>
          <c:invertIfNegative val="0"/>
          <c:dLbls>
            <c:dLbl>
              <c:idx val="0"/>
              <c:layout>
                <c:manualLayout>
                  <c:x val="1.0651553849736753E-2"/>
                  <c:y val="-5.344110522697895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111-4C26-85F7-EA93CDA49FE0}"/>
                </c:ext>
              </c:extLst>
            </c:dLbl>
            <c:dLbl>
              <c:idx val="1"/>
              <c:layout>
                <c:manualLayout>
                  <c:x val="1.7040538400819379E-2"/>
                  <c:y val="-5.725832702890598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111-4C26-85F7-EA93CDA49FE0}"/>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Gráficos!$J$22:$J$24</c:f>
              <c:strCache>
                <c:ptCount val="3"/>
                <c:pt idx="0">
                  <c:v>Documentado</c:v>
                </c:pt>
                <c:pt idx="1">
                  <c:v>No documentado</c:v>
                </c:pt>
                <c:pt idx="2">
                  <c:v>Parcialmente documentado</c:v>
                </c:pt>
              </c:strCache>
            </c:strRef>
          </c:cat>
          <c:val>
            <c:numRef>
              <c:f>Gráficos!$L$22:$L$24</c:f>
              <c:numCache>
                <c:formatCode>0.0%</c:formatCode>
                <c:ptCount val="3"/>
                <c:pt idx="0">
                  <c:v>1</c:v>
                </c:pt>
                <c:pt idx="1">
                  <c:v>0</c:v>
                </c:pt>
                <c:pt idx="2">
                  <c:v>0</c:v>
                </c:pt>
              </c:numCache>
            </c:numRef>
          </c:val>
          <c:extLst>
            <c:ext xmlns:c16="http://schemas.microsoft.com/office/drawing/2014/chart" uri="{C3380CC4-5D6E-409C-BE32-E72D297353CC}">
              <c16:uniqueId val="{00000003-9111-4C26-85F7-EA93CDA49FE0}"/>
            </c:ext>
          </c:extLst>
        </c:ser>
        <c:dLbls>
          <c:showLegendKey val="0"/>
          <c:showVal val="0"/>
          <c:showCatName val="0"/>
          <c:showSerName val="0"/>
          <c:showPercent val="0"/>
          <c:showBubbleSize val="0"/>
        </c:dLbls>
        <c:gapWidth val="150"/>
        <c:shape val="box"/>
        <c:axId val="244186688"/>
        <c:axId val="278873888"/>
        <c:axId val="0"/>
      </c:bar3DChart>
      <c:catAx>
        <c:axId val="24418668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78873888"/>
        <c:crosses val="autoZero"/>
        <c:auto val="1"/>
        <c:lblAlgn val="ctr"/>
        <c:lblOffset val="100"/>
        <c:noMultiLvlLbl val="0"/>
      </c:catAx>
      <c:valAx>
        <c:axId val="27887388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44186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s-ES" sz="1600" b="1"/>
              <a:t>Pareto de Causas por Factor de Riesgo</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spPr>
            <a:solidFill>
              <a:schemeClr val="accent1"/>
            </a:solidFill>
            <a:ln>
              <a:noFill/>
            </a:ln>
            <a:effectLst/>
          </c:spPr>
          <c:invertIfNegative val="0"/>
          <c:dLbls>
            <c:dLbl>
              <c:idx val="1"/>
              <c:layout>
                <c:manualLayout>
                  <c:x val="1.4647280932685797E-2"/>
                  <c:y val="-1.0281452772982664E-1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BCC-48DF-AD4D-C22255C2A996}"/>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Gráficos!$B$3:$B$7</c:f>
              <c:strCache>
                <c:ptCount val="5"/>
                <c:pt idx="0">
                  <c:v>RECURSO HUMANO</c:v>
                </c:pt>
                <c:pt idx="1">
                  <c:v>PROCESOS</c:v>
                </c:pt>
                <c:pt idx="2">
                  <c:v>TECNOLOGÍA</c:v>
                </c:pt>
                <c:pt idx="3">
                  <c:v>INFRAESTRUCTURA FÍSICA</c:v>
                </c:pt>
                <c:pt idx="4">
                  <c:v>EV. EXTERNO</c:v>
                </c:pt>
              </c:strCache>
            </c:strRef>
          </c:cat>
          <c:val>
            <c:numRef>
              <c:f>Gráficos!$C$3:$C$7</c:f>
              <c:numCache>
                <c:formatCode>General</c:formatCode>
                <c:ptCount val="5"/>
                <c:pt idx="0">
                  <c:v>6</c:v>
                </c:pt>
                <c:pt idx="1">
                  <c:v>6</c:v>
                </c:pt>
                <c:pt idx="2">
                  <c:v>18</c:v>
                </c:pt>
                <c:pt idx="3">
                  <c:v>18</c:v>
                </c:pt>
                <c:pt idx="4">
                  <c:v>18</c:v>
                </c:pt>
              </c:numCache>
            </c:numRef>
          </c:val>
          <c:extLst>
            <c:ext xmlns:c16="http://schemas.microsoft.com/office/drawing/2014/chart" uri="{C3380CC4-5D6E-409C-BE32-E72D297353CC}">
              <c16:uniqueId val="{00000001-8BCC-48DF-AD4D-C22255C2A996}"/>
            </c:ext>
          </c:extLst>
        </c:ser>
        <c:dLbls>
          <c:showLegendKey val="0"/>
          <c:showVal val="0"/>
          <c:showCatName val="0"/>
          <c:showSerName val="0"/>
          <c:showPercent val="0"/>
          <c:showBubbleSize val="0"/>
        </c:dLbls>
        <c:gapWidth val="219"/>
        <c:overlap val="-27"/>
        <c:axId val="243788648"/>
        <c:axId val="243788256"/>
      </c:barChart>
      <c:lineChart>
        <c:grouping val="standard"/>
        <c:varyColors val="0"/>
        <c:ser>
          <c:idx val="2"/>
          <c:order val="1"/>
          <c:spPr>
            <a:ln w="28575" cap="rnd">
              <a:solidFill>
                <a:schemeClr val="accent3"/>
              </a:solidFill>
              <a:round/>
            </a:ln>
            <a:effectLst/>
          </c:spPr>
          <c:marker>
            <c:symbol val="circle"/>
            <c:size val="5"/>
            <c:spPr>
              <a:solidFill>
                <a:schemeClr val="accent3"/>
              </a:solidFill>
              <a:ln w="9525">
                <a:solidFill>
                  <a:schemeClr val="accent3"/>
                </a:solidFill>
              </a:ln>
              <a:effectLst/>
            </c:spPr>
          </c:marker>
          <c:dLbls>
            <c:dLbl>
              <c:idx val="0"/>
              <c:layout>
                <c:manualLayout>
                  <c:x val="-3.477124111427634E-2"/>
                  <c:y val="-7.570975410558165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F3F-4E1D-B088-37BF685ABD65}"/>
                </c:ext>
              </c:extLst>
            </c:dLbl>
            <c:dLbl>
              <c:idx val="1"/>
              <c:layout>
                <c:manualLayout>
                  <c:x val="-1.4742112814737012E-2"/>
                  <c:y val="1.978676300285761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BCC-48DF-AD4D-C22255C2A996}"/>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Gráficos!$B$3:$B$7</c:f>
              <c:strCache>
                <c:ptCount val="5"/>
                <c:pt idx="0">
                  <c:v>RECURSO HUMANO</c:v>
                </c:pt>
                <c:pt idx="1">
                  <c:v>PROCESOS</c:v>
                </c:pt>
                <c:pt idx="2">
                  <c:v>TECNOLOGÍA</c:v>
                </c:pt>
                <c:pt idx="3">
                  <c:v>INFRAESTRUCTURA FÍSICA</c:v>
                </c:pt>
                <c:pt idx="4">
                  <c:v>EV. EXTERNO</c:v>
                </c:pt>
              </c:strCache>
            </c:strRef>
          </c:cat>
          <c:val>
            <c:numRef>
              <c:f>Gráficos!$E$3:$E$7</c:f>
              <c:numCache>
                <c:formatCode>0.0%</c:formatCode>
                <c:ptCount val="5"/>
                <c:pt idx="0">
                  <c:v>9.0909090909090912E-2</c:v>
                </c:pt>
                <c:pt idx="1">
                  <c:v>0.18181818181818182</c:v>
                </c:pt>
                <c:pt idx="2">
                  <c:v>0.45454545454545453</c:v>
                </c:pt>
                <c:pt idx="3">
                  <c:v>1</c:v>
                </c:pt>
                <c:pt idx="4">
                  <c:v>0.72727272727272729</c:v>
                </c:pt>
              </c:numCache>
            </c:numRef>
          </c:val>
          <c:smooth val="0"/>
          <c:extLst>
            <c:ext xmlns:c16="http://schemas.microsoft.com/office/drawing/2014/chart" uri="{C3380CC4-5D6E-409C-BE32-E72D297353CC}">
              <c16:uniqueId val="{00000001-2F3F-4E1D-B088-37BF685ABD65}"/>
            </c:ext>
          </c:extLst>
        </c:ser>
        <c:dLbls>
          <c:showLegendKey val="0"/>
          <c:showVal val="0"/>
          <c:showCatName val="0"/>
          <c:showSerName val="0"/>
          <c:showPercent val="0"/>
          <c:showBubbleSize val="0"/>
        </c:dLbls>
        <c:marker val="1"/>
        <c:smooth val="0"/>
        <c:axId val="243787472"/>
        <c:axId val="243787864"/>
      </c:lineChart>
      <c:catAx>
        <c:axId val="243788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243788256"/>
        <c:crosses val="autoZero"/>
        <c:auto val="1"/>
        <c:lblAlgn val="ctr"/>
        <c:lblOffset val="100"/>
        <c:noMultiLvlLbl val="0"/>
      </c:catAx>
      <c:valAx>
        <c:axId val="2437882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43788648"/>
        <c:crosses val="autoZero"/>
        <c:crossBetween val="between"/>
      </c:valAx>
      <c:valAx>
        <c:axId val="243787864"/>
        <c:scaling>
          <c:orientation val="minMax"/>
          <c:max val="1"/>
          <c:min val="0.60000000000000009"/>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43787472"/>
        <c:crosses val="max"/>
        <c:crossBetween val="between"/>
      </c:valAx>
      <c:catAx>
        <c:axId val="243787472"/>
        <c:scaling>
          <c:orientation val="minMax"/>
        </c:scaling>
        <c:delete val="1"/>
        <c:axPos val="b"/>
        <c:numFmt formatCode="General" sourceLinked="1"/>
        <c:majorTickMark val="out"/>
        <c:minorTickMark val="none"/>
        <c:tickLblPos val="nextTo"/>
        <c:crossAx val="243787864"/>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247650</xdr:colOff>
          <xdr:row>1</xdr:row>
          <xdr:rowOff>9525</xdr:rowOff>
        </xdr:from>
        <xdr:to>
          <xdr:col>5</xdr:col>
          <xdr:colOff>390525</xdr:colOff>
          <xdr:row>2</xdr:row>
          <xdr:rowOff>28575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1" i="0" u="none" strike="noStrike" baseline="0">
                  <a:solidFill>
                    <a:srgbClr val="000000"/>
                  </a:solidFill>
                  <a:latin typeface="Calibri"/>
                  <a:cs typeface="Calibri"/>
                </a:rPr>
                <a:t>GENERAR MAPA 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361950</xdr:colOff>
          <xdr:row>0</xdr:row>
          <xdr:rowOff>171450</xdr:rowOff>
        </xdr:from>
        <xdr:to>
          <xdr:col>12</xdr:col>
          <xdr:colOff>400050</xdr:colOff>
          <xdr:row>2</xdr:row>
          <xdr:rowOff>47625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1" i="0" u="none" strike="noStrike" baseline="0">
                  <a:solidFill>
                    <a:srgbClr val="000000"/>
                  </a:solidFill>
                  <a:latin typeface="Calibri"/>
                  <a:cs typeface="Calibri"/>
                </a:rPr>
                <a:t>GENERAR MAPA 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361950</xdr:colOff>
          <xdr:row>0</xdr:row>
          <xdr:rowOff>171450</xdr:rowOff>
        </xdr:from>
        <xdr:to>
          <xdr:col>19</xdr:col>
          <xdr:colOff>400050</xdr:colOff>
          <xdr:row>2</xdr:row>
          <xdr:rowOff>47625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1" i="0" u="none" strike="noStrike" baseline="0">
                  <a:solidFill>
                    <a:srgbClr val="000000"/>
                  </a:solidFill>
                  <a:latin typeface="Calibri"/>
                  <a:cs typeface="Calibri"/>
                </a:rPr>
                <a:t>GENERAR MAPA R.C</a:t>
              </a:r>
            </a:p>
          </xdr:txBody>
        </xdr:sp>
        <xdr:clientData fPrintsWithSheet="0"/>
      </xdr:twoCellAnchor>
    </mc:Choice>
    <mc:Fallback/>
  </mc:AlternateContent>
  <xdr:twoCellAnchor editAs="oneCell">
    <xdr:from>
      <xdr:col>21</xdr:col>
      <xdr:colOff>326345</xdr:colOff>
      <xdr:row>1</xdr:row>
      <xdr:rowOff>148478</xdr:rowOff>
    </xdr:from>
    <xdr:to>
      <xdr:col>53</xdr:col>
      <xdr:colOff>267567</xdr:colOff>
      <xdr:row>5</xdr:row>
      <xdr:rowOff>100853</xdr:rowOff>
    </xdr:to>
    <xdr:pic>
      <xdr:nvPicPr>
        <xdr:cNvPr id="5" name="Imagen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12809698" y="338978"/>
          <a:ext cx="1791567" cy="7367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723900</xdr:colOff>
          <xdr:row>1</xdr:row>
          <xdr:rowOff>38100</xdr:rowOff>
        </xdr:from>
        <xdr:to>
          <xdr:col>3</xdr:col>
          <xdr:colOff>1676400</xdr:colOff>
          <xdr:row>3</xdr:row>
          <xdr:rowOff>104775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1" i="0" u="none" strike="noStrike" baseline="0">
                  <a:solidFill>
                    <a:srgbClr val="FF9900"/>
                  </a:solidFill>
                  <a:latin typeface="Calibri"/>
                  <a:cs typeface="Calibri"/>
                </a:rPr>
                <a:t>RECOMENDACIONES PARA EL USO DE ESTE LIBRO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657942</xdr:colOff>
      <xdr:row>1</xdr:row>
      <xdr:rowOff>112053</xdr:rowOff>
    </xdr:from>
    <xdr:to>
      <xdr:col>12</xdr:col>
      <xdr:colOff>314561</xdr:colOff>
      <xdr:row>15</xdr:row>
      <xdr:rowOff>188253</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694765</xdr:colOff>
      <xdr:row>17</xdr:row>
      <xdr:rowOff>4868</xdr:rowOff>
    </xdr:from>
    <xdr:to>
      <xdr:col>12</xdr:col>
      <xdr:colOff>302559</xdr:colOff>
      <xdr:row>32</xdr:row>
      <xdr:rowOff>23103</xdr:rowOff>
    </xdr:to>
    <xdr:graphicFrame macro="">
      <xdr:nvGraphicFramePr>
        <xdr:cNvPr id="3" name="Gráfico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459291</xdr:colOff>
      <xdr:row>8</xdr:row>
      <xdr:rowOff>4171</xdr:rowOff>
    </xdr:from>
    <xdr:to>
      <xdr:col>19</xdr:col>
      <xdr:colOff>53115</xdr:colOff>
      <xdr:row>25</xdr:row>
      <xdr:rowOff>92698</xdr:rowOff>
    </xdr:to>
    <xdr:graphicFrame macro="">
      <xdr:nvGraphicFramePr>
        <xdr:cNvPr id="4" name="Gráfico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515467</xdr:colOff>
      <xdr:row>5</xdr:row>
      <xdr:rowOff>22405</xdr:rowOff>
    </xdr:from>
    <xdr:to>
      <xdr:col>8</xdr:col>
      <xdr:colOff>521871</xdr:colOff>
      <xdr:row>28</xdr:row>
      <xdr:rowOff>170044</xdr:rowOff>
    </xdr:to>
    <xdr:graphicFrame macro="">
      <xdr:nvGraphicFramePr>
        <xdr:cNvPr id="5" name="Gráfico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4"/>
  <dimension ref="A3:U13"/>
  <sheetViews>
    <sheetView showGridLines="0" zoomScale="115" zoomScaleNormal="115" workbookViewId="0"/>
  </sheetViews>
  <sheetFormatPr baseColWidth="10" defaultRowHeight="15" x14ac:dyDescent="0.25"/>
  <cols>
    <col min="2" max="2" width="2.140625" bestFit="1" customWidth="1"/>
    <col min="3" max="7" width="9.7109375" customWidth="1"/>
    <col min="8" max="8" width="10.85546875" style="40" customWidth="1"/>
    <col min="9" max="9" width="2.28515625" bestFit="1" customWidth="1"/>
    <col min="10" max="14" width="9.7109375" customWidth="1"/>
    <col min="15" max="15" width="12.140625" customWidth="1"/>
    <col min="16" max="16" width="2.140625" bestFit="1" customWidth="1"/>
    <col min="17" max="21" width="9.7109375" customWidth="1"/>
    <col min="22" max="51" width="0" hidden="1" customWidth="1"/>
  </cols>
  <sheetData>
    <row r="3" spans="1:21" ht="15.75" thickBot="1" x14ac:dyDescent="0.3"/>
    <row r="4" spans="1:21" x14ac:dyDescent="0.25">
      <c r="D4" s="141" t="s">
        <v>98</v>
      </c>
      <c r="E4" s="142"/>
      <c r="F4" s="143"/>
      <c r="K4" s="141" t="s">
        <v>97</v>
      </c>
      <c r="L4" s="142"/>
      <c r="M4" s="143"/>
      <c r="R4" s="141" t="s">
        <v>159</v>
      </c>
      <c r="S4" s="142"/>
      <c r="T4" s="143"/>
    </row>
    <row r="5" spans="1:21" ht="15.75" thickBot="1" x14ac:dyDescent="0.3">
      <c r="D5" s="144"/>
      <c r="E5" s="145"/>
      <c r="F5" s="146"/>
      <c r="K5" s="144"/>
      <c r="L5" s="145"/>
      <c r="M5" s="146"/>
      <c r="R5" s="144"/>
      <c r="S5" s="145"/>
      <c r="T5" s="146"/>
    </row>
    <row r="7" spans="1:21" ht="57.75" customHeight="1" x14ac:dyDescent="0.25">
      <c r="A7" s="147" t="s">
        <v>11</v>
      </c>
      <c r="B7" s="120">
        <v>5</v>
      </c>
      <c r="C7" s="123"/>
      <c r="D7" s="124"/>
      <c r="E7" s="125"/>
      <c r="F7" s="126"/>
      <c r="G7" s="125"/>
      <c r="H7" s="147" t="s">
        <v>11</v>
      </c>
      <c r="I7" s="120">
        <v>5</v>
      </c>
      <c r="J7" s="123"/>
      <c r="K7" s="124"/>
      <c r="L7" s="125"/>
      <c r="M7" s="126"/>
      <c r="N7" s="125"/>
      <c r="O7" s="147" t="s">
        <v>11</v>
      </c>
      <c r="P7" s="120">
        <v>5</v>
      </c>
      <c r="Q7" s="123"/>
      <c r="R7" s="124"/>
      <c r="S7" s="125"/>
      <c r="T7" s="126"/>
      <c r="U7" s="125"/>
    </row>
    <row r="8" spans="1:21" ht="57.75" customHeight="1" x14ac:dyDescent="0.25">
      <c r="A8" s="147"/>
      <c r="B8" s="120">
        <v>4</v>
      </c>
      <c r="C8" s="123"/>
      <c r="D8" s="123"/>
      <c r="E8" s="127"/>
      <c r="F8" s="125"/>
      <c r="G8" s="125"/>
      <c r="H8" s="147"/>
      <c r="I8" s="120">
        <v>4</v>
      </c>
      <c r="J8" s="123"/>
      <c r="K8" s="129"/>
      <c r="L8" s="127"/>
      <c r="M8" s="125"/>
      <c r="N8" s="125"/>
      <c r="O8" s="147"/>
      <c r="P8" s="120">
        <v>4</v>
      </c>
      <c r="Q8" s="123"/>
      <c r="R8" s="129"/>
      <c r="S8" s="127"/>
      <c r="T8" s="125"/>
      <c r="U8" s="125"/>
    </row>
    <row r="9" spans="1:21" ht="57.75" customHeight="1" x14ac:dyDescent="0.25">
      <c r="A9" s="147"/>
      <c r="B9" s="120">
        <v>3</v>
      </c>
      <c r="C9" s="128"/>
      <c r="D9" s="129"/>
      <c r="E9" s="127"/>
      <c r="F9" s="125" t="s">
        <v>258</v>
      </c>
      <c r="G9" s="125"/>
      <c r="H9" s="147"/>
      <c r="I9" s="120">
        <v>3</v>
      </c>
      <c r="J9" s="130"/>
      <c r="K9" s="129"/>
      <c r="L9" s="127"/>
      <c r="M9" s="125" t="s">
        <v>238</v>
      </c>
      <c r="N9" s="125"/>
      <c r="O9" s="147"/>
      <c r="P9" s="120">
        <v>3</v>
      </c>
      <c r="Q9" s="130"/>
      <c r="R9" s="129"/>
      <c r="S9" s="127"/>
      <c r="T9" s="125" t="s">
        <v>239</v>
      </c>
      <c r="U9" s="125"/>
    </row>
    <row r="10" spans="1:21" ht="57.75" customHeight="1" x14ac:dyDescent="0.25">
      <c r="A10" s="147"/>
      <c r="B10" s="120">
        <v>2</v>
      </c>
      <c r="C10" s="130"/>
      <c r="D10" s="130"/>
      <c r="E10" s="129" t="s">
        <v>249</v>
      </c>
      <c r="F10" s="127"/>
      <c r="G10" s="125"/>
      <c r="H10" s="147"/>
      <c r="I10" s="120">
        <v>2</v>
      </c>
      <c r="J10" s="130"/>
      <c r="K10" s="130"/>
      <c r="L10" s="129"/>
      <c r="M10" s="127"/>
      <c r="N10" s="125"/>
      <c r="O10" s="147"/>
      <c r="P10" s="120">
        <v>2</v>
      </c>
      <c r="Q10" s="130"/>
      <c r="R10" s="130"/>
      <c r="S10" s="129"/>
      <c r="T10" s="127" t="s">
        <v>240</v>
      </c>
      <c r="U10" s="125"/>
    </row>
    <row r="11" spans="1:21" ht="57.75" customHeight="1" x14ac:dyDescent="0.25">
      <c r="A11" s="147"/>
      <c r="B11" s="120">
        <v>1</v>
      </c>
      <c r="C11" s="130"/>
      <c r="D11" s="130"/>
      <c r="E11" s="129"/>
      <c r="F11" s="127"/>
      <c r="G11" s="125"/>
      <c r="H11" s="147"/>
      <c r="I11" s="120">
        <v>1</v>
      </c>
      <c r="J11" s="130"/>
      <c r="K11" s="130"/>
      <c r="L11" s="129" t="s">
        <v>249</v>
      </c>
      <c r="M11" s="127" t="s">
        <v>259</v>
      </c>
      <c r="N11" s="125"/>
      <c r="O11" s="147"/>
      <c r="P11" s="120">
        <v>1</v>
      </c>
      <c r="Q11" s="130"/>
      <c r="R11" s="130"/>
      <c r="S11" s="129"/>
      <c r="T11" s="127"/>
      <c r="U11" s="125"/>
    </row>
    <row r="12" spans="1:21" s="38" customFormat="1" ht="15.75" x14ac:dyDescent="0.25">
      <c r="C12" s="120">
        <v>1</v>
      </c>
      <c r="D12" s="120">
        <v>2</v>
      </c>
      <c r="E12" s="120">
        <v>3</v>
      </c>
      <c r="F12" s="120">
        <v>4</v>
      </c>
      <c r="G12" s="120">
        <v>5</v>
      </c>
      <c r="H12" s="39"/>
      <c r="J12" s="120">
        <v>1</v>
      </c>
      <c r="K12" s="120">
        <v>2</v>
      </c>
      <c r="L12" s="120">
        <v>3</v>
      </c>
      <c r="M12" s="120">
        <v>4</v>
      </c>
      <c r="N12" s="120">
        <v>5</v>
      </c>
      <c r="Q12" s="120">
        <v>1</v>
      </c>
      <c r="R12" s="120">
        <v>2</v>
      </c>
      <c r="S12" s="120">
        <v>3</v>
      </c>
      <c r="T12" s="120">
        <v>4</v>
      </c>
      <c r="U12" s="120">
        <v>5</v>
      </c>
    </row>
    <row r="13" spans="1:21" ht="15.75" x14ac:dyDescent="0.25">
      <c r="C13" s="140" t="s">
        <v>228</v>
      </c>
      <c r="D13" s="140"/>
      <c r="E13" s="140"/>
      <c r="F13" s="140"/>
      <c r="G13" s="140"/>
      <c r="J13" s="140" t="s">
        <v>228</v>
      </c>
      <c r="K13" s="140"/>
      <c r="L13" s="140"/>
      <c r="M13" s="140"/>
      <c r="N13" s="140"/>
      <c r="Q13" s="140" t="s">
        <v>228</v>
      </c>
      <c r="R13" s="140"/>
      <c r="S13" s="140"/>
      <c r="T13" s="140"/>
      <c r="U13" s="140"/>
    </row>
  </sheetData>
  <sheetProtection password="B2F1" sheet="1" objects="1" scenarios="1" formatColumns="0" formatRows="0"/>
  <mergeCells count="9">
    <mergeCell ref="Q13:U13"/>
    <mergeCell ref="D4:F5"/>
    <mergeCell ref="K4:M5"/>
    <mergeCell ref="R4:T5"/>
    <mergeCell ref="A7:A11"/>
    <mergeCell ref="H7:H11"/>
    <mergeCell ref="O7:O11"/>
    <mergeCell ref="C13:G13"/>
    <mergeCell ref="J13:N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nsayo01">
                <anchor moveWithCells="1" sizeWithCells="1">
                  <from>
                    <xdr:col>3</xdr:col>
                    <xdr:colOff>247650</xdr:colOff>
                    <xdr:row>1</xdr:row>
                    <xdr:rowOff>9525</xdr:rowOff>
                  </from>
                  <to>
                    <xdr:col>5</xdr:col>
                    <xdr:colOff>390525</xdr:colOff>
                    <xdr:row>2</xdr:row>
                    <xdr:rowOff>28575</xdr:rowOff>
                  </to>
                </anchor>
              </controlPr>
            </control>
          </mc:Choice>
        </mc:AlternateContent>
        <mc:AlternateContent xmlns:mc="http://schemas.openxmlformats.org/markup-compatibility/2006">
          <mc:Choice Requires="x14">
            <control shapeId="2050" r:id="rId5" name="Button 2">
              <controlPr defaultSize="0" print="0" autoFill="0" autoPict="0" macro="[0]!ensayo02">
                <anchor moveWithCells="1" sizeWithCells="1">
                  <from>
                    <xdr:col>10</xdr:col>
                    <xdr:colOff>361950</xdr:colOff>
                    <xdr:row>0</xdr:row>
                    <xdr:rowOff>171450</xdr:rowOff>
                  </from>
                  <to>
                    <xdr:col>12</xdr:col>
                    <xdr:colOff>400050</xdr:colOff>
                    <xdr:row>2</xdr:row>
                    <xdr:rowOff>47625</xdr:rowOff>
                  </to>
                </anchor>
              </controlPr>
            </control>
          </mc:Choice>
        </mc:AlternateContent>
        <mc:AlternateContent xmlns:mc="http://schemas.openxmlformats.org/markup-compatibility/2006">
          <mc:Choice Requires="x14">
            <control shapeId="2051" r:id="rId6" name="Button 3">
              <controlPr defaultSize="0" print="0" autoFill="0" autoPict="0" macro="[0]!riesgo_consolidado">
                <anchor moveWithCells="1" sizeWithCells="1">
                  <from>
                    <xdr:col>17</xdr:col>
                    <xdr:colOff>361950</xdr:colOff>
                    <xdr:row>0</xdr:row>
                    <xdr:rowOff>171450</xdr:rowOff>
                  </from>
                  <to>
                    <xdr:col>19</xdr:col>
                    <xdr:colOff>400050</xdr:colOff>
                    <xdr:row>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dimension ref="A5:T28"/>
  <sheetViews>
    <sheetView showGridLines="0" topLeftCell="B1" zoomScale="115" zoomScaleNormal="115" workbookViewId="0">
      <pane ySplit="6" topLeftCell="A7" activePane="bottomLeft" state="frozen"/>
      <selection activeCell="B1" sqref="B1"/>
      <selection pane="bottomLeft" activeCell="C7" sqref="C7"/>
    </sheetView>
  </sheetViews>
  <sheetFormatPr baseColWidth="10" defaultColWidth="11.42578125" defaultRowHeight="15" x14ac:dyDescent="0.25"/>
  <cols>
    <col min="1" max="1" width="9.28515625" style="50" hidden="1" customWidth="1"/>
    <col min="2" max="2" width="8" style="51" customWidth="1"/>
    <col min="3" max="3" width="42.28515625" style="51" customWidth="1"/>
    <col min="4" max="9" width="13.28515625" style="51" customWidth="1"/>
    <col min="10" max="11" width="5.5703125" style="51" hidden="1" customWidth="1"/>
    <col min="12" max="13" width="5.140625" style="51" hidden="1" customWidth="1"/>
    <col min="14" max="14" width="8" style="51" hidden="1" customWidth="1"/>
    <col min="15" max="15" width="8.28515625" style="51" hidden="1" customWidth="1"/>
    <col min="16" max="16" width="9.28515625" style="51" hidden="1" customWidth="1"/>
    <col min="17" max="17" width="9.140625" style="51" hidden="1" customWidth="1"/>
    <col min="18" max="18" width="11.42578125" style="51" hidden="1" customWidth="1"/>
    <col min="19" max="19" width="15.7109375" style="51" hidden="1" customWidth="1"/>
    <col min="20" max="20" width="16" style="51" hidden="1" customWidth="1"/>
    <col min="21" max="16384" width="11.42578125" style="51"/>
  </cols>
  <sheetData>
    <row r="5" spans="1:20" x14ac:dyDescent="0.25">
      <c r="B5" s="153" t="s">
        <v>0</v>
      </c>
      <c r="C5" s="155" t="s">
        <v>160</v>
      </c>
      <c r="D5" s="152" t="s">
        <v>161</v>
      </c>
      <c r="E5" s="152"/>
      <c r="F5" s="152"/>
      <c r="G5" s="152" t="s">
        <v>162</v>
      </c>
      <c r="H5" s="152"/>
      <c r="I5" s="152"/>
      <c r="J5" s="150" t="s">
        <v>216</v>
      </c>
      <c r="K5" s="150" t="s">
        <v>165</v>
      </c>
      <c r="L5" s="150" t="s">
        <v>164</v>
      </c>
      <c r="M5" s="150" t="s">
        <v>217</v>
      </c>
      <c r="N5" s="148" t="s">
        <v>166</v>
      </c>
      <c r="O5" s="148" t="s">
        <v>167</v>
      </c>
      <c r="P5" s="148" t="s">
        <v>168</v>
      </c>
      <c r="Q5" s="148" t="s">
        <v>169</v>
      </c>
      <c r="R5" s="148" t="s">
        <v>218</v>
      </c>
      <c r="S5" s="148" t="s">
        <v>219</v>
      </c>
      <c r="T5" s="148" t="s">
        <v>220</v>
      </c>
    </row>
    <row r="6" spans="1:20" x14ac:dyDescent="0.25">
      <c r="B6" s="154"/>
      <c r="C6" s="156"/>
      <c r="D6" s="107" t="s">
        <v>11</v>
      </c>
      <c r="E6" s="107" t="s">
        <v>3</v>
      </c>
      <c r="F6" s="107" t="s">
        <v>61</v>
      </c>
      <c r="G6" s="107" t="s">
        <v>11</v>
      </c>
      <c r="H6" s="107" t="s">
        <v>3</v>
      </c>
      <c r="I6" s="107" t="s">
        <v>61</v>
      </c>
      <c r="J6" s="151"/>
      <c r="K6" s="151"/>
      <c r="L6" s="151"/>
      <c r="M6" s="151"/>
      <c r="N6" s="149"/>
      <c r="O6" s="149" t="s">
        <v>165</v>
      </c>
      <c r="P6" s="149" t="s">
        <v>164</v>
      </c>
      <c r="Q6" s="149" t="s">
        <v>164</v>
      </c>
      <c r="R6" s="149"/>
      <c r="S6" s="149"/>
      <c r="T6" s="149"/>
    </row>
    <row r="7" spans="1:20" s="105" customFormat="1" ht="24.95" customHeight="1" x14ac:dyDescent="0.25">
      <c r="A7" s="104" t="s">
        <v>163</v>
      </c>
      <c r="B7" s="108" t="str">
        <f>Matriz!A7</f>
        <v>R1</v>
      </c>
      <c r="C7" s="131" t="str">
        <f>Matriz!B7</f>
        <v>Riesgos asociados la confidencialidad</v>
      </c>
      <c r="D7" s="109" t="str">
        <f>Matriz!AB7</f>
        <v>Media</v>
      </c>
      <c r="E7" s="109" t="str">
        <f>Matriz!AC7</f>
        <v>Mayor</v>
      </c>
      <c r="F7" s="109" t="str">
        <f>Matriz!AD7</f>
        <v>Extrema</v>
      </c>
      <c r="G7" s="109" t="str">
        <f>Matriz!BD7</f>
        <v>Media</v>
      </c>
      <c r="H7" s="109" t="str">
        <f>Matriz!BE7</f>
        <v>Mayor</v>
      </c>
      <c r="I7" s="109" t="str">
        <f>Matriz!BG7</f>
        <v>Extrema</v>
      </c>
      <c r="J7" s="114">
        <f t="shared" ref="J7:J26" si="0">IFERROR(VLOOKUP(D7, tabla01, 3, 0), "")</f>
        <v>3</v>
      </c>
      <c r="K7" s="114">
        <f t="shared" ref="K7:K26" si="1">IFERROR(VLOOKUP(E7, tabla02, 2, 0), "")</f>
        <v>4</v>
      </c>
      <c r="L7" s="114">
        <f t="shared" ref="L7:L26" si="2">IFERROR(VLOOKUP(G7, tabla01, 3, 0), "")</f>
        <v>3</v>
      </c>
      <c r="M7" s="114">
        <f t="shared" ref="M7:M26" si="3">IFERROR(VLOOKUP(H7, tabla02, 2, 0), "")</f>
        <v>4</v>
      </c>
      <c r="N7" s="115" t="str">
        <f>CONCATENATE(J7, "-", K7)</f>
        <v>3-4</v>
      </c>
      <c r="O7" s="78" t="str">
        <f>CONCATENATE(L7, "-",M7)</f>
        <v>3-4</v>
      </c>
      <c r="P7" s="78">
        <f t="shared" ref="P7:P26" si="4">IFERROR(VLOOKUP(N7, pesocuadrante, 2, 0), "")</f>
        <v>5.43</v>
      </c>
      <c r="Q7" s="78">
        <f t="shared" ref="Q7:Q26" si="5">IFERROR(VLOOKUP(O7, pesocuadrante, 2, 0), "")</f>
        <v>5.43</v>
      </c>
      <c r="R7" s="157" t="s">
        <v>163</v>
      </c>
      <c r="S7" s="157">
        <f>IFERROR(ROUND(SUMPRODUCT(J7:J26, $P$7:$P$26)/$P$28, 0), "")</f>
        <v>3</v>
      </c>
      <c r="T7" s="157">
        <f>IFERROR(ROUND(SUMPRODUCT(K7:K26, $P$7:$P$26)/$P$28, 0), "")</f>
        <v>4</v>
      </c>
    </row>
    <row r="8" spans="1:20" s="105" customFormat="1" ht="24.95" customHeight="1" x14ac:dyDescent="0.25">
      <c r="A8" s="104" t="s">
        <v>170</v>
      </c>
      <c r="B8" s="108" t="str">
        <f>Matriz!A57</f>
        <v>R2</v>
      </c>
      <c r="C8" s="131" t="str">
        <f>Matriz!B57</f>
        <v>Riesgos asociados a la disponibilidad</v>
      </c>
      <c r="D8" s="109" t="str">
        <f>Matriz!AB57</f>
        <v>Baja</v>
      </c>
      <c r="E8" s="109" t="str">
        <f>Matriz!AC57</f>
        <v>Moderado</v>
      </c>
      <c r="F8" s="109" t="str">
        <f>Matriz!AD57</f>
        <v>Moderada</v>
      </c>
      <c r="G8" s="109" t="str">
        <f>Matriz!BD57</f>
        <v>Muy Baja</v>
      </c>
      <c r="H8" s="109" t="str">
        <f>Matriz!BE57</f>
        <v>Moderado</v>
      </c>
      <c r="I8" s="109" t="str">
        <f>Matriz!BG57</f>
        <v>Moderada</v>
      </c>
      <c r="J8" s="114">
        <f t="shared" si="0"/>
        <v>2</v>
      </c>
      <c r="K8" s="114">
        <f t="shared" si="1"/>
        <v>3</v>
      </c>
      <c r="L8" s="114">
        <f t="shared" si="2"/>
        <v>1</v>
      </c>
      <c r="M8" s="114">
        <f t="shared" si="3"/>
        <v>3</v>
      </c>
      <c r="N8" s="115" t="str">
        <f t="shared" ref="N8:N17" si="6">CONCATENATE(J8, "-", K8)</f>
        <v>2-3</v>
      </c>
      <c r="O8" s="78" t="str">
        <f t="shared" ref="O8:O17" si="7">CONCATENATE(L8, "-",M8)</f>
        <v>1-3</v>
      </c>
      <c r="P8" s="78">
        <f t="shared" si="4"/>
        <v>3.14</v>
      </c>
      <c r="Q8" s="78">
        <f t="shared" si="5"/>
        <v>2.86</v>
      </c>
      <c r="R8" s="158"/>
      <c r="S8" s="158"/>
      <c r="T8" s="158"/>
    </row>
    <row r="9" spans="1:20" s="105" customFormat="1" ht="24.95" customHeight="1" x14ac:dyDescent="0.25">
      <c r="A9" s="106"/>
      <c r="B9" s="108" t="str">
        <f>Matriz!A107</f>
        <v>R3</v>
      </c>
      <c r="C9" s="131" t="str">
        <f>Matriz!B107</f>
        <v>Riesgos asociados a la integridad</v>
      </c>
      <c r="D9" s="109" t="str">
        <f>Matriz!AB107</f>
        <v>Media</v>
      </c>
      <c r="E9" s="109" t="str">
        <f>Matriz!AC107</f>
        <v>Mayor</v>
      </c>
      <c r="F9" s="109" t="str">
        <f>Matriz!AD107</f>
        <v>Extrema</v>
      </c>
      <c r="G9" s="109" t="str">
        <f>Matriz!BD107</f>
        <v>Muy Baja</v>
      </c>
      <c r="H9" s="109" t="str">
        <f>Matriz!BE107</f>
        <v>Mayor</v>
      </c>
      <c r="I9" s="109" t="str">
        <f>Matriz!BG107</f>
        <v>Alta</v>
      </c>
      <c r="J9" s="114">
        <f t="shared" si="0"/>
        <v>3</v>
      </c>
      <c r="K9" s="114">
        <f t="shared" si="1"/>
        <v>4</v>
      </c>
      <c r="L9" s="114">
        <f t="shared" si="2"/>
        <v>1</v>
      </c>
      <c r="M9" s="114">
        <f t="shared" si="3"/>
        <v>4</v>
      </c>
      <c r="N9" s="115" t="str">
        <f t="shared" si="6"/>
        <v>3-4</v>
      </c>
      <c r="O9" s="78" t="str">
        <f t="shared" si="7"/>
        <v>1-4</v>
      </c>
      <c r="P9" s="78">
        <f t="shared" si="4"/>
        <v>5.43</v>
      </c>
      <c r="Q9" s="78">
        <f t="shared" si="5"/>
        <v>4.8600000000000003</v>
      </c>
      <c r="R9" s="158"/>
      <c r="S9" s="158"/>
      <c r="T9" s="158"/>
    </row>
    <row r="10" spans="1:20" s="105" customFormat="1" ht="24.95" customHeight="1" x14ac:dyDescent="0.25">
      <c r="A10" s="106"/>
      <c r="B10" s="108" t="str">
        <f>Matriz!A157</f>
        <v>R4</v>
      </c>
      <c r="C10" s="131" t="str">
        <f>Matriz!B157</f>
        <v>Riesgos legales</v>
      </c>
      <c r="D10" s="109" t="str">
        <f>Matriz!AB157</f>
        <v/>
      </c>
      <c r="E10" s="109" t="str">
        <f>Matriz!AC157</f>
        <v/>
      </c>
      <c r="F10" s="109" t="str">
        <f>Matriz!AD157</f>
        <v/>
      </c>
      <c r="G10" s="109" t="str">
        <f>Matriz!BD157</f>
        <v/>
      </c>
      <c r="H10" s="109" t="str">
        <f>Matriz!BE157</f>
        <v/>
      </c>
      <c r="I10" s="109" t="str">
        <f>Matriz!BG157</f>
        <v/>
      </c>
      <c r="J10" s="114" t="str">
        <f t="shared" si="0"/>
        <v/>
      </c>
      <c r="K10" s="114" t="str">
        <f t="shared" si="1"/>
        <v/>
      </c>
      <c r="L10" s="114" t="str">
        <f t="shared" si="2"/>
        <v/>
      </c>
      <c r="M10" s="114" t="str">
        <f t="shared" si="3"/>
        <v/>
      </c>
      <c r="N10" s="115" t="str">
        <f t="shared" si="6"/>
        <v>-</v>
      </c>
      <c r="O10" s="78" t="str">
        <f t="shared" si="7"/>
        <v>-</v>
      </c>
      <c r="P10" s="78" t="str">
        <f t="shared" si="4"/>
        <v/>
      </c>
      <c r="Q10" s="78" t="str">
        <f t="shared" si="5"/>
        <v/>
      </c>
      <c r="R10" s="158"/>
      <c r="S10" s="158"/>
      <c r="T10" s="158"/>
    </row>
    <row r="11" spans="1:20" s="105" customFormat="1" ht="24.95" customHeight="1" x14ac:dyDescent="0.25">
      <c r="A11" s="106"/>
      <c r="B11" s="108" t="str">
        <f>Matriz!A207</f>
        <v>R5</v>
      </c>
      <c r="C11" s="131" t="str">
        <f>Matriz!B207</f>
        <v>Descripción R05</v>
      </c>
      <c r="D11" s="109" t="str">
        <f>Matriz!AB207</f>
        <v/>
      </c>
      <c r="E11" s="109" t="str">
        <f>Matriz!AC207</f>
        <v/>
      </c>
      <c r="F11" s="109" t="str">
        <f>Matriz!AD207</f>
        <v/>
      </c>
      <c r="G11" s="109" t="str">
        <f>Matriz!BD207</f>
        <v/>
      </c>
      <c r="H11" s="109" t="str">
        <f>Matriz!BE207</f>
        <v/>
      </c>
      <c r="I11" s="109" t="str">
        <f>Matriz!BG207</f>
        <v/>
      </c>
      <c r="J11" s="114" t="str">
        <f t="shared" si="0"/>
        <v/>
      </c>
      <c r="K11" s="114" t="str">
        <f t="shared" si="1"/>
        <v/>
      </c>
      <c r="L11" s="114" t="str">
        <f t="shared" si="2"/>
        <v/>
      </c>
      <c r="M11" s="114" t="str">
        <f t="shared" si="3"/>
        <v/>
      </c>
      <c r="N11" s="115" t="str">
        <f t="shared" si="6"/>
        <v>-</v>
      </c>
      <c r="O11" s="78" t="str">
        <f t="shared" si="7"/>
        <v>-</v>
      </c>
      <c r="P11" s="78" t="str">
        <f t="shared" si="4"/>
        <v/>
      </c>
      <c r="Q11" s="78" t="str">
        <f t="shared" si="5"/>
        <v/>
      </c>
      <c r="R11" s="158"/>
      <c r="S11" s="158"/>
      <c r="T11" s="158"/>
    </row>
    <row r="12" spans="1:20" s="105" customFormat="1" ht="24.95" customHeight="1" x14ac:dyDescent="0.25">
      <c r="A12" s="106"/>
      <c r="B12" s="108" t="str">
        <f>Matriz!A257</f>
        <v>R6</v>
      </c>
      <c r="C12" s="131" t="str">
        <f>Matriz!B257</f>
        <v>Descripción R06</v>
      </c>
      <c r="D12" s="109" t="str">
        <f>Matriz!AB257</f>
        <v/>
      </c>
      <c r="E12" s="109" t="str">
        <f>Matriz!AC257</f>
        <v/>
      </c>
      <c r="F12" s="109" t="str">
        <f>Matriz!AD257</f>
        <v/>
      </c>
      <c r="G12" s="109" t="str">
        <f>Matriz!BD257</f>
        <v/>
      </c>
      <c r="H12" s="109" t="str">
        <f>Matriz!BE257</f>
        <v/>
      </c>
      <c r="I12" s="109" t="str">
        <f>Matriz!BG257</f>
        <v/>
      </c>
      <c r="J12" s="114" t="str">
        <f t="shared" si="0"/>
        <v/>
      </c>
      <c r="K12" s="114" t="str">
        <f t="shared" si="1"/>
        <v/>
      </c>
      <c r="L12" s="114" t="str">
        <f t="shared" si="2"/>
        <v/>
      </c>
      <c r="M12" s="114" t="str">
        <f t="shared" si="3"/>
        <v/>
      </c>
      <c r="N12" s="115" t="str">
        <f t="shared" si="6"/>
        <v>-</v>
      </c>
      <c r="O12" s="78" t="str">
        <f t="shared" si="7"/>
        <v>-</v>
      </c>
      <c r="P12" s="78" t="str">
        <f t="shared" si="4"/>
        <v/>
      </c>
      <c r="Q12" s="78" t="str">
        <f t="shared" si="5"/>
        <v/>
      </c>
      <c r="R12" s="158"/>
      <c r="S12" s="158"/>
      <c r="T12" s="158"/>
    </row>
    <row r="13" spans="1:20" s="105" customFormat="1" ht="24.95" customHeight="1" x14ac:dyDescent="0.25">
      <c r="A13" s="106"/>
      <c r="B13" s="108" t="str">
        <f>Matriz!A307</f>
        <v>R7</v>
      </c>
      <c r="C13" s="131" t="str">
        <f>Matriz!B307</f>
        <v>Descripción R07</v>
      </c>
      <c r="D13" s="109" t="str">
        <f>Matriz!AB307</f>
        <v/>
      </c>
      <c r="E13" s="109" t="str">
        <f>Matriz!AC307</f>
        <v/>
      </c>
      <c r="F13" s="109" t="str">
        <f>Matriz!AD307</f>
        <v/>
      </c>
      <c r="G13" s="109" t="str">
        <f>Matriz!BD307</f>
        <v/>
      </c>
      <c r="H13" s="109" t="str">
        <f>Matriz!BE307</f>
        <v/>
      </c>
      <c r="I13" s="109" t="str">
        <f>Matriz!BG307</f>
        <v/>
      </c>
      <c r="J13" s="114" t="str">
        <f t="shared" si="0"/>
        <v/>
      </c>
      <c r="K13" s="114" t="str">
        <f t="shared" si="1"/>
        <v/>
      </c>
      <c r="L13" s="114" t="str">
        <f t="shared" si="2"/>
        <v/>
      </c>
      <c r="M13" s="114" t="str">
        <f t="shared" si="3"/>
        <v/>
      </c>
      <c r="N13" s="115" t="str">
        <f t="shared" si="6"/>
        <v>-</v>
      </c>
      <c r="O13" s="78" t="str">
        <f t="shared" si="7"/>
        <v>-</v>
      </c>
      <c r="P13" s="78" t="str">
        <f t="shared" si="4"/>
        <v/>
      </c>
      <c r="Q13" s="78" t="str">
        <f t="shared" si="5"/>
        <v/>
      </c>
      <c r="R13" s="158"/>
      <c r="S13" s="158"/>
      <c r="T13" s="158"/>
    </row>
    <row r="14" spans="1:20" s="105" customFormat="1" ht="24.95" customHeight="1" x14ac:dyDescent="0.25">
      <c r="A14" s="106"/>
      <c r="B14" s="108" t="str">
        <f>Matriz!A357</f>
        <v>R8</v>
      </c>
      <c r="C14" s="131" t="str">
        <f>Matriz!B357</f>
        <v>Descripción R08</v>
      </c>
      <c r="D14" s="109" t="str">
        <f>Matriz!AB357</f>
        <v/>
      </c>
      <c r="E14" s="109" t="str">
        <f>Matriz!AC357</f>
        <v/>
      </c>
      <c r="F14" s="109" t="str">
        <f>Matriz!AD357</f>
        <v/>
      </c>
      <c r="G14" s="109" t="str">
        <f>Matriz!BD357</f>
        <v/>
      </c>
      <c r="H14" s="109" t="str">
        <f>Matriz!BE357</f>
        <v/>
      </c>
      <c r="I14" s="109" t="str">
        <f>Matriz!BG357</f>
        <v/>
      </c>
      <c r="J14" s="114" t="str">
        <f t="shared" si="0"/>
        <v/>
      </c>
      <c r="K14" s="114" t="str">
        <f t="shared" si="1"/>
        <v/>
      </c>
      <c r="L14" s="114" t="str">
        <f t="shared" si="2"/>
        <v/>
      </c>
      <c r="M14" s="114" t="str">
        <f t="shared" si="3"/>
        <v/>
      </c>
      <c r="N14" s="115" t="str">
        <f t="shared" si="6"/>
        <v>-</v>
      </c>
      <c r="O14" s="78" t="str">
        <f t="shared" si="7"/>
        <v>-</v>
      </c>
      <c r="P14" s="78" t="str">
        <f t="shared" si="4"/>
        <v/>
      </c>
      <c r="Q14" s="78" t="str">
        <f t="shared" si="5"/>
        <v/>
      </c>
      <c r="R14" s="158"/>
      <c r="S14" s="158"/>
      <c r="T14" s="158"/>
    </row>
    <row r="15" spans="1:20" s="105" customFormat="1" ht="24.95" customHeight="1" x14ac:dyDescent="0.25">
      <c r="A15" s="106"/>
      <c r="B15" s="108" t="str">
        <f>Matriz!A407</f>
        <v>R9</v>
      </c>
      <c r="C15" s="131" t="str">
        <f>Matriz!B407</f>
        <v>Descripción R9</v>
      </c>
      <c r="D15" s="109" t="str">
        <f>Matriz!AB407</f>
        <v/>
      </c>
      <c r="E15" s="109" t="str">
        <f>Matriz!AC407</f>
        <v/>
      </c>
      <c r="F15" s="109" t="str">
        <f>Matriz!AD407</f>
        <v/>
      </c>
      <c r="G15" s="109" t="str">
        <f>Matriz!BD407</f>
        <v/>
      </c>
      <c r="H15" s="109" t="str">
        <f>Matriz!BE407</f>
        <v/>
      </c>
      <c r="I15" s="109" t="str">
        <f>Matriz!BG407</f>
        <v/>
      </c>
      <c r="J15" s="114" t="str">
        <f t="shared" si="0"/>
        <v/>
      </c>
      <c r="K15" s="114" t="str">
        <f t="shared" si="1"/>
        <v/>
      </c>
      <c r="L15" s="114" t="str">
        <f t="shared" si="2"/>
        <v/>
      </c>
      <c r="M15" s="114" t="str">
        <f t="shared" si="3"/>
        <v/>
      </c>
      <c r="N15" s="115" t="str">
        <f t="shared" si="6"/>
        <v>-</v>
      </c>
      <c r="O15" s="78" t="str">
        <f t="shared" si="7"/>
        <v>-</v>
      </c>
      <c r="P15" s="78" t="str">
        <f t="shared" si="4"/>
        <v/>
      </c>
      <c r="Q15" s="78" t="str">
        <f t="shared" si="5"/>
        <v/>
      </c>
      <c r="R15" s="158"/>
      <c r="S15" s="158"/>
      <c r="T15" s="158"/>
    </row>
    <row r="16" spans="1:20" s="105" customFormat="1" ht="24.95" customHeight="1" x14ac:dyDescent="0.25">
      <c r="A16" s="106"/>
      <c r="B16" s="108" t="str">
        <f>Matriz!A457</f>
        <v>R10</v>
      </c>
      <c r="C16" s="131" t="str">
        <f>Matriz!B457</f>
        <v>Descripción R10</v>
      </c>
      <c r="D16" s="109" t="str">
        <f>Matriz!AB457</f>
        <v/>
      </c>
      <c r="E16" s="109" t="str">
        <f>Matriz!AC457</f>
        <v/>
      </c>
      <c r="F16" s="109" t="str">
        <f>Matriz!AD457</f>
        <v/>
      </c>
      <c r="G16" s="109" t="str">
        <f>Matriz!BD457</f>
        <v/>
      </c>
      <c r="H16" s="109" t="str">
        <f>Matriz!BE457</f>
        <v/>
      </c>
      <c r="I16" s="109" t="str">
        <f>Matriz!BG457</f>
        <v/>
      </c>
      <c r="J16" s="114" t="str">
        <f t="shared" si="0"/>
        <v/>
      </c>
      <c r="K16" s="114" t="str">
        <f t="shared" si="1"/>
        <v/>
      </c>
      <c r="L16" s="114" t="str">
        <f t="shared" si="2"/>
        <v/>
      </c>
      <c r="M16" s="114" t="str">
        <f t="shared" si="3"/>
        <v/>
      </c>
      <c r="N16" s="115" t="str">
        <f t="shared" si="6"/>
        <v>-</v>
      </c>
      <c r="O16" s="78" t="str">
        <f t="shared" si="7"/>
        <v>-</v>
      </c>
      <c r="P16" s="78" t="str">
        <f t="shared" si="4"/>
        <v/>
      </c>
      <c r="Q16" s="78" t="str">
        <f t="shared" si="5"/>
        <v/>
      </c>
      <c r="R16" s="159"/>
      <c r="S16" s="159"/>
      <c r="T16" s="159"/>
    </row>
    <row r="17" spans="2:20" ht="24.95" customHeight="1" x14ac:dyDescent="0.25">
      <c r="B17" s="108" t="str">
        <f>Matriz!A507</f>
        <v>R11</v>
      </c>
      <c r="C17" s="131" t="str">
        <f>Matriz!B507</f>
        <v>Descripción R11</v>
      </c>
      <c r="D17" s="110" t="str">
        <f>Matriz!AB507</f>
        <v/>
      </c>
      <c r="E17" s="109" t="str">
        <f>Matriz!AC507</f>
        <v/>
      </c>
      <c r="F17" s="109" t="str">
        <f>Matriz!AD507</f>
        <v/>
      </c>
      <c r="G17" s="109" t="str">
        <f>Matriz!BD507</f>
        <v/>
      </c>
      <c r="H17" s="109" t="str">
        <f>Matriz!BE507</f>
        <v/>
      </c>
      <c r="I17" s="109" t="str">
        <f>Matriz!BG507</f>
        <v/>
      </c>
      <c r="J17" s="114" t="str">
        <f t="shared" si="0"/>
        <v/>
      </c>
      <c r="K17" s="114" t="str">
        <f t="shared" si="1"/>
        <v/>
      </c>
      <c r="L17" s="114" t="str">
        <f t="shared" si="2"/>
        <v/>
      </c>
      <c r="M17" s="114" t="str">
        <f t="shared" si="3"/>
        <v/>
      </c>
      <c r="N17" s="115" t="str">
        <f t="shared" si="6"/>
        <v>-</v>
      </c>
      <c r="O17" s="78" t="str">
        <f t="shared" si="7"/>
        <v>-</v>
      </c>
      <c r="P17" s="78" t="str">
        <f t="shared" si="4"/>
        <v/>
      </c>
      <c r="Q17" s="78" t="str">
        <f t="shared" si="5"/>
        <v/>
      </c>
      <c r="R17" s="157" t="s">
        <v>170</v>
      </c>
      <c r="S17" s="157">
        <f>IF((IFERROR(ROUND(SUMPRODUCT(L7:L26, $Q$7:$Q$26)/$Q$28, 0), ""))&gt;S7, S7, IFERROR(ROUND(SUMPRODUCT(L7:L26, $Q$7:$Q$26)/$Q$28, 0), ""))</f>
        <v>2</v>
      </c>
      <c r="T17" s="157">
        <f>IF((IFERROR(ROUND(SUMPRODUCT(M7:M26, $Q$7:$Q$26)/$Q$28, 0), ""))&gt;T7, T7, IFERROR(ROUND(SUMPRODUCT(M7:M26, $Q$7:$Q$26)/$Q$28, 0), ""))</f>
        <v>4</v>
      </c>
    </row>
    <row r="18" spans="2:20" ht="24.95" customHeight="1" x14ac:dyDescent="0.25">
      <c r="B18" s="108" t="str">
        <f>Matriz!A557</f>
        <v>R12</v>
      </c>
      <c r="C18" s="131" t="str">
        <f>Matriz!B557</f>
        <v>Descripción R12</v>
      </c>
      <c r="D18" s="110" t="str">
        <f>Matriz!AB557</f>
        <v/>
      </c>
      <c r="E18" s="110" t="str">
        <f>Matriz!AC557</f>
        <v/>
      </c>
      <c r="F18" s="110" t="str">
        <f>Matriz!AD557</f>
        <v/>
      </c>
      <c r="G18" s="110" t="str">
        <f>Matriz!BD557</f>
        <v/>
      </c>
      <c r="H18" s="110" t="str">
        <f>Matriz!BE557</f>
        <v/>
      </c>
      <c r="I18" s="110" t="str">
        <f>Matriz!BG557</f>
        <v/>
      </c>
      <c r="J18" s="114" t="str">
        <f t="shared" si="0"/>
        <v/>
      </c>
      <c r="K18" s="114" t="str">
        <f t="shared" si="1"/>
        <v/>
      </c>
      <c r="L18" s="114" t="str">
        <f t="shared" si="2"/>
        <v/>
      </c>
      <c r="M18" s="114" t="str">
        <f t="shared" si="3"/>
        <v/>
      </c>
      <c r="N18" s="115" t="str">
        <f t="shared" ref="N18:N26" si="8">CONCATENATE(J18, "-", K18)</f>
        <v>-</v>
      </c>
      <c r="O18" s="78" t="str">
        <f t="shared" ref="O18:O26" si="9">CONCATENATE(L18, "-",M18)</f>
        <v>-</v>
      </c>
      <c r="P18" s="78" t="str">
        <f t="shared" si="4"/>
        <v/>
      </c>
      <c r="Q18" s="78" t="str">
        <f t="shared" si="5"/>
        <v/>
      </c>
      <c r="R18" s="158"/>
      <c r="S18" s="158"/>
      <c r="T18" s="158"/>
    </row>
    <row r="19" spans="2:20" ht="24.95" customHeight="1" x14ac:dyDescent="0.25">
      <c r="B19" s="108" t="str">
        <f>Matriz!A607</f>
        <v>R13</v>
      </c>
      <c r="C19" s="131" t="str">
        <f>Matriz!B607</f>
        <v>Descripción R13</v>
      </c>
      <c r="D19" s="110" t="str">
        <f>Matriz!AB607</f>
        <v/>
      </c>
      <c r="E19" s="110" t="str">
        <f>Matriz!AC607</f>
        <v/>
      </c>
      <c r="F19" s="110" t="str">
        <f>Matriz!AD607</f>
        <v/>
      </c>
      <c r="G19" s="110" t="str">
        <f>Matriz!BD607</f>
        <v/>
      </c>
      <c r="H19" s="110" t="str">
        <f>Matriz!BE607</f>
        <v/>
      </c>
      <c r="I19" s="110" t="str">
        <f>Matriz!BG607</f>
        <v/>
      </c>
      <c r="J19" s="114" t="str">
        <f t="shared" si="0"/>
        <v/>
      </c>
      <c r="K19" s="114" t="str">
        <f t="shared" si="1"/>
        <v/>
      </c>
      <c r="L19" s="114" t="str">
        <f t="shared" si="2"/>
        <v/>
      </c>
      <c r="M19" s="114" t="str">
        <f t="shared" si="3"/>
        <v/>
      </c>
      <c r="N19" s="115" t="str">
        <f t="shared" si="8"/>
        <v>-</v>
      </c>
      <c r="O19" s="78" t="str">
        <f t="shared" si="9"/>
        <v>-</v>
      </c>
      <c r="P19" s="78" t="str">
        <f t="shared" si="4"/>
        <v/>
      </c>
      <c r="Q19" s="78" t="str">
        <f t="shared" si="5"/>
        <v/>
      </c>
      <c r="R19" s="158"/>
      <c r="S19" s="158"/>
      <c r="T19" s="158"/>
    </row>
    <row r="20" spans="2:20" ht="24.95" customHeight="1" x14ac:dyDescent="0.25">
      <c r="B20" s="108" t="str">
        <f>Matriz!A657</f>
        <v>R14</v>
      </c>
      <c r="C20" s="131" t="str">
        <f>Matriz!B657</f>
        <v>Descripción R14</v>
      </c>
      <c r="D20" s="110" t="str">
        <f>Matriz!AB657</f>
        <v/>
      </c>
      <c r="E20" s="110" t="str">
        <f>Matriz!AC657</f>
        <v/>
      </c>
      <c r="F20" s="110" t="str">
        <f>Matriz!AD657</f>
        <v/>
      </c>
      <c r="G20" s="110" t="str">
        <f>Matriz!BD657</f>
        <v/>
      </c>
      <c r="H20" s="110" t="str">
        <f>Matriz!BE657</f>
        <v/>
      </c>
      <c r="I20" s="110" t="str">
        <f>Matriz!BG657</f>
        <v/>
      </c>
      <c r="J20" s="114" t="str">
        <f t="shared" si="0"/>
        <v/>
      </c>
      <c r="K20" s="114" t="str">
        <f t="shared" si="1"/>
        <v/>
      </c>
      <c r="L20" s="114" t="str">
        <f t="shared" si="2"/>
        <v/>
      </c>
      <c r="M20" s="114" t="str">
        <f t="shared" si="3"/>
        <v/>
      </c>
      <c r="N20" s="115" t="str">
        <f t="shared" si="8"/>
        <v>-</v>
      </c>
      <c r="O20" s="78" t="str">
        <f t="shared" si="9"/>
        <v>-</v>
      </c>
      <c r="P20" s="78" t="str">
        <f t="shared" si="4"/>
        <v/>
      </c>
      <c r="Q20" s="78" t="str">
        <f t="shared" si="5"/>
        <v/>
      </c>
      <c r="R20" s="158"/>
      <c r="S20" s="158"/>
      <c r="T20" s="158"/>
    </row>
    <row r="21" spans="2:20" ht="24.95" customHeight="1" x14ac:dyDescent="0.25">
      <c r="B21" s="108" t="str">
        <f>Matriz!A707</f>
        <v>R15</v>
      </c>
      <c r="C21" s="131" t="str">
        <f>Matriz!B707</f>
        <v>Descripción R15</v>
      </c>
      <c r="D21" s="110" t="str">
        <f>Matriz!AB707</f>
        <v/>
      </c>
      <c r="E21" s="110" t="str">
        <f>Matriz!AC707</f>
        <v/>
      </c>
      <c r="F21" s="110" t="str">
        <f>Matriz!AD707</f>
        <v/>
      </c>
      <c r="G21" s="110" t="str">
        <f>Matriz!BD707</f>
        <v/>
      </c>
      <c r="H21" s="110" t="str">
        <f>Matriz!BE707</f>
        <v/>
      </c>
      <c r="I21" s="110" t="str">
        <f>Matriz!BG707</f>
        <v/>
      </c>
      <c r="J21" s="114" t="str">
        <f t="shared" si="0"/>
        <v/>
      </c>
      <c r="K21" s="114" t="str">
        <f t="shared" si="1"/>
        <v/>
      </c>
      <c r="L21" s="114" t="str">
        <f t="shared" si="2"/>
        <v/>
      </c>
      <c r="M21" s="114" t="str">
        <f t="shared" si="3"/>
        <v/>
      </c>
      <c r="N21" s="115" t="str">
        <f t="shared" si="8"/>
        <v>-</v>
      </c>
      <c r="O21" s="78" t="str">
        <f t="shared" si="9"/>
        <v>-</v>
      </c>
      <c r="P21" s="78" t="str">
        <f t="shared" si="4"/>
        <v/>
      </c>
      <c r="Q21" s="78" t="str">
        <f t="shared" si="5"/>
        <v/>
      </c>
      <c r="R21" s="158"/>
      <c r="S21" s="158"/>
      <c r="T21" s="158"/>
    </row>
    <row r="22" spans="2:20" ht="24.95" customHeight="1" x14ac:dyDescent="0.25">
      <c r="B22" s="108" t="str">
        <f>Matriz!A757</f>
        <v>R16</v>
      </c>
      <c r="C22" s="131" t="str">
        <f>Matriz!B757</f>
        <v>Descripción R16</v>
      </c>
      <c r="D22" s="110" t="str">
        <f>Matriz!AB757</f>
        <v/>
      </c>
      <c r="E22" s="110" t="str">
        <f>Matriz!AC757</f>
        <v/>
      </c>
      <c r="F22" s="110" t="str">
        <f>Matriz!AD757</f>
        <v/>
      </c>
      <c r="G22" s="110" t="str">
        <f>Matriz!BD757</f>
        <v/>
      </c>
      <c r="H22" s="110" t="str">
        <f>Matriz!BE757</f>
        <v/>
      </c>
      <c r="I22" s="110" t="str">
        <f>Matriz!BG757</f>
        <v/>
      </c>
      <c r="J22" s="114" t="str">
        <f t="shared" si="0"/>
        <v/>
      </c>
      <c r="K22" s="114" t="str">
        <f t="shared" si="1"/>
        <v/>
      </c>
      <c r="L22" s="114" t="str">
        <f t="shared" si="2"/>
        <v/>
      </c>
      <c r="M22" s="114" t="str">
        <f t="shared" si="3"/>
        <v/>
      </c>
      <c r="N22" s="115" t="str">
        <f t="shared" si="8"/>
        <v>-</v>
      </c>
      <c r="O22" s="78" t="str">
        <f t="shared" si="9"/>
        <v>-</v>
      </c>
      <c r="P22" s="78" t="str">
        <f t="shared" si="4"/>
        <v/>
      </c>
      <c r="Q22" s="78" t="str">
        <f t="shared" si="5"/>
        <v/>
      </c>
      <c r="R22" s="158"/>
      <c r="S22" s="158"/>
      <c r="T22" s="158"/>
    </row>
    <row r="23" spans="2:20" ht="24.95" customHeight="1" x14ac:dyDescent="0.25">
      <c r="B23" s="108" t="str">
        <f>Matriz!A807</f>
        <v>R17</v>
      </c>
      <c r="C23" s="131" t="str">
        <f>Matriz!B807</f>
        <v>Descripción R17</v>
      </c>
      <c r="D23" s="110" t="str">
        <f>Matriz!AB807</f>
        <v/>
      </c>
      <c r="E23" s="110" t="str">
        <f>Matriz!AC807</f>
        <v/>
      </c>
      <c r="F23" s="110" t="str">
        <f>Matriz!AD807</f>
        <v/>
      </c>
      <c r="G23" s="110" t="str">
        <f>Matriz!BD807</f>
        <v/>
      </c>
      <c r="H23" s="110" t="str">
        <f>Matriz!BE807</f>
        <v/>
      </c>
      <c r="I23" s="110" t="str">
        <f>Matriz!BG807</f>
        <v/>
      </c>
      <c r="J23" s="114" t="str">
        <f t="shared" si="0"/>
        <v/>
      </c>
      <c r="K23" s="114" t="str">
        <f t="shared" si="1"/>
        <v/>
      </c>
      <c r="L23" s="114" t="str">
        <f t="shared" si="2"/>
        <v/>
      </c>
      <c r="M23" s="114" t="str">
        <f t="shared" si="3"/>
        <v/>
      </c>
      <c r="N23" s="115" t="str">
        <f t="shared" si="8"/>
        <v>-</v>
      </c>
      <c r="O23" s="78" t="str">
        <f t="shared" si="9"/>
        <v>-</v>
      </c>
      <c r="P23" s="78" t="str">
        <f t="shared" si="4"/>
        <v/>
      </c>
      <c r="Q23" s="78" t="str">
        <f t="shared" si="5"/>
        <v/>
      </c>
      <c r="R23" s="158"/>
      <c r="S23" s="158"/>
      <c r="T23" s="158"/>
    </row>
    <row r="24" spans="2:20" ht="24.95" customHeight="1" x14ac:dyDescent="0.25">
      <c r="B24" s="108" t="str">
        <f>Matriz!A857</f>
        <v>R18</v>
      </c>
      <c r="C24" s="131" t="str">
        <f>Matriz!B857</f>
        <v>Descripción R18</v>
      </c>
      <c r="D24" s="110" t="str">
        <f>Matriz!AB857</f>
        <v/>
      </c>
      <c r="E24" s="110" t="str">
        <f>Matriz!AC857</f>
        <v/>
      </c>
      <c r="F24" s="110" t="str">
        <f>Matriz!AD857</f>
        <v/>
      </c>
      <c r="G24" s="110" t="str">
        <f>Matriz!BD857</f>
        <v/>
      </c>
      <c r="H24" s="110" t="str">
        <f>Matriz!BE857</f>
        <v/>
      </c>
      <c r="I24" s="110" t="str">
        <f>Matriz!BG857</f>
        <v/>
      </c>
      <c r="J24" s="114" t="str">
        <f t="shared" si="0"/>
        <v/>
      </c>
      <c r="K24" s="114" t="str">
        <f t="shared" si="1"/>
        <v/>
      </c>
      <c r="L24" s="114" t="str">
        <f t="shared" si="2"/>
        <v/>
      </c>
      <c r="M24" s="114" t="str">
        <f t="shared" si="3"/>
        <v/>
      </c>
      <c r="N24" s="115" t="str">
        <f t="shared" si="8"/>
        <v>-</v>
      </c>
      <c r="O24" s="78" t="str">
        <f t="shared" si="9"/>
        <v>-</v>
      </c>
      <c r="P24" s="78" t="str">
        <f t="shared" si="4"/>
        <v/>
      </c>
      <c r="Q24" s="78" t="str">
        <f t="shared" si="5"/>
        <v/>
      </c>
      <c r="R24" s="158"/>
      <c r="S24" s="158"/>
      <c r="T24" s="158"/>
    </row>
    <row r="25" spans="2:20" ht="24.95" customHeight="1" x14ac:dyDescent="0.25">
      <c r="B25" s="108" t="str">
        <f>Matriz!A907</f>
        <v>R19</v>
      </c>
      <c r="C25" s="131" t="str">
        <f>Matriz!B907</f>
        <v>Descripción R19</v>
      </c>
      <c r="D25" s="110" t="str">
        <f>Matriz!AB907</f>
        <v/>
      </c>
      <c r="E25" s="110" t="str">
        <f>Matriz!AC907</f>
        <v/>
      </c>
      <c r="F25" s="110" t="str">
        <f>Matriz!AD907</f>
        <v/>
      </c>
      <c r="G25" s="110" t="str">
        <f>Matriz!BD907</f>
        <v/>
      </c>
      <c r="H25" s="110" t="str">
        <f>Matriz!BE907</f>
        <v/>
      </c>
      <c r="I25" s="110" t="str">
        <f>Matriz!BG907</f>
        <v/>
      </c>
      <c r="J25" s="114" t="str">
        <f t="shared" si="0"/>
        <v/>
      </c>
      <c r="K25" s="114" t="str">
        <f t="shared" si="1"/>
        <v/>
      </c>
      <c r="L25" s="114" t="str">
        <f t="shared" si="2"/>
        <v/>
      </c>
      <c r="M25" s="114" t="str">
        <f t="shared" si="3"/>
        <v/>
      </c>
      <c r="N25" s="115" t="str">
        <f t="shared" si="8"/>
        <v>-</v>
      </c>
      <c r="O25" s="78" t="str">
        <f t="shared" si="9"/>
        <v>-</v>
      </c>
      <c r="P25" s="78" t="str">
        <f t="shared" si="4"/>
        <v/>
      </c>
      <c r="Q25" s="78" t="str">
        <f t="shared" si="5"/>
        <v/>
      </c>
      <c r="R25" s="158"/>
      <c r="S25" s="158"/>
      <c r="T25" s="158"/>
    </row>
    <row r="26" spans="2:20" ht="24.95" customHeight="1" x14ac:dyDescent="0.25">
      <c r="B26" s="108" t="str">
        <f>Matriz!A957</f>
        <v>R20</v>
      </c>
      <c r="C26" s="131" t="str">
        <f>Matriz!B957</f>
        <v>Descripción R20</v>
      </c>
      <c r="D26" s="110" t="str">
        <f>Matriz!AB957</f>
        <v/>
      </c>
      <c r="E26" s="110" t="str">
        <f>Matriz!AC957</f>
        <v/>
      </c>
      <c r="F26" s="110" t="str">
        <f>Matriz!AD957</f>
        <v/>
      </c>
      <c r="G26" s="110" t="str">
        <f>Matriz!BD957</f>
        <v/>
      </c>
      <c r="H26" s="110" t="str">
        <f>Matriz!BE957</f>
        <v/>
      </c>
      <c r="I26" s="110" t="str">
        <f>Matriz!BG957</f>
        <v/>
      </c>
      <c r="J26" s="114" t="str">
        <f t="shared" si="0"/>
        <v/>
      </c>
      <c r="K26" s="114" t="str">
        <f t="shared" si="1"/>
        <v/>
      </c>
      <c r="L26" s="114" t="str">
        <f t="shared" si="2"/>
        <v/>
      </c>
      <c r="M26" s="114" t="str">
        <f t="shared" si="3"/>
        <v/>
      </c>
      <c r="N26" s="115" t="str">
        <f t="shared" si="8"/>
        <v>-</v>
      </c>
      <c r="O26" s="78" t="str">
        <f t="shared" si="9"/>
        <v>-</v>
      </c>
      <c r="P26" s="78" t="str">
        <f t="shared" si="4"/>
        <v/>
      </c>
      <c r="Q26" s="78" t="str">
        <f t="shared" si="5"/>
        <v/>
      </c>
      <c r="R26" s="159"/>
      <c r="S26" s="159"/>
      <c r="T26" s="159"/>
    </row>
    <row r="27" spans="2:20" x14ac:dyDescent="0.25">
      <c r="J27" s="116"/>
      <c r="K27" s="116"/>
      <c r="L27" s="116"/>
      <c r="M27" s="116"/>
      <c r="N27" s="116"/>
      <c r="O27" s="116"/>
      <c r="P27" s="116"/>
      <c r="Q27" s="116"/>
      <c r="R27" s="116"/>
      <c r="S27" s="116"/>
      <c r="T27" s="116"/>
    </row>
    <row r="28" spans="2:20" x14ac:dyDescent="0.25">
      <c r="J28" s="116"/>
      <c r="K28" s="116"/>
      <c r="L28" s="116"/>
      <c r="M28" s="116"/>
      <c r="N28" s="116"/>
      <c r="O28" s="116"/>
      <c r="P28" s="78">
        <f>SUM(P7:P26)</f>
        <v>14</v>
      </c>
      <c r="Q28" s="78">
        <f>SUM(Q7:Q26)</f>
        <v>13.149999999999999</v>
      </c>
      <c r="R28" s="116"/>
      <c r="S28" s="116"/>
      <c r="T28" s="116"/>
    </row>
  </sheetData>
  <sheetProtection formatRows="0"/>
  <mergeCells count="21">
    <mergeCell ref="R5:R6"/>
    <mergeCell ref="S5:S6"/>
    <mergeCell ref="T5:T6"/>
    <mergeCell ref="R7:R16"/>
    <mergeCell ref="R17:R26"/>
    <mergeCell ref="S7:S16"/>
    <mergeCell ref="T7:T16"/>
    <mergeCell ref="S17:S26"/>
    <mergeCell ref="T17:T26"/>
    <mergeCell ref="D5:F5"/>
    <mergeCell ref="G5:I5"/>
    <mergeCell ref="B5:B6"/>
    <mergeCell ref="C5:C6"/>
    <mergeCell ref="N5:N6"/>
    <mergeCell ref="J5:J6"/>
    <mergeCell ref="K5:K6"/>
    <mergeCell ref="P5:P6"/>
    <mergeCell ref="Q5:Q6"/>
    <mergeCell ref="L5:L6"/>
    <mergeCell ref="M5:M6"/>
    <mergeCell ref="O5:O6"/>
  </mergeCells>
  <conditionalFormatting sqref="D7">
    <cfRule type="containsText" dxfId="1417" priority="799" operator="containsText" text="Muy Alta">
      <formula>NOT(ISERROR(SEARCH("Muy Alta",D7)))</formula>
    </cfRule>
    <cfRule type="containsText" dxfId="1416" priority="800" operator="containsText" text="Alta">
      <formula>NOT(ISERROR(SEARCH("Alta",D7)))</formula>
    </cfRule>
    <cfRule type="containsText" dxfId="1415" priority="801" operator="containsText" text="Media">
      <formula>NOT(ISERROR(SEARCH("Media",D7)))</formula>
    </cfRule>
    <cfRule type="containsText" dxfId="1414" priority="802" operator="containsText" text="Baja">
      <formula>NOT(ISERROR(SEARCH("Baja",D7)))</formula>
    </cfRule>
    <cfRule type="containsText" dxfId="1413" priority="803" operator="containsText" text="Muy Baja">
      <formula>NOT(ISERROR(SEARCH("Muy Baja",D7)))</formula>
    </cfRule>
  </conditionalFormatting>
  <conditionalFormatting sqref="D8:D16">
    <cfRule type="containsText" dxfId="1412" priority="794" operator="containsText" text="Muy Alta">
      <formula>NOT(ISERROR(SEARCH("Muy Alta",D8)))</formula>
    </cfRule>
    <cfRule type="containsText" dxfId="1411" priority="795" operator="containsText" text="Alta">
      <formula>NOT(ISERROR(SEARCH("Alta",D8)))</formula>
    </cfRule>
    <cfRule type="containsText" dxfId="1410" priority="796" operator="containsText" text="Media">
      <formula>NOT(ISERROR(SEARCH("Media",D8)))</formula>
    </cfRule>
    <cfRule type="containsText" dxfId="1409" priority="797" operator="containsText" text="Baja">
      <formula>NOT(ISERROR(SEARCH("Baja",D8)))</formula>
    </cfRule>
    <cfRule type="containsText" dxfId="1408" priority="798" operator="containsText" text="Muy Baja">
      <formula>NOT(ISERROR(SEARCH("Muy Baja",D8)))</formula>
    </cfRule>
  </conditionalFormatting>
  <conditionalFormatting sqref="G7:G17">
    <cfRule type="containsText" dxfId="1407" priority="789" operator="containsText" text="Muy Alta">
      <formula>NOT(ISERROR(SEARCH("Muy Alta",G7)))</formula>
    </cfRule>
    <cfRule type="containsText" dxfId="1406" priority="790" operator="containsText" text="Alta">
      <formula>NOT(ISERROR(SEARCH("Alta",G7)))</formula>
    </cfRule>
    <cfRule type="containsText" dxfId="1405" priority="791" operator="containsText" text="Media">
      <formula>NOT(ISERROR(SEARCH("Media",G7)))</formula>
    </cfRule>
    <cfRule type="containsText" dxfId="1404" priority="792" operator="containsText" text="Baja">
      <formula>NOT(ISERROR(SEARCH("Baja",G7)))</formula>
    </cfRule>
    <cfRule type="containsText" dxfId="1403" priority="793" operator="containsText" text="Muy Baja">
      <formula>NOT(ISERROR(SEARCH("Muy Baja",G7)))</formula>
    </cfRule>
  </conditionalFormatting>
  <conditionalFormatting sqref="H7:H17">
    <cfRule type="containsText" dxfId="1402" priority="774" operator="containsText" text="Catastrófico">
      <formula>NOT(ISERROR(SEARCH("Catastrófico",H7)))</formula>
    </cfRule>
    <cfRule type="containsText" dxfId="1401" priority="775" operator="containsText" text="Mayor">
      <formula>NOT(ISERROR(SEARCH("Mayor",H7)))</formula>
    </cfRule>
    <cfRule type="containsText" dxfId="1400" priority="776" operator="containsText" text="Moderado">
      <formula>NOT(ISERROR(SEARCH("Moderado",H7)))</formula>
    </cfRule>
    <cfRule type="containsText" dxfId="1399" priority="777" operator="containsText" text="Menor">
      <formula>NOT(ISERROR(SEARCH("Menor",H7)))</formula>
    </cfRule>
    <cfRule type="containsText" dxfId="1398" priority="778" operator="containsText" text="Insignificante">
      <formula>NOT(ISERROR(SEARCH("Insignificante",H7)))</formula>
    </cfRule>
  </conditionalFormatting>
  <conditionalFormatting sqref="F7">
    <cfRule type="containsText" dxfId="1397" priority="770" operator="containsText" text="Extrema">
      <formula>NOT(ISERROR(SEARCH("Extrema",F7)))</formula>
    </cfRule>
    <cfRule type="containsText" dxfId="1396" priority="771" operator="containsText" text="Alta">
      <formula>NOT(ISERROR(SEARCH("Alta",F7)))</formula>
    </cfRule>
    <cfRule type="containsText" dxfId="1395" priority="772" operator="containsText" text="Moderada">
      <formula>NOT(ISERROR(SEARCH("Moderada",F7)))</formula>
    </cfRule>
    <cfRule type="containsText" dxfId="1394" priority="773" operator="containsText" text="Baja">
      <formula>NOT(ISERROR(SEARCH("Baja",F7)))</formula>
    </cfRule>
  </conditionalFormatting>
  <conditionalFormatting sqref="F8:F17">
    <cfRule type="containsText" dxfId="1393" priority="766" operator="containsText" text="Extrema">
      <formula>NOT(ISERROR(SEARCH("Extrema",F8)))</formula>
    </cfRule>
    <cfRule type="containsText" dxfId="1392" priority="767" operator="containsText" text="Alta">
      <formula>NOT(ISERROR(SEARCH("Alta",F8)))</formula>
    </cfRule>
    <cfRule type="containsText" dxfId="1391" priority="768" operator="containsText" text="Moderada">
      <formula>NOT(ISERROR(SEARCH("Moderada",F8)))</formula>
    </cfRule>
    <cfRule type="containsText" dxfId="1390" priority="769" operator="containsText" text="Baja">
      <formula>NOT(ISERROR(SEARCH("Baja",F8)))</formula>
    </cfRule>
  </conditionalFormatting>
  <conditionalFormatting sqref="I7:M7 J8:M26 I8:I17">
    <cfRule type="containsText" dxfId="1389" priority="762" operator="containsText" text="Extrema">
      <formula>NOT(ISERROR(SEARCH("Extrema",I7)))</formula>
    </cfRule>
    <cfRule type="containsText" dxfId="1388" priority="763" operator="containsText" text="Alta">
      <formula>NOT(ISERROR(SEARCH("Alta",I7)))</formula>
    </cfRule>
    <cfRule type="containsText" dxfId="1387" priority="764" operator="containsText" text="Moderada">
      <formula>NOT(ISERROR(SEARCH("Moderada",I7)))</formula>
    </cfRule>
    <cfRule type="containsText" dxfId="1386" priority="765" operator="containsText" text="Baja">
      <formula>NOT(ISERROR(SEARCH("Baja",I7)))</formula>
    </cfRule>
  </conditionalFormatting>
  <conditionalFormatting sqref="E7:E17">
    <cfRule type="containsText" dxfId="1385" priority="1" operator="containsText" text="Catastrófico">
      <formula>NOT(ISERROR(SEARCH("Catastrófico",E7)))</formula>
    </cfRule>
    <cfRule type="containsText" dxfId="1384" priority="2" operator="containsText" text="Mayor">
      <formula>NOT(ISERROR(SEARCH("Mayor",E7)))</formula>
    </cfRule>
    <cfRule type="containsText" dxfId="1383" priority="3" operator="containsText" text="Moderado">
      <formula>NOT(ISERROR(SEARCH("Moderado",E7)))</formula>
    </cfRule>
    <cfRule type="containsText" dxfId="1382" priority="4" operator="containsText" text="Menor">
      <formula>NOT(ISERROR(SEARCH("Menor",E7)))</formula>
    </cfRule>
    <cfRule type="containsText" dxfId="1381" priority="5" operator="containsText" text="Insignificante">
      <formula>NOT(ISERROR(SEARCH("Insignificante",E7)))</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dimension ref="A1:BL1011"/>
  <sheetViews>
    <sheetView tabSelected="1" zoomScale="85" zoomScaleNormal="85" workbookViewId="0">
      <pane xSplit="1" ySplit="6" topLeftCell="B7" activePane="bottomRight" state="frozen"/>
      <selection pane="topRight" activeCell="B1" sqref="B1"/>
      <selection pane="bottomLeft" activeCell="A2" sqref="A2"/>
      <selection pane="bottomRight" activeCell="B7" sqref="B7:B56"/>
    </sheetView>
  </sheetViews>
  <sheetFormatPr baseColWidth="10" defaultColWidth="0" defaultRowHeight="15" x14ac:dyDescent="0.25"/>
  <cols>
    <col min="1" max="1" width="13.85546875" style="52" customWidth="1"/>
    <col min="2" max="2" width="25.42578125" style="52" customWidth="1"/>
    <col min="3" max="3" width="16.5703125" style="53" customWidth="1"/>
    <col min="4" max="4" width="38.5703125" style="53" customWidth="1"/>
    <col min="5" max="5" width="12.7109375" style="53" customWidth="1"/>
    <col min="6" max="6" width="9" style="53" hidden="1" customWidth="1"/>
    <col min="7" max="8" width="15.140625" style="53" customWidth="1"/>
    <col min="9" max="9" width="19" style="53" customWidth="1"/>
    <col min="10" max="10" width="18.7109375" style="53" customWidth="1"/>
    <col min="11" max="11" width="19.7109375" style="53" bestFit="1" customWidth="1"/>
    <col min="12" max="14" width="2.140625" style="53" hidden="1" customWidth="1"/>
    <col min="15" max="15" width="3" style="53" hidden="1" customWidth="1"/>
    <col min="16" max="16" width="2.140625" style="53" hidden="1" customWidth="1"/>
    <col min="17" max="17" width="11" style="53" hidden="1" customWidth="1"/>
    <col min="18" max="18" width="16.140625" style="53" customWidth="1"/>
    <col min="19" max="19" width="16.85546875" style="53" customWidth="1"/>
    <col min="20" max="20" width="15.140625" style="53" customWidth="1"/>
    <col min="21" max="21" width="20.42578125" style="53" customWidth="1"/>
    <col min="22" max="22" width="18.42578125" style="53" customWidth="1"/>
    <col min="23" max="24" width="13.140625" style="53" customWidth="1"/>
    <col min="25" max="25" width="9.7109375" style="54" hidden="1" customWidth="1"/>
    <col min="26" max="26" width="10.85546875" style="54" hidden="1" customWidth="1"/>
    <col min="27" max="27" width="10.42578125" style="54" hidden="1" customWidth="1"/>
    <col min="28" max="28" width="12.85546875" style="54" customWidth="1"/>
    <col min="29" max="29" width="13.42578125" style="54" customWidth="1"/>
    <col min="30" max="30" width="14.42578125" style="54" customWidth="1"/>
    <col min="31" max="31" width="11.28515625" style="54" customWidth="1"/>
    <col min="32" max="32" width="92.85546875" style="54" customWidth="1"/>
    <col min="33" max="33" width="17.140625" style="54" customWidth="1"/>
    <col min="34" max="34" width="10.7109375" style="54" bestFit="1" customWidth="1"/>
    <col min="35" max="35" width="15.5703125" style="54" bestFit="1" customWidth="1"/>
    <col min="36" max="36" width="9.42578125" style="54" bestFit="1" customWidth="1"/>
    <col min="37" max="37" width="17.140625" style="54" bestFit="1" customWidth="1"/>
    <col min="38" max="38" width="26.85546875" style="54" bestFit="1" customWidth="1"/>
    <col min="39" max="39" width="18.85546875" style="54" customWidth="1"/>
    <col min="40" max="40" width="16.42578125" style="54" customWidth="1"/>
    <col min="41" max="41" width="26.42578125" style="54" bestFit="1" customWidth="1"/>
    <col min="42" max="42" width="12.140625" style="54" bestFit="1" customWidth="1"/>
    <col min="43" max="43" width="16.85546875" style="54" customWidth="1"/>
    <col min="44" max="44" width="15.85546875" style="111" customWidth="1"/>
    <col min="45" max="45" width="12.42578125" style="111" customWidth="1"/>
    <col min="46" max="46" width="12.7109375" style="111" customWidth="1"/>
    <col min="47" max="47" width="13.7109375" style="111" customWidth="1"/>
    <col min="48" max="49" width="11.7109375" style="111" customWidth="1"/>
    <col min="50" max="50" width="16.5703125" style="111" customWidth="1"/>
    <col min="51" max="51" width="15.5703125" style="111" hidden="1" customWidth="1"/>
    <col min="52" max="52" width="14.28515625" style="111" customWidth="1"/>
    <col min="53" max="53" width="11.5703125" style="111" hidden="1" customWidth="1"/>
    <col min="54" max="54" width="13.28515625" style="111" hidden="1" customWidth="1"/>
    <col min="55" max="55" width="14.5703125" style="111" hidden="1" customWidth="1"/>
    <col min="56" max="56" width="14.140625" style="111" customWidth="1"/>
    <col min="57" max="57" width="15.140625" style="111" customWidth="1"/>
    <col min="58" max="58" width="12.7109375" style="111" customWidth="1"/>
    <col min="59" max="59" width="14.7109375" style="113" customWidth="1"/>
    <col min="60" max="60" width="11.42578125" style="54" hidden="1" customWidth="1"/>
    <col min="61" max="61" width="15.140625" style="54" hidden="1" customWidth="1"/>
    <col min="62" max="62" width="11.42578125" style="54" hidden="1" customWidth="1"/>
    <col min="63" max="64" width="0" style="54" hidden="1" customWidth="1"/>
    <col min="65" max="16384" width="11.42578125" style="54" hidden="1"/>
  </cols>
  <sheetData>
    <row r="1" spans="1:60" x14ac:dyDescent="0.25">
      <c r="AR1" s="54"/>
      <c r="AS1" s="54"/>
      <c r="AT1" s="54"/>
      <c r="AU1" s="54"/>
      <c r="AV1" s="54"/>
      <c r="AW1" s="54"/>
      <c r="AX1" s="54"/>
      <c r="AY1" s="54"/>
      <c r="AZ1" s="54"/>
      <c r="BA1" s="54"/>
      <c r="BB1" s="54"/>
      <c r="BC1" s="54"/>
      <c r="BD1" s="54"/>
      <c r="BE1" s="54"/>
      <c r="BF1" s="54"/>
      <c r="BG1" s="53"/>
    </row>
    <row r="2" spans="1:60" x14ac:dyDescent="0.25">
      <c r="AR2" s="54"/>
      <c r="AS2" s="54"/>
      <c r="AT2" s="54"/>
      <c r="AU2" s="54"/>
      <c r="AV2" s="54"/>
      <c r="AW2" s="54"/>
      <c r="AX2" s="54"/>
      <c r="AY2" s="54"/>
      <c r="AZ2" s="54"/>
      <c r="BA2" s="54"/>
      <c r="BB2" s="54"/>
      <c r="BC2" s="54"/>
      <c r="BD2" s="54"/>
      <c r="BE2" s="54"/>
      <c r="BF2" s="54"/>
      <c r="BG2" s="53"/>
    </row>
    <row r="3" spans="1:60" s="51" customFormat="1" x14ac:dyDescent="0.25">
      <c r="A3" s="122"/>
      <c r="B3" s="122"/>
      <c r="C3" s="122"/>
      <c r="D3" s="122"/>
      <c r="E3" s="122"/>
      <c r="F3" s="50"/>
      <c r="G3" s="50"/>
      <c r="H3" s="50"/>
      <c r="I3" s="50"/>
      <c r="J3" s="50"/>
      <c r="K3" s="50"/>
      <c r="L3" s="50"/>
      <c r="M3" s="50"/>
      <c r="N3" s="50"/>
      <c r="O3" s="50"/>
      <c r="P3" s="50"/>
      <c r="Q3" s="50"/>
      <c r="R3" s="50"/>
      <c r="S3" s="50"/>
      <c r="T3" s="50"/>
      <c r="U3" s="50"/>
      <c r="V3" s="50"/>
      <c r="W3" s="50"/>
      <c r="X3" s="50"/>
      <c r="BG3" s="50"/>
    </row>
    <row r="4" spans="1:60" s="51" customFormat="1" x14ac:dyDescent="0.25">
      <c r="A4" s="122"/>
      <c r="B4" s="122"/>
      <c r="C4" s="122"/>
      <c r="D4" s="122"/>
      <c r="E4" s="122"/>
      <c r="F4" s="50"/>
      <c r="G4" s="198" t="s">
        <v>171</v>
      </c>
      <c r="H4" s="198"/>
      <c r="I4" s="198"/>
      <c r="J4" s="198"/>
      <c r="K4" s="198"/>
      <c r="L4" s="50"/>
      <c r="M4" s="50"/>
      <c r="N4" s="50"/>
      <c r="O4" s="50"/>
      <c r="P4" s="50"/>
      <c r="Q4" s="50"/>
      <c r="R4" s="50"/>
      <c r="S4" s="50"/>
      <c r="T4" s="50"/>
      <c r="U4" s="50"/>
      <c r="V4" s="50"/>
      <c r="W4" s="50"/>
      <c r="X4" s="50"/>
      <c r="AV4" s="55"/>
      <c r="AW4" s="55"/>
      <c r="BG4" s="50"/>
    </row>
    <row r="5" spans="1:60" s="51" customFormat="1" ht="15" customHeight="1" x14ac:dyDescent="0.25">
      <c r="A5" s="208" t="s">
        <v>215</v>
      </c>
      <c r="B5" s="213" t="s">
        <v>155</v>
      </c>
      <c r="C5" s="208" t="s">
        <v>116</v>
      </c>
      <c r="D5" s="213" t="s">
        <v>156</v>
      </c>
      <c r="E5" s="210" t="s">
        <v>92</v>
      </c>
      <c r="F5" s="203" t="s">
        <v>2</v>
      </c>
      <c r="G5" s="211" t="s">
        <v>108</v>
      </c>
      <c r="H5" s="211" t="s">
        <v>109</v>
      </c>
      <c r="I5" s="211" t="s">
        <v>117</v>
      </c>
      <c r="J5" s="211" t="s">
        <v>118</v>
      </c>
      <c r="K5" s="211" t="s">
        <v>119</v>
      </c>
      <c r="L5" s="212" t="s">
        <v>110</v>
      </c>
      <c r="M5" s="203"/>
      <c r="N5" s="203"/>
      <c r="O5" s="203"/>
      <c r="P5" s="203"/>
      <c r="Q5" s="203" t="s">
        <v>112</v>
      </c>
      <c r="R5" s="199" t="s">
        <v>111</v>
      </c>
      <c r="S5" s="205" t="s">
        <v>179</v>
      </c>
      <c r="T5" s="206"/>
      <c r="U5" s="206"/>
      <c r="V5" s="206"/>
      <c r="W5" s="207"/>
      <c r="X5" s="209" t="s">
        <v>93</v>
      </c>
      <c r="Y5" s="203" t="s">
        <v>62</v>
      </c>
      <c r="Z5" s="203" t="s">
        <v>8</v>
      </c>
      <c r="AA5" s="203" t="s">
        <v>9</v>
      </c>
      <c r="AB5" s="199" t="s">
        <v>172</v>
      </c>
      <c r="AC5" s="199" t="s">
        <v>173</v>
      </c>
      <c r="AD5" s="199" t="s">
        <v>63</v>
      </c>
      <c r="AE5" s="204" t="s">
        <v>120</v>
      </c>
      <c r="AF5" s="200" t="s">
        <v>157</v>
      </c>
      <c r="AG5" s="214" t="s">
        <v>223</v>
      </c>
      <c r="AH5" s="198" t="s">
        <v>134</v>
      </c>
      <c r="AI5" s="198"/>
      <c r="AJ5" s="198"/>
      <c r="AK5" s="198"/>
      <c r="AL5" s="198"/>
      <c r="AM5" s="198"/>
      <c r="AN5" s="198" t="s">
        <v>135</v>
      </c>
      <c r="AO5" s="198"/>
      <c r="AP5" s="198"/>
      <c r="AQ5" s="198"/>
      <c r="AR5" s="199" t="s">
        <v>78</v>
      </c>
      <c r="AS5" s="199" t="s">
        <v>80</v>
      </c>
      <c r="AT5" s="199" t="s">
        <v>79</v>
      </c>
      <c r="AU5" s="199" t="s">
        <v>83</v>
      </c>
      <c r="AV5" s="199" t="s">
        <v>149</v>
      </c>
      <c r="AW5" s="199" t="s">
        <v>150</v>
      </c>
      <c r="AX5" s="199" t="s">
        <v>87</v>
      </c>
      <c r="AY5" s="202" t="s">
        <v>151</v>
      </c>
      <c r="AZ5" s="199" t="s">
        <v>86</v>
      </c>
      <c r="BA5" s="203" t="s">
        <v>152</v>
      </c>
      <c r="BB5" s="203" t="s">
        <v>88</v>
      </c>
      <c r="BC5" s="203" t="s">
        <v>89</v>
      </c>
      <c r="BD5" s="199" t="s">
        <v>90</v>
      </c>
      <c r="BE5" s="199" t="s">
        <v>91</v>
      </c>
      <c r="BF5" s="199" t="s">
        <v>93</v>
      </c>
      <c r="BG5" s="199" t="s">
        <v>96</v>
      </c>
    </row>
    <row r="6" spans="1:60" s="51" customFormat="1" ht="30" x14ac:dyDescent="0.25">
      <c r="A6" s="209"/>
      <c r="B6" s="208"/>
      <c r="C6" s="209"/>
      <c r="D6" s="208"/>
      <c r="E6" s="211"/>
      <c r="F6" s="203"/>
      <c r="G6" s="211"/>
      <c r="H6" s="211"/>
      <c r="I6" s="211"/>
      <c r="J6" s="211"/>
      <c r="K6" s="211"/>
      <c r="L6" s="212"/>
      <c r="M6" s="203"/>
      <c r="N6" s="203"/>
      <c r="O6" s="203"/>
      <c r="P6" s="203"/>
      <c r="Q6" s="203"/>
      <c r="R6" s="199"/>
      <c r="S6" s="56" t="s">
        <v>174</v>
      </c>
      <c r="T6" s="56" t="s">
        <v>175</v>
      </c>
      <c r="U6" s="56" t="s">
        <v>176</v>
      </c>
      <c r="V6" s="56" t="s">
        <v>177</v>
      </c>
      <c r="W6" s="56" t="s">
        <v>178</v>
      </c>
      <c r="X6" s="209"/>
      <c r="Y6" s="203"/>
      <c r="Z6" s="203"/>
      <c r="AA6" s="203"/>
      <c r="AB6" s="199"/>
      <c r="AC6" s="199"/>
      <c r="AD6" s="199"/>
      <c r="AE6" s="204"/>
      <c r="AF6" s="201"/>
      <c r="AG6" s="208"/>
      <c r="AH6" s="57" t="s">
        <v>64</v>
      </c>
      <c r="AI6" s="57" t="s">
        <v>65</v>
      </c>
      <c r="AJ6" s="57" t="s">
        <v>122</v>
      </c>
      <c r="AK6" s="57" t="s">
        <v>132</v>
      </c>
      <c r="AL6" s="57" t="s">
        <v>128</v>
      </c>
      <c r="AM6" s="58" t="s">
        <v>76</v>
      </c>
      <c r="AN6" s="57" t="s">
        <v>136</v>
      </c>
      <c r="AO6" s="57" t="s">
        <v>140</v>
      </c>
      <c r="AP6" s="57" t="s">
        <v>144</v>
      </c>
      <c r="AQ6" s="58" t="s">
        <v>77</v>
      </c>
      <c r="AR6" s="199"/>
      <c r="AS6" s="199"/>
      <c r="AT6" s="199"/>
      <c r="AU6" s="199"/>
      <c r="AV6" s="199"/>
      <c r="AW6" s="199"/>
      <c r="AX6" s="199"/>
      <c r="AY6" s="202"/>
      <c r="AZ6" s="199"/>
      <c r="BA6" s="203"/>
      <c r="BB6" s="203"/>
      <c r="BC6" s="203"/>
      <c r="BD6" s="199"/>
      <c r="BE6" s="199"/>
      <c r="BF6" s="199"/>
      <c r="BG6" s="199"/>
    </row>
    <row r="7" spans="1:60" s="51" customFormat="1" x14ac:dyDescent="0.25">
      <c r="A7" s="148" t="s">
        <v>221</v>
      </c>
      <c r="B7" s="219" t="s">
        <v>232</v>
      </c>
      <c r="C7" s="161" t="s">
        <v>14</v>
      </c>
      <c r="D7" s="160" t="s">
        <v>244</v>
      </c>
      <c r="E7" s="149" t="s">
        <v>5</v>
      </c>
      <c r="F7" s="163">
        <f t="shared" ref="F7:F67" si="0">IFERROR(VLOOKUP(E7, tabla01, 3, 0), "")</f>
        <v>3</v>
      </c>
      <c r="G7" s="148" t="s">
        <v>55</v>
      </c>
      <c r="H7" s="148" t="s">
        <v>56</v>
      </c>
      <c r="I7" s="148" t="s">
        <v>54</v>
      </c>
      <c r="J7" s="148" t="s">
        <v>55</v>
      </c>
      <c r="K7" s="148" t="s">
        <v>54</v>
      </c>
      <c r="L7" s="165">
        <f>IFERROR(VLOOKUP(G7, tabla02, 2, 0), "")</f>
        <v>3</v>
      </c>
      <c r="M7" s="165">
        <f>IFERROR(VLOOKUP(H7, tabla02, 2, 0), "")</f>
        <v>4</v>
      </c>
      <c r="N7" s="165">
        <f>IFERROR(VLOOKUP(I7, tabla02, 2, 0), "")</f>
        <v>2</v>
      </c>
      <c r="O7" s="165">
        <f>IFERROR(VLOOKUP(J7, tabla02, 2, 0), "")</f>
        <v>3</v>
      </c>
      <c r="P7" s="165">
        <f>IFERROR(VLOOKUP(K7, tabla02, 2, 0), "")</f>
        <v>2</v>
      </c>
      <c r="Q7" s="165">
        <f>IF(SUM(L7:P7)=0, "", MAX(L7:P7))</f>
        <v>4</v>
      </c>
      <c r="R7" s="159" t="str">
        <f>IFERROR(VLOOKUP(Q7, tabla04, 3, 0), "")</f>
        <v>Mayor</v>
      </c>
      <c r="S7" s="148"/>
      <c r="T7" s="148"/>
      <c r="U7" s="148" t="s">
        <v>251</v>
      </c>
      <c r="V7" s="148"/>
      <c r="W7" s="148"/>
      <c r="X7" s="164" t="str">
        <f>IFERROR(VLOOKUP(CONCATENATE(F7, "-", Q7), cuadrante_sev, 3, 0), "")</f>
        <v>Extrema</v>
      </c>
      <c r="Y7" s="163">
        <f>IFERROR(IF(X7="Baja", 1, IF(X7="Moderada", 2, IF(X7="Alta", 3, IF(X7="Extrema", 4, "")))), "")</f>
        <v>4</v>
      </c>
      <c r="Z7" s="171">
        <f>MAX(F7:F56)</f>
        <v>3</v>
      </c>
      <c r="AA7" s="187">
        <f>MAX(Q7:Q56)</f>
        <v>4</v>
      </c>
      <c r="AB7" s="171" t="str">
        <f>IFERROR(VLOOKUP(Z7, tabla04, 2, 0), "")</f>
        <v>Media</v>
      </c>
      <c r="AC7" s="171" t="str">
        <f>IFERROR(VLOOKUP(AA7, tabla04, 3, 0), "")</f>
        <v>Mayor</v>
      </c>
      <c r="AD7" s="174" t="str">
        <f>IFERROR(VLOOKUP(CONCATENATE(Z7, "-", AA7), cuadrante_sev, 3, 0), "")</f>
        <v>Extrema</v>
      </c>
      <c r="AE7" s="59" t="s">
        <v>113</v>
      </c>
      <c r="AF7" s="132" t="s">
        <v>237</v>
      </c>
      <c r="AG7" s="60"/>
      <c r="AH7" s="61" t="s">
        <v>68</v>
      </c>
      <c r="AI7" s="61" t="s">
        <v>71</v>
      </c>
      <c r="AJ7" s="61" t="s">
        <v>74</v>
      </c>
      <c r="AK7" s="61" t="s">
        <v>124</v>
      </c>
      <c r="AL7" s="61" t="s">
        <v>130</v>
      </c>
      <c r="AM7" s="79">
        <f>IFERROR((Tablas!$C$1*VLOOKUP(AH7, tipo_control, 2, 0)+Tablas!$E$1*VLOOKUP(AI7, nat_control, 2, 0)+Tablas!$G$1*VLOOKUP(AJ7, ev_control, 2, 0)+Tablas!$I$1*VLOOKUP(AK7, frec_control, 2, 0)+Tablas!$K$1*VLOOKUP(AL7, doc_control, 2, 0))*0.1*peso_dis, "")</f>
        <v>0.21600000000000003</v>
      </c>
      <c r="AN7" s="61" t="s">
        <v>138</v>
      </c>
      <c r="AO7" s="61" t="s">
        <v>142</v>
      </c>
      <c r="AP7" s="61" t="s">
        <v>146</v>
      </c>
      <c r="AQ7" s="79">
        <f>IFERROR((Tablas!$C$9*VLOOKUP(AN7, amb_control, 2, 0)+Tablas!$E$9*VLOOKUP(AO7, ejec_control, 2, 0)+Tablas!$G$9*VLOOKUP(AP7, cub_control, 2, 0))*0.1*peso_ejec, "")</f>
        <v>0.3</v>
      </c>
      <c r="AR7" s="89">
        <f>IFERROR(AM7+AQ7, "")</f>
        <v>0.51600000000000001</v>
      </c>
      <c r="AS7" s="87" t="str">
        <f t="shared" ref="AS7:AS31" si="1">IFERROR(VLOOKUP(AH7, tabla03, 12, 0), "")</f>
        <v>No</v>
      </c>
      <c r="AT7" s="87" t="str">
        <f t="shared" ref="AT7:AT31" si="2">IFERROR(VLOOKUP(AH7, tabla03, 13, 0), "")</f>
        <v>Sí</v>
      </c>
      <c r="AU7" s="87">
        <f>IF(AR7&lt;Tablas!$G$19, 0, IF(AND(AR7&gt;=Tablas!$G$19, AR7&lt;Tablas!$G$20), 1,  IF(AND(AR7&gt;=Tablas!$G$20, AR7&lt;Tablas!$G$21), 2,  IF(AND(AR7&gt;=Tablas!$G$21, AR7&lt;=Tablas!$G$22), 3,  ""))))</f>
        <v>1</v>
      </c>
      <c r="AV7" s="87" t="str">
        <f>IF(AS7="Sí",AU7,"")</f>
        <v/>
      </c>
      <c r="AW7" s="90">
        <f>IF(AT7="Sí",AU7,"")</f>
        <v>1</v>
      </c>
      <c r="AX7" s="177" t="str">
        <f>IFERROR(VLOOKUP(AY7, tabla04, 2, 0), "")</f>
        <v>Media</v>
      </c>
      <c r="AY7" s="169">
        <f>IF(F7="", "", IF((F7-MAX(AV7:AV11))&lt;=0, 1, F7-MAX(AV7:AV11)))</f>
        <v>3</v>
      </c>
      <c r="AZ7" s="177" t="str">
        <f>IFERROR(VLOOKUP(BA7, tabla04, 3, 0), "")</f>
        <v>Moderado</v>
      </c>
      <c r="BA7" s="169">
        <f>IF(Q7="", "", IF((Q7-MAX(AW7:AW11))&lt;=0, 1, Q7-MAX(AW7:AW11)))</f>
        <v>3</v>
      </c>
      <c r="BB7" s="169">
        <f>IFERROR(MAX(AY7:AY56), "")</f>
        <v>3</v>
      </c>
      <c r="BC7" s="169">
        <f>IFERROR(MAX(BA7:BA56), "")</f>
        <v>4</v>
      </c>
      <c r="BD7" s="215" t="str">
        <f>IFERROR(VLOOKUP(BB7, tabla04, 2, 0), "")</f>
        <v>Media</v>
      </c>
      <c r="BE7" s="215" t="str">
        <f>IFERROR(VLOOKUP(BC7, tabla04, 3, 0), "")</f>
        <v>Mayor</v>
      </c>
      <c r="BF7" s="177" t="str">
        <f>IFERROR(VLOOKUP(CONCATENATE(AY7, "-", BA7), cuadrante_sev, 3, 0), "")</f>
        <v>Alta</v>
      </c>
      <c r="BG7" s="169" t="str">
        <f>IFERROR(VLOOKUP(CONCATENATE(BB7, "-", BC7), cuadrante_sev, 3, 0), "")</f>
        <v>Extrema</v>
      </c>
    </row>
    <row r="8" spans="1:60" s="51" customFormat="1" x14ac:dyDescent="0.25">
      <c r="A8" s="167"/>
      <c r="B8" s="220"/>
      <c r="C8" s="161"/>
      <c r="D8" s="160"/>
      <c r="E8" s="161"/>
      <c r="F8" s="164"/>
      <c r="G8" s="167"/>
      <c r="H8" s="167"/>
      <c r="I8" s="167"/>
      <c r="J8" s="167"/>
      <c r="K8" s="167"/>
      <c r="L8" s="166"/>
      <c r="M8" s="166"/>
      <c r="N8" s="166"/>
      <c r="O8" s="166"/>
      <c r="P8" s="166"/>
      <c r="Q8" s="166"/>
      <c r="R8" s="177"/>
      <c r="S8" s="167"/>
      <c r="T8" s="167"/>
      <c r="U8" s="167"/>
      <c r="V8" s="167"/>
      <c r="W8" s="167"/>
      <c r="X8" s="164"/>
      <c r="Y8" s="164"/>
      <c r="Z8" s="172"/>
      <c r="AA8" s="188"/>
      <c r="AB8" s="172"/>
      <c r="AC8" s="172"/>
      <c r="AD8" s="175"/>
      <c r="AE8" s="62" t="s">
        <v>114</v>
      </c>
      <c r="AF8" s="133"/>
      <c r="AG8" s="63"/>
      <c r="AH8" s="64"/>
      <c r="AI8" s="61"/>
      <c r="AJ8" s="61"/>
      <c r="AK8" s="61"/>
      <c r="AL8" s="61"/>
      <c r="AM8" s="80" t="str">
        <f>IFERROR((Tablas!$C$1*VLOOKUP(AH8, tipo_control, 2, 0)+Tablas!$E$1*VLOOKUP(AI8, nat_control, 2, 0)+Tablas!$G$1*VLOOKUP(AJ8, ev_control, 2, 0)+Tablas!$I$1*VLOOKUP(AK8, frec_control, 2, 0)+Tablas!$K$1*VLOOKUP(AL8, doc_control, 2, 0))*0.1*peso_dis, "")</f>
        <v/>
      </c>
      <c r="AN8" s="61"/>
      <c r="AO8" s="61"/>
      <c r="AP8" s="61"/>
      <c r="AQ8" s="80" t="str">
        <f>IFERROR((Tablas!$C$9*VLOOKUP(AN8, amb_control, 2, 0)+Tablas!$E$9*VLOOKUP(AO8, ejec_control, 2, 0)+Tablas!$G$9*VLOOKUP(AP8, cub_control, 2, 0))*0.1*peso_ejec, "")</f>
        <v/>
      </c>
      <c r="AR8" s="91" t="str">
        <f t="shared" ref="AR8:AR9" si="3">IFERROR(AM8+AQ8, "")</f>
        <v/>
      </c>
      <c r="AS8" s="87" t="str">
        <f t="shared" si="1"/>
        <v/>
      </c>
      <c r="AT8" s="85" t="str">
        <f t="shared" si="2"/>
        <v/>
      </c>
      <c r="AU8" s="85" t="str">
        <f>IF(AR8&lt;Tablas!$G$19, 0, IF(AND(AR8&gt;=Tablas!$G$19, AR8&lt;Tablas!$G$20), 1,  IF(AND(AR8&gt;=Tablas!$G$20, AR8&lt;Tablas!$G$21), 2,  IF(AND(AR8&gt;=Tablas!$G$21, AR8&lt;=Tablas!$G$22), 3,  ""))))</f>
        <v/>
      </c>
      <c r="AV8" s="85" t="str">
        <f t="shared" ref="AV8:AV9" si="4">IF(AS8="Sí",AU8,"")</f>
        <v/>
      </c>
      <c r="AW8" s="92" t="str">
        <f t="shared" ref="AW8:AW9" si="5">IF(AT8="Sí",AU8,"")</f>
        <v/>
      </c>
      <c r="AX8" s="177"/>
      <c r="AY8" s="169"/>
      <c r="AZ8" s="177"/>
      <c r="BA8" s="169"/>
      <c r="BB8" s="169"/>
      <c r="BC8" s="169"/>
      <c r="BD8" s="215"/>
      <c r="BE8" s="215"/>
      <c r="BF8" s="177"/>
      <c r="BG8" s="169"/>
    </row>
    <row r="9" spans="1:60" s="51" customFormat="1" x14ac:dyDescent="0.25">
      <c r="A9" s="167"/>
      <c r="B9" s="220"/>
      <c r="C9" s="161"/>
      <c r="D9" s="160"/>
      <c r="E9" s="161"/>
      <c r="F9" s="164"/>
      <c r="G9" s="167"/>
      <c r="H9" s="167"/>
      <c r="I9" s="167"/>
      <c r="J9" s="167"/>
      <c r="K9" s="167"/>
      <c r="L9" s="166"/>
      <c r="M9" s="166"/>
      <c r="N9" s="166"/>
      <c r="O9" s="166"/>
      <c r="P9" s="166"/>
      <c r="Q9" s="166"/>
      <c r="R9" s="177"/>
      <c r="S9" s="167"/>
      <c r="T9" s="167"/>
      <c r="U9" s="167"/>
      <c r="V9" s="167"/>
      <c r="W9" s="167"/>
      <c r="X9" s="164"/>
      <c r="Y9" s="164"/>
      <c r="Z9" s="172"/>
      <c r="AA9" s="188"/>
      <c r="AB9" s="172"/>
      <c r="AC9" s="172"/>
      <c r="AD9" s="175"/>
      <c r="AE9" s="62" t="s">
        <v>115</v>
      </c>
      <c r="AF9" s="133"/>
      <c r="AG9" s="65"/>
      <c r="AH9" s="64"/>
      <c r="AI9" s="61"/>
      <c r="AJ9" s="61"/>
      <c r="AK9" s="61"/>
      <c r="AL9" s="61"/>
      <c r="AM9" s="80" t="str">
        <f>IFERROR((Tablas!$C$1*VLOOKUP(AH9, tipo_control, 2, 0)+Tablas!$E$1*VLOOKUP(AI9, nat_control, 2, 0)+Tablas!$G$1*VLOOKUP(AJ9, ev_control, 2, 0)+Tablas!$I$1*VLOOKUP(AK9, frec_control, 2, 0)+Tablas!$K$1*VLOOKUP(AL9, doc_control, 2, 0))*0.1*peso_dis, "")</f>
        <v/>
      </c>
      <c r="AN9" s="61"/>
      <c r="AO9" s="61"/>
      <c r="AP9" s="61"/>
      <c r="AQ9" s="80" t="str">
        <f>IFERROR((Tablas!$C$9*VLOOKUP(AN9, amb_control, 2, 0)+Tablas!$E$9*VLOOKUP(AO9, ejec_control, 2, 0)+Tablas!$G$9*VLOOKUP(AP9, cub_control, 2, 0))*0.1*peso_ejec, "")</f>
        <v/>
      </c>
      <c r="AR9" s="91" t="str">
        <f t="shared" si="3"/>
        <v/>
      </c>
      <c r="AS9" s="87" t="str">
        <f t="shared" si="1"/>
        <v/>
      </c>
      <c r="AT9" s="85" t="str">
        <f t="shared" si="2"/>
        <v/>
      </c>
      <c r="AU9" s="85" t="str">
        <f>IF(AR9&lt;Tablas!$G$19, 0, IF(AND(AR9&gt;=Tablas!$G$19, AR9&lt;Tablas!$G$20), 1,  IF(AND(AR9&gt;=Tablas!$G$20, AR9&lt;Tablas!$G$21), 2,  IF(AND(AR9&gt;=Tablas!$G$21, AR9&lt;=Tablas!$G$22), 3,  ""))))</f>
        <v/>
      </c>
      <c r="AV9" s="85" t="str">
        <f t="shared" si="4"/>
        <v/>
      </c>
      <c r="AW9" s="92" t="str">
        <f t="shared" si="5"/>
        <v/>
      </c>
      <c r="AX9" s="177"/>
      <c r="AY9" s="169"/>
      <c r="AZ9" s="177"/>
      <c r="BA9" s="169"/>
      <c r="BB9" s="169"/>
      <c r="BC9" s="169"/>
      <c r="BD9" s="215"/>
      <c r="BE9" s="215"/>
      <c r="BF9" s="177"/>
      <c r="BG9" s="169"/>
    </row>
    <row r="10" spans="1:60" s="51" customFormat="1" x14ac:dyDescent="0.25">
      <c r="A10" s="167"/>
      <c r="B10" s="220"/>
      <c r="C10" s="161"/>
      <c r="D10" s="160"/>
      <c r="E10" s="161"/>
      <c r="F10" s="164"/>
      <c r="G10" s="167"/>
      <c r="H10" s="167"/>
      <c r="I10" s="167"/>
      <c r="J10" s="167"/>
      <c r="K10" s="167"/>
      <c r="L10" s="166"/>
      <c r="M10" s="166"/>
      <c r="N10" s="166"/>
      <c r="O10" s="166"/>
      <c r="P10" s="166"/>
      <c r="Q10" s="166"/>
      <c r="R10" s="177"/>
      <c r="S10" s="167"/>
      <c r="T10" s="167"/>
      <c r="U10" s="167"/>
      <c r="V10" s="167"/>
      <c r="W10" s="167"/>
      <c r="X10" s="164"/>
      <c r="Y10" s="164"/>
      <c r="Z10" s="172"/>
      <c r="AA10" s="188"/>
      <c r="AB10" s="172"/>
      <c r="AC10" s="172"/>
      <c r="AD10" s="175"/>
      <c r="AE10" s="62" t="s">
        <v>153</v>
      </c>
      <c r="AF10" s="133"/>
      <c r="AG10" s="65"/>
      <c r="AH10" s="64"/>
      <c r="AI10" s="61"/>
      <c r="AJ10" s="61"/>
      <c r="AK10" s="61"/>
      <c r="AL10" s="61"/>
      <c r="AM10" s="80" t="str">
        <f>IFERROR((Tablas!$C$1*VLOOKUP(AH10, tipo_control, 2, 0)+Tablas!$E$1*VLOOKUP(AI10, nat_control, 2, 0)+Tablas!$G$1*VLOOKUP(AJ10, ev_control, 2, 0)+Tablas!$I$1*VLOOKUP(AK10, frec_control, 2, 0)+Tablas!$K$1*VLOOKUP(AL10, doc_control, 2, 0))*0.1*peso_dis, "")</f>
        <v/>
      </c>
      <c r="AN10" s="61"/>
      <c r="AO10" s="61"/>
      <c r="AP10" s="61"/>
      <c r="AQ10" s="80" t="str">
        <f>IFERROR((Tablas!$C$9*VLOOKUP(AN10, amb_control, 2, 0)+Tablas!$E$9*VLOOKUP(AO10, ejec_control, 2, 0)+Tablas!$G$9*VLOOKUP(AP10, cub_control, 2, 0))*0.1*peso_ejec, "")</f>
        <v/>
      </c>
      <c r="AR10" s="91" t="str">
        <f t="shared" ref="AR10:AR11" si="6">IFERROR(AM10+AQ10, "")</f>
        <v/>
      </c>
      <c r="AS10" s="87" t="str">
        <f t="shared" si="1"/>
        <v/>
      </c>
      <c r="AT10" s="85" t="str">
        <f t="shared" si="2"/>
        <v/>
      </c>
      <c r="AU10" s="85" t="str">
        <f>IF(AR10&lt;Tablas!$G$19, 0, IF(AND(AR10&gt;=Tablas!$G$19, AR10&lt;Tablas!$G$20), 1,  IF(AND(AR10&gt;=Tablas!$G$20, AR10&lt;Tablas!$G$21), 2,  IF(AND(AR10&gt;=Tablas!$G$21, AR10&lt;=Tablas!$G$22), 3,  ""))))</f>
        <v/>
      </c>
      <c r="AV10" s="85" t="str">
        <f t="shared" ref="AV10:AV11" si="7">IF(AS10="Sí",AU10,"")</f>
        <v/>
      </c>
      <c r="AW10" s="92" t="str">
        <f t="shared" ref="AW10:AW11" si="8">IF(AT10="Sí",AU10,"")</f>
        <v/>
      </c>
      <c r="AX10" s="177"/>
      <c r="AY10" s="169"/>
      <c r="AZ10" s="177"/>
      <c r="BA10" s="169"/>
      <c r="BB10" s="169"/>
      <c r="BC10" s="169"/>
      <c r="BD10" s="215"/>
      <c r="BE10" s="215"/>
      <c r="BF10" s="177"/>
      <c r="BG10" s="169"/>
    </row>
    <row r="11" spans="1:60" s="51" customFormat="1" ht="15.75" thickBot="1" x14ac:dyDescent="0.3">
      <c r="A11" s="167"/>
      <c r="B11" s="220"/>
      <c r="C11" s="161"/>
      <c r="D11" s="160"/>
      <c r="E11" s="161"/>
      <c r="F11" s="165"/>
      <c r="G11" s="149"/>
      <c r="H11" s="149"/>
      <c r="I11" s="149"/>
      <c r="J11" s="149"/>
      <c r="K11" s="149"/>
      <c r="L11" s="166"/>
      <c r="M11" s="166"/>
      <c r="N11" s="166"/>
      <c r="O11" s="166"/>
      <c r="P11" s="166"/>
      <c r="Q11" s="166"/>
      <c r="R11" s="177"/>
      <c r="S11" s="149"/>
      <c r="T11" s="149"/>
      <c r="U11" s="149"/>
      <c r="V11" s="149"/>
      <c r="W11" s="149"/>
      <c r="X11" s="165"/>
      <c r="Y11" s="165"/>
      <c r="Z11" s="172"/>
      <c r="AA11" s="188"/>
      <c r="AB11" s="172"/>
      <c r="AC11" s="172"/>
      <c r="AD11" s="175"/>
      <c r="AE11" s="66" t="s">
        <v>154</v>
      </c>
      <c r="AF11" s="134"/>
      <c r="AG11" s="68"/>
      <c r="AH11" s="64"/>
      <c r="AI11" s="61"/>
      <c r="AJ11" s="61"/>
      <c r="AK11" s="61"/>
      <c r="AL11" s="61"/>
      <c r="AM11" s="81" t="str">
        <f>IFERROR((Tablas!$C$1*VLOOKUP(AH11, tipo_control, 2, 0)+Tablas!$E$1*VLOOKUP(AI11, nat_control, 2, 0)+Tablas!$G$1*VLOOKUP(AJ11, ev_control, 2, 0)+Tablas!$I$1*VLOOKUP(AK11, frec_control, 2, 0)+Tablas!$K$1*VLOOKUP(AL11, doc_control, 2, 0))*0.1*peso_dis, "")</f>
        <v/>
      </c>
      <c r="AN11" s="61"/>
      <c r="AO11" s="61"/>
      <c r="AP11" s="61"/>
      <c r="AQ11" s="81" t="str">
        <f>IFERROR((Tablas!$C$9*VLOOKUP(AN11, amb_control, 2, 0)+Tablas!$E$9*VLOOKUP(AO11, ejec_control, 2, 0)+Tablas!$G$9*VLOOKUP(AP11, cub_control, 2, 0))*0.1*peso_ejec, "")</f>
        <v/>
      </c>
      <c r="AR11" s="93" t="str">
        <f t="shared" si="6"/>
        <v/>
      </c>
      <c r="AS11" s="87" t="str">
        <f t="shared" si="1"/>
        <v/>
      </c>
      <c r="AT11" s="94" t="str">
        <f t="shared" si="2"/>
        <v/>
      </c>
      <c r="AU11" s="94" t="str">
        <f>IF(AR11&lt;Tablas!$G$19, 0, IF(AND(AR11&gt;=Tablas!$G$19, AR11&lt;Tablas!$G$20), 1,  IF(AND(AR11&gt;=Tablas!$G$20, AR11&lt;Tablas!$G$21), 2,  IF(AND(AR11&gt;=Tablas!$G$21, AR11&lt;=Tablas!$G$22), 3,  ""))))</f>
        <v/>
      </c>
      <c r="AV11" s="94" t="str">
        <f t="shared" si="7"/>
        <v/>
      </c>
      <c r="AW11" s="95" t="str">
        <f t="shared" si="8"/>
        <v/>
      </c>
      <c r="AX11" s="157"/>
      <c r="AY11" s="170"/>
      <c r="AZ11" s="157"/>
      <c r="BA11" s="170"/>
      <c r="BB11" s="169"/>
      <c r="BC11" s="169"/>
      <c r="BD11" s="215"/>
      <c r="BE11" s="215"/>
      <c r="BF11" s="177"/>
      <c r="BG11" s="169"/>
    </row>
    <row r="12" spans="1:60" s="51" customFormat="1" x14ac:dyDescent="0.25">
      <c r="A12" s="167"/>
      <c r="B12" s="220"/>
      <c r="C12" s="161" t="s">
        <v>15</v>
      </c>
      <c r="D12" s="160" t="s">
        <v>245</v>
      </c>
      <c r="E12" s="149" t="s">
        <v>5</v>
      </c>
      <c r="F12" s="163">
        <f t="shared" si="0"/>
        <v>3</v>
      </c>
      <c r="G12" s="148" t="s">
        <v>54</v>
      </c>
      <c r="H12" s="148" t="s">
        <v>54</v>
      </c>
      <c r="I12" s="148" t="s">
        <v>55</v>
      </c>
      <c r="J12" s="148" t="s">
        <v>54</v>
      </c>
      <c r="K12" s="148" t="s">
        <v>55</v>
      </c>
      <c r="L12" s="165">
        <f>IFERROR(VLOOKUP(G12, tabla02, 2, 0), "")</f>
        <v>2</v>
      </c>
      <c r="M12" s="165">
        <f>IFERROR(VLOOKUP(H12, tabla02, 2, 0), "")</f>
        <v>2</v>
      </c>
      <c r="N12" s="165">
        <f>IFERROR(VLOOKUP(I12, tabla02, 2, 0), "")</f>
        <v>3</v>
      </c>
      <c r="O12" s="165">
        <f>IFERROR(VLOOKUP(J12, tabla02, 2, 0), "")</f>
        <v>2</v>
      </c>
      <c r="P12" s="165">
        <f>IFERROR(VLOOKUP(K12, tabla02, 2, 0), "")</f>
        <v>3</v>
      </c>
      <c r="Q12" s="165">
        <f>IF(SUM(L12:P12)=0, "", MAX(L12:P12))</f>
        <v>3</v>
      </c>
      <c r="R12" s="159" t="str">
        <f>IFERROR(VLOOKUP(Q12, tabla04, 3, 0), "")</f>
        <v>Moderado</v>
      </c>
      <c r="S12" s="148" t="s">
        <v>251</v>
      </c>
      <c r="T12" s="148"/>
      <c r="U12" s="148" t="s">
        <v>251</v>
      </c>
      <c r="V12" s="148"/>
      <c r="W12" s="148"/>
      <c r="X12" s="163" t="str">
        <f>IFERROR(VLOOKUP(CONCATENATE(F12, "-", Q12), cuadrante_sev, 3, 0), "")</f>
        <v>Alta</v>
      </c>
      <c r="Y12" s="163">
        <f t="shared" ref="Y12:Y17" si="9">IFERROR(IF(X12="Baja", 1, IF(X12="Moderada", 2, IF(X12="Alta", 3, IF(X12="Extrema", 4, "")))), "")</f>
        <v>3</v>
      </c>
      <c r="Z12" s="172"/>
      <c r="AA12" s="188"/>
      <c r="AB12" s="172"/>
      <c r="AC12" s="172"/>
      <c r="AD12" s="175"/>
      <c r="AE12" s="70" t="s">
        <v>113</v>
      </c>
      <c r="AF12" s="135" t="s">
        <v>246</v>
      </c>
      <c r="AG12" s="71"/>
      <c r="AH12" s="72" t="s">
        <v>69</v>
      </c>
      <c r="AI12" s="72" t="s">
        <v>71</v>
      </c>
      <c r="AJ12" s="72" t="s">
        <v>74</v>
      </c>
      <c r="AK12" s="72" t="s">
        <v>124</v>
      </c>
      <c r="AL12" s="72" t="s">
        <v>130</v>
      </c>
      <c r="AM12" s="82">
        <f>IFERROR((Tablas!$C$1*VLOOKUP(AH12, tipo_control, 2, 0)+Tablas!$E$1*VLOOKUP(AI12, nat_control, 2, 0)+Tablas!$G$1*VLOOKUP(AJ12, ev_control, 2, 0)+Tablas!$I$1*VLOOKUP(AK12, frec_control, 2, 0)+Tablas!$K$1*VLOOKUP(AL12, doc_control, 2, 0))*0.1*peso_dis, "")</f>
        <v>0.27600000000000002</v>
      </c>
      <c r="AN12" s="72" t="s">
        <v>138</v>
      </c>
      <c r="AO12" s="72" t="s">
        <v>142</v>
      </c>
      <c r="AP12" s="72" t="s">
        <v>146</v>
      </c>
      <c r="AQ12" s="82">
        <f>IFERROR((Tablas!$C$9*VLOOKUP(AN12, amb_control, 2, 0)+Tablas!$E$9*VLOOKUP(AO12, ejec_control, 2, 0)+Tablas!$G$9*VLOOKUP(AP12, cub_control, 2, 0))*0.1*peso_ejec, "")</f>
        <v>0.3</v>
      </c>
      <c r="AR12" s="96">
        <f t="shared" ref="AR12:AR31" si="10">IFERROR(AM12+AQ12, "")</f>
        <v>0.57600000000000007</v>
      </c>
      <c r="AS12" s="97" t="str">
        <f t="shared" si="1"/>
        <v>Sí</v>
      </c>
      <c r="AT12" s="87" t="str">
        <f t="shared" si="2"/>
        <v>No</v>
      </c>
      <c r="AU12" s="97">
        <f>IF(AR12&lt;Tablas!$G$19, 0, IF(AND(AR12&gt;=Tablas!$G$19, AR12&lt;Tablas!$G$20), 1,  IF(AND(AR12&gt;=Tablas!$G$20, AR12&lt;Tablas!$G$21), 2,  IF(AND(AR12&gt;=Tablas!$G$21, AR12&lt;=Tablas!$G$22), 3,  ""))))</f>
        <v>1</v>
      </c>
      <c r="AV12" s="97">
        <f t="shared" ref="AV12:AV31" si="11">IF(AS12="Sí",AU12,"")</f>
        <v>1</v>
      </c>
      <c r="AW12" s="98" t="str">
        <f t="shared" ref="AW12:AW31" si="12">IF(AT12="Sí",AU12,"")</f>
        <v/>
      </c>
      <c r="AX12" s="176" t="str">
        <f t="shared" ref="AX12" si="13">IFERROR(VLOOKUP(AY12, tabla04, 2, 0), "")</f>
        <v>Baja</v>
      </c>
      <c r="AY12" s="168">
        <f>IF(F12="", "", IF((F12-MAX(AV12:AV16))&lt;=0, 1, F12-MAX(AV12:AV16)))</f>
        <v>2</v>
      </c>
      <c r="AZ12" s="176" t="str">
        <f t="shared" ref="AZ12" si="14">IFERROR(VLOOKUP(BA12, tabla04, 3, 0), "")</f>
        <v>Moderado</v>
      </c>
      <c r="BA12" s="168">
        <f>IF(Q12="", "", IF((Q12-MAX(AW12:AW16))&lt;=0, 1, Q12-MAX(AW12:AW16)))</f>
        <v>3</v>
      </c>
      <c r="BB12" s="169"/>
      <c r="BC12" s="169"/>
      <c r="BD12" s="215"/>
      <c r="BE12" s="215"/>
      <c r="BF12" s="177" t="str">
        <f t="shared" ref="BF12:BF29" si="15">IFERROR(VLOOKUP(CONCATENATE(AY12, "-", BA12), cuadrante_sev, 3, 0), "")</f>
        <v>Moderada</v>
      </c>
      <c r="BG12" s="169"/>
      <c r="BH12" s="50"/>
    </row>
    <row r="13" spans="1:60" s="51" customFormat="1" x14ac:dyDescent="0.25">
      <c r="A13" s="167"/>
      <c r="B13" s="220"/>
      <c r="C13" s="161"/>
      <c r="D13" s="160"/>
      <c r="E13" s="161"/>
      <c r="F13" s="164"/>
      <c r="G13" s="167"/>
      <c r="H13" s="167"/>
      <c r="I13" s="167"/>
      <c r="J13" s="167"/>
      <c r="K13" s="167"/>
      <c r="L13" s="166"/>
      <c r="M13" s="166"/>
      <c r="N13" s="166"/>
      <c r="O13" s="166"/>
      <c r="P13" s="166"/>
      <c r="Q13" s="166"/>
      <c r="R13" s="177"/>
      <c r="S13" s="167"/>
      <c r="T13" s="167"/>
      <c r="U13" s="167"/>
      <c r="V13" s="167"/>
      <c r="W13" s="167"/>
      <c r="X13" s="164"/>
      <c r="Y13" s="164"/>
      <c r="Z13" s="172"/>
      <c r="AA13" s="188"/>
      <c r="AB13" s="172"/>
      <c r="AC13" s="172"/>
      <c r="AD13" s="175"/>
      <c r="AE13" s="62" t="s">
        <v>114</v>
      </c>
      <c r="AF13" s="133"/>
      <c r="AG13" s="63"/>
      <c r="AH13" s="64"/>
      <c r="AI13" s="64"/>
      <c r="AJ13" s="64"/>
      <c r="AK13" s="64"/>
      <c r="AL13" s="64"/>
      <c r="AM13" s="80" t="str">
        <f>IFERROR((Tablas!$C$1*VLOOKUP(AH13, tipo_control, 2, 0)+Tablas!$E$1*VLOOKUP(AI13, nat_control, 2, 0)+Tablas!$G$1*VLOOKUP(AJ13, ev_control, 2, 0)+Tablas!$I$1*VLOOKUP(AK13, frec_control, 2, 0)+Tablas!$K$1*VLOOKUP(AL13, doc_control, 2, 0))*0.1*peso_dis, "")</f>
        <v/>
      </c>
      <c r="AN13" s="64"/>
      <c r="AO13" s="64"/>
      <c r="AP13" s="64"/>
      <c r="AQ13" s="80" t="str">
        <f>IFERROR((Tablas!$C$9*VLOOKUP(AN13, amb_control, 2, 0)+Tablas!$E$9*VLOOKUP(AO13, ejec_control, 2, 0)+Tablas!$G$9*VLOOKUP(AP13, cub_control, 2, 0))*0.1*peso_ejec, "")</f>
        <v/>
      </c>
      <c r="AR13" s="91" t="str">
        <f t="shared" si="10"/>
        <v/>
      </c>
      <c r="AS13" s="85" t="str">
        <f t="shared" si="1"/>
        <v/>
      </c>
      <c r="AT13" s="85" t="str">
        <f t="shared" si="2"/>
        <v/>
      </c>
      <c r="AU13" s="85" t="str">
        <f>IF(AR13&lt;Tablas!$G$19, 0, IF(AND(AR13&gt;=Tablas!$G$19, AR13&lt;Tablas!$G$20), 1,  IF(AND(AR13&gt;=Tablas!$G$20, AR13&lt;Tablas!$G$21), 2,  IF(AND(AR13&gt;=Tablas!$G$21, AR13&lt;=Tablas!$G$22), 3,  ""))))</f>
        <v/>
      </c>
      <c r="AV13" s="85" t="str">
        <f t="shared" si="11"/>
        <v/>
      </c>
      <c r="AW13" s="92" t="str">
        <f t="shared" si="12"/>
        <v/>
      </c>
      <c r="AX13" s="177"/>
      <c r="AY13" s="169"/>
      <c r="AZ13" s="177"/>
      <c r="BA13" s="169"/>
      <c r="BB13" s="169"/>
      <c r="BC13" s="169"/>
      <c r="BD13" s="215"/>
      <c r="BE13" s="215"/>
      <c r="BF13" s="177" t="str">
        <f t="shared" si="15"/>
        <v/>
      </c>
      <c r="BG13" s="169"/>
      <c r="BH13" s="50"/>
    </row>
    <row r="14" spans="1:60" s="51" customFormat="1" x14ac:dyDescent="0.25">
      <c r="A14" s="167"/>
      <c r="B14" s="220"/>
      <c r="C14" s="161"/>
      <c r="D14" s="160"/>
      <c r="E14" s="161"/>
      <c r="F14" s="164"/>
      <c r="G14" s="167"/>
      <c r="H14" s="167"/>
      <c r="I14" s="167"/>
      <c r="J14" s="167"/>
      <c r="K14" s="167"/>
      <c r="L14" s="166"/>
      <c r="M14" s="166"/>
      <c r="N14" s="166"/>
      <c r="O14" s="166"/>
      <c r="P14" s="166"/>
      <c r="Q14" s="166"/>
      <c r="R14" s="177"/>
      <c r="S14" s="167"/>
      <c r="T14" s="167"/>
      <c r="U14" s="167"/>
      <c r="V14" s="167"/>
      <c r="W14" s="167"/>
      <c r="X14" s="164"/>
      <c r="Y14" s="164"/>
      <c r="Z14" s="172"/>
      <c r="AA14" s="188"/>
      <c r="AB14" s="172"/>
      <c r="AC14" s="172"/>
      <c r="AD14" s="175"/>
      <c r="AE14" s="62" t="s">
        <v>115</v>
      </c>
      <c r="AF14" s="133"/>
      <c r="AG14" s="65"/>
      <c r="AH14" s="64"/>
      <c r="AI14" s="64"/>
      <c r="AJ14" s="64"/>
      <c r="AK14" s="64"/>
      <c r="AL14" s="64"/>
      <c r="AM14" s="80" t="str">
        <f>IFERROR((Tablas!$C$1*VLOOKUP(AH14, tipo_control, 2, 0)+Tablas!$E$1*VLOOKUP(AI14, nat_control, 2, 0)+Tablas!$G$1*VLOOKUP(AJ14, ev_control, 2, 0)+Tablas!$I$1*VLOOKUP(AK14, frec_control, 2, 0)+Tablas!$K$1*VLOOKUP(AL14, doc_control, 2, 0))*0.1*peso_dis, "")</f>
        <v/>
      </c>
      <c r="AN14" s="64"/>
      <c r="AO14" s="64"/>
      <c r="AP14" s="64"/>
      <c r="AQ14" s="80" t="str">
        <f>IFERROR((Tablas!$C$9*VLOOKUP(AN14, amb_control, 2, 0)+Tablas!$E$9*VLOOKUP(AO14, ejec_control, 2, 0)+Tablas!$G$9*VLOOKUP(AP14, cub_control, 2, 0))*0.1*peso_ejec, "")</f>
        <v/>
      </c>
      <c r="AR14" s="91" t="str">
        <f t="shared" si="10"/>
        <v/>
      </c>
      <c r="AS14" s="85" t="str">
        <f t="shared" si="1"/>
        <v/>
      </c>
      <c r="AT14" s="85" t="str">
        <f t="shared" si="2"/>
        <v/>
      </c>
      <c r="AU14" s="85" t="str">
        <f>IF(AR14&lt;Tablas!$G$19, 0, IF(AND(AR14&gt;=Tablas!$G$19, AR14&lt;Tablas!$G$20), 1,  IF(AND(AR14&gt;=Tablas!$G$20, AR14&lt;Tablas!$G$21), 2,  IF(AND(AR14&gt;=Tablas!$G$21, AR14&lt;=Tablas!$G$22), 3,  ""))))</f>
        <v/>
      </c>
      <c r="AV14" s="85" t="str">
        <f t="shared" si="11"/>
        <v/>
      </c>
      <c r="AW14" s="92" t="str">
        <f t="shared" si="12"/>
        <v/>
      </c>
      <c r="AX14" s="177"/>
      <c r="AY14" s="169"/>
      <c r="AZ14" s="177"/>
      <c r="BA14" s="169"/>
      <c r="BB14" s="169"/>
      <c r="BC14" s="169"/>
      <c r="BD14" s="215"/>
      <c r="BE14" s="215"/>
      <c r="BF14" s="177" t="str">
        <f t="shared" si="15"/>
        <v/>
      </c>
      <c r="BG14" s="169"/>
      <c r="BH14" s="50"/>
    </row>
    <row r="15" spans="1:60" s="51" customFormat="1" x14ac:dyDescent="0.25">
      <c r="A15" s="167"/>
      <c r="B15" s="220"/>
      <c r="C15" s="161"/>
      <c r="D15" s="160"/>
      <c r="E15" s="161"/>
      <c r="F15" s="164"/>
      <c r="G15" s="167"/>
      <c r="H15" s="167"/>
      <c r="I15" s="167"/>
      <c r="J15" s="167"/>
      <c r="K15" s="167"/>
      <c r="L15" s="166"/>
      <c r="M15" s="166"/>
      <c r="N15" s="166"/>
      <c r="O15" s="166"/>
      <c r="P15" s="166"/>
      <c r="Q15" s="166"/>
      <c r="R15" s="177"/>
      <c r="S15" s="167"/>
      <c r="T15" s="167"/>
      <c r="U15" s="167"/>
      <c r="V15" s="167"/>
      <c r="W15" s="167"/>
      <c r="X15" s="164"/>
      <c r="Y15" s="164"/>
      <c r="Z15" s="172"/>
      <c r="AA15" s="188"/>
      <c r="AB15" s="172"/>
      <c r="AC15" s="172"/>
      <c r="AD15" s="175"/>
      <c r="AE15" s="62" t="s">
        <v>153</v>
      </c>
      <c r="AF15" s="133"/>
      <c r="AG15" s="65"/>
      <c r="AH15" s="64"/>
      <c r="AI15" s="64"/>
      <c r="AJ15" s="64"/>
      <c r="AK15" s="64"/>
      <c r="AL15" s="64"/>
      <c r="AM15" s="80" t="str">
        <f>IFERROR((Tablas!$C$1*VLOOKUP(AH15, tipo_control, 2, 0)+Tablas!$E$1*VLOOKUP(AI15, nat_control, 2, 0)+Tablas!$G$1*VLOOKUP(AJ15, ev_control, 2, 0)+Tablas!$I$1*VLOOKUP(AK15, frec_control, 2, 0)+Tablas!$K$1*VLOOKUP(AL15, doc_control, 2, 0))*0.1*peso_dis, "")</f>
        <v/>
      </c>
      <c r="AN15" s="64"/>
      <c r="AO15" s="64"/>
      <c r="AP15" s="64"/>
      <c r="AQ15" s="80" t="str">
        <f>IFERROR((Tablas!$C$9*VLOOKUP(AN15, amb_control, 2, 0)+Tablas!$E$9*VLOOKUP(AO15, ejec_control, 2, 0)+Tablas!$G$9*VLOOKUP(AP15, cub_control, 2, 0))*0.1*peso_ejec, "")</f>
        <v/>
      </c>
      <c r="AR15" s="91" t="str">
        <f t="shared" si="10"/>
        <v/>
      </c>
      <c r="AS15" s="85" t="str">
        <f t="shared" si="1"/>
        <v/>
      </c>
      <c r="AT15" s="85" t="str">
        <f t="shared" si="2"/>
        <v/>
      </c>
      <c r="AU15" s="85" t="str">
        <f>IF(AR15&lt;Tablas!$G$19, 0, IF(AND(AR15&gt;=Tablas!$G$19, AR15&lt;Tablas!$G$20), 1,  IF(AND(AR15&gt;=Tablas!$G$20, AR15&lt;Tablas!$G$21), 2,  IF(AND(AR15&gt;=Tablas!$G$21, AR15&lt;=Tablas!$G$22), 3,  ""))))</f>
        <v/>
      </c>
      <c r="AV15" s="85" t="str">
        <f t="shared" si="11"/>
        <v/>
      </c>
      <c r="AW15" s="92" t="str">
        <f t="shared" si="12"/>
        <v/>
      </c>
      <c r="AX15" s="177"/>
      <c r="AY15" s="169"/>
      <c r="AZ15" s="177"/>
      <c r="BA15" s="169"/>
      <c r="BB15" s="169"/>
      <c r="BC15" s="169"/>
      <c r="BD15" s="215"/>
      <c r="BE15" s="215"/>
      <c r="BF15" s="177"/>
      <c r="BG15" s="169"/>
      <c r="BH15" s="50"/>
    </row>
    <row r="16" spans="1:60" s="51" customFormat="1" ht="15.75" thickBot="1" x14ac:dyDescent="0.3">
      <c r="A16" s="167"/>
      <c r="B16" s="220"/>
      <c r="C16" s="161"/>
      <c r="D16" s="160"/>
      <c r="E16" s="161"/>
      <c r="F16" s="165"/>
      <c r="G16" s="149"/>
      <c r="H16" s="149"/>
      <c r="I16" s="149"/>
      <c r="J16" s="149"/>
      <c r="K16" s="149"/>
      <c r="L16" s="166"/>
      <c r="M16" s="166"/>
      <c r="N16" s="166"/>
      <c r="O16" s="166"/>
      <c r="P16" s="166"/>
      <c r="Q16" s="166"/>
      <c r="R16" s="177"/>
      <c r="S16" s="149"/>
      <c r="T16" s="149"/>
      <c r="U16" s="149"/>
      <c r="V16" s="149"/>
      <c r="W16" s="149"/>
      <c r="X16" s="165"/>
      <c r="Y16" s="165"/>
      <c r="Z16" s="172"/>
      <c r="AA16" s="188"/>
      <c r="AB16" s="172"/>
      <c r="AC16" s="172"/>
      <c r="AD16" s="175"/>
      <c r="AE16" s="66" t="s">
        <v>154</v>
      </c>
      <c r="AF16" s="134"/>
      <c r="AG16" s="67"/>
      <c r="AH16" s="69"/>
      <c r="AI16" s="69"/>
      <c r="AJ16" s="69"/>
      <c r="AK16" s="69"/>
      <c r="AL16" s="69"/>
      <c r="AM16" s="81" t="str">
        <f>IFERROR((Tablas!$C$1*VLOOKUP(AH16, tipo_control, 2, 0)+Tablas!$E$1*VLOOKUP(AI16, nat_control, 2, 0)+Tablas!$G$1*VLOOKUP(AJ16, ev_control, 2, 0)+Tablas!$I$1*VLOOKUP(AK16, frec_control, 2, 0)+Tablas!$K$1*VLOOKUP(AL16, doc_control, 2, 0))*0.1*peso_dis, "")</f>
        <v/>
      </c>
      <c r="AN16" s="69"/>
      <c r="AO16" s="69"/>
      <c r="AP16" s="69"/>
      <c r="AQ16" s="81" t="str">
        <f>IFERROR((Tablas!$C$9*VLOOKUP(AN16, amb_control, 2, 0)+Tablas!$E$9*VLOOKUP(AO16, ejec_control, 2, 0)+Tablas!$G$9*VLOOKUP(AP16, cub_control, 2, 0))*0.1*peso_ejec, "")</f>
        <v/>
      </c>
      <c r="AR16" s="93" t="str">
        <f t="shared" si="10"/>
        <v/>
      </c>
      <c r="AS16" s="94" t="str">
        <f t="shared" si="1"/>
        <v/>
      </c>
      <c r="AT16" s="94" t="str">
        <f t="shared" si="2"/>
        <v/>
      </c>
      <c r="AU16" s="94" t="str">
        <f>IF(AR16&lt;Tablas!$G$19, 0, IF(AND(AR16&gt;=Tablas!$G$19, AR16&lt;Tablas!$G$20), 1,  IF(AND(AR16&gt;=Tablas!$G$20, AR16&lt;Tablas!$G$21), 2,  IF(AND(AR16&gt;=Tablas!$G$21, AR16&lt;=Tablas!$G$22), 3,  ""))))</f>
        <v/>
      </c>
      <c r="AV16" s="94" t="str">
        <f t="shared" si="11"/>
        <v/>
      </c>
      <c r="AW16" s="95" t="str">
        <f t="shared" si="12"/>
        <v/>
      </c>
      <c r="AX16" s="157"/>
      <c r="AY16" s="170"/>
      <c r="AZ16" s="157"/>
      <c r="BA16" s="170"/>
      <c r="BB16" s="169"/>
      <c r="BC16" s="169"/>
      <c r="BD16" s="215"/>
      <c r="BE16" s="215"/>
      <c r="BF16" s="177"/>
      <c r="BG16" s="169"/>
      <c r="BH16" s="50"/>
    </row>
    <row r="17" spans="1:64" s="51" customFormat="1" x14ac:dyDescent="0.25">
      <c r="A17" s="167"/>
      <c r="B17" s="220"/>
      <c r="C17" s="161" t="s">
        <v>16</v>
      </c>
      <c r="D17" s="160" t="s">
        <v>250</v>
      </c>
      <c r="E17" s="149" t="s">
        <v>5</v>
      </c>
      <c r="F17" s="163">
        <f t="shared" si="0"/>
        <v>3</v>
      </c>
      <c r="G17" s="148" t="s">
        <v>55</v>
      </c>
      <c r="H17" s="148" t="s">
        <v>56</v>
      </c>
      <c r="I17" s="148" t="s">
        <v>55</v>
      </c>
      <c r="J17" s="148" t="s">
        <v>54</v>
      </c>
      <c r="K17" s="148" t="s">
        <v>55</v>
      </c>
      <c r="L17" s="165">
        <f>IFERROR(VLOOKUP(G17, tabla02, 2, 0), "")</f>
        <v>3</v>
      </c>
      <c r="M17" s="165">
        <f>IFERROR(VLOOKUP(H17, tabla02, 2, 0), "")</f>
        <v>4</v>
      </c>
      <c r="N17" s="165">
        <f>IFERROR(VLOOKUP(I17, tabla02, 2, 0), "")</f>
        <v>3</v>
      </c>
      <c r="O17" s="165">
        <f>IFERROR(VLOOKUP(J17, tabla02, 2, 0), "")</f>
        <v>2</v>
      </c>
      <c r="P17" s="165">
        <f>IFERROR(VLOOKUP(K17, tabla02, 2, 0), "")</f>
        <v>3</v>
      </c>
      <c r="Q17" s="165">
        <f t="shared" ref="Q17" si="16">IF(SUM(L17:P17)=0, "", MAX(L17:P17))</f>
        <v>4</v>
      </c>
      <c r="R17" s="159" t="str">
        <f>IFERROR(VLOOKUP(Q17, tabla04, 3, 0), "")</f>
        <v>Mayor</v>
      </c>
      <c r="S17" s="148" t="s">
        <v>251</v>
      </c>
      <c r="T17" s="148"/>
      <c r="U17" s="148" t="s">
        <v>251</v>
      </c>
      <c r="V17" s="148"/>
      <c r="W17" s="148"/>
      <c r="X17" s="163" t="str">
        <f>IFERROR(VLOOKUP(CONCATENATE(F17, "-", Q17), cuadrante_sev, 3, 0), "")</f>
        <v>Extrema</v>
      </c>
      <c r="Y17" s="163">
        <f t="shared" si="9"/>
        <v>4</v>
      </c>
      <c r="Z17" s="172"/>
      <c r="AA17" s="188"/>
      <c r="AB17" s="172"/>
      <c r="AC17" s="172"/>
      <c r="AD17" s="175"/>
      <c r="AE17" s="70" t="s">
        <v>113</v>
      </c>
      <c r="AF17" s="135" t="s">
        <v>252</v>
      </c>
      <c r="AG17" s="60"/>
      <c r="AH17" s="61" t="s">
        <v>69</v>
      </c>
      <c r="AI17" s="61" t="s">
        <v>71</v>
      </c>
      <c r="AJ17" s="61" t="s">
        <v>74</v>
      </c>
      <c r="AK17" s="61" t="s">
        <v>125</v>
      </c>
      <c r="AL17" s="61" t="s">
        <v>130</v>
      </c>
      <c r="AM17" s="82">
        <f>IFERROR((Tablas!$C$1*VLOOKUP(AH17, tipo_control, 2, 0)+Tablas!$E$1*VLOOKUP(AI17, nat_control, 2, 0)+Tablas!$G$1*VLOOKUP(AJ17, ev_control, 2, 0)+Tablas!$I$1*VLOOKUP(AK17, frec_control, 2, 0)+Tablas!$K$1*VLOOKUP(AL17, doc_control, 2, 0))*0.1*peso_dis, "")</f>
        <v>0.30000000000000004</v>
      </c>
      <c r="AN17" s="61" t="s">
        <v>138</v>
      </c>
      <c r="AO17" s="61" t="s">
        <v>142</v>
      </c>
      <c r="AP17" s="61" t="s">
        <v>146</v>
      </c>
      <c r="AQ17" s="82">
        <f>IFERROR((Tablas!$C$9*VLOOKUP(AN17, amb_control, 2, 0)+Tablas!$E$9*VLOOKUP(AO17, ejec_control, 2, 0)+Tablas!$G$9*VLOOKUP(AP17, cub_control, 2, 0))*0.1*peso_ejec, "")</f>
        <v>0.3</v>
      </c>
      <c r="AR17" s="96">
        <f t="shared" si="10"/>
        <v>0.60000000000000009</v>
      </c>
      <c r="AS17" s="97" t="str">
        <f t="shared" si="1"/>
        <v>Sí</v>
      </c>
      <c r="AT17" s="87" t="str">
        <f t="shared" si="2"/>
        <v>No</v>
      </c>
      <c r="AU17" s="97">
        <f>IF(AR17&lt;Tablas!$G$19, 0, IF(AND(AR17&gt;=Tablas!$G$19, AR17&lt;Tablas!$G$20), 1,  IF(AND(AR17&gt;=Tablas!$G$20, AR17&lt;Tablas!$G$21), 2,  IF(AND(AR17&gt;=Tablas!$G$21, AR17&lt;=Tablas!$G$22), 3,  ""))))</f>
        <v>2</v>
      </c>
      <c r="AV17" s="97">
        <f t="shared" si="11"/>
        <v>2</v>
      </c>
      <c r="AW17" s="98" t="str">
        <f t="shared" si="12"/>
        <v/>
      </c>
      <c r="AX17" s="176" t="str">
        <f t="shared" ref="AX17" si="17">IFERROR(VLOOKUP(AY17, tabla04, 2, 0), "")</f>
        <v>Muy Baja</v>
      </c>
      <c r="AY17" s="168">
        <f>IF(F17="", "", IF((F17-MAX(AV17:AV21))&lt;=0, 1, F17-MAX(AV17:AV21)))</f>
        <v>1</v>
      </c>
      <c r="AZ17" s="178" t="str">
        <f t="shared" ref="AZ17" si="18">IFERROR(VLOOKUP(BA17, tabla04, 3, 0), "")</f>
        <v>Mayor</v>
      </c>
      <c r="BA17" s="168">
        <f>IF(Q17="", "", IF((Q17-MAX(AW17:AW21))&lt;=0, 1, Q17-MAX(AW17:AW21)))</f>
        <v>4</v>
      </c>
      <c r="BB17" s="169"/>
      <c r="BC17" s="169"/>
      <c r="BD17" s="215"/>
      <c r="BE17" s="215"/>
      <c r="BF17" s="177" t="str">
        <f t="shared" si="15"/>
        <v>Alta</v>
      </c>
      <c r="BG17" s="169"/>
      <c r="BH17" s="50"/>
      <c r="BL17" s="73"/>
    </row>
    <row r="18" spans="1:64" s="51" customFormat="1" x14ac:dyDescent="0.25">
      <c r="A18" s="167"/>
      <c r="B18" s="220"/>
      <c r="C18" s="161"/>
      <c r="D18" s="160"/>
      <c r="E18" s="161"/>
      <c r="F18" s="164"/>
      <c r="G18" s="167"/>
      <c r="H18" s="167"/>
      <c r="I18" s="167"/>
      <c r="J18" s="167"/>
      <c r="K18" s="167"/>
      <c r="L18" s="166"/>
      <c r="M18" s="166"/>
      <c r="N18" s="166"/>
      <c r="O18" s="166"/>
      <c r="P18" s="166"/>
      <c r="Q18" s="166"/>
      <c r="R18" s="177"/>
      <c r="S18" s="167"/>
      <c r="T18" s="167"/>
      <c r="U18" s="167"/>
      <c r="V18" s="167"/>
      <c r="W18" s="167"/>
      <c r="X18" s="164"/>
      <c r="Y18" s="164"/>
      <c r="Z18" s="172"/>
      <c r="AA18" s="188"/>
      <c r="AB18" s="172"/>
      <c r="AC18" s="172"/>
      <c r="AD18" s="175"/>
      <c r="AE18" s="62" t="s">
        <v>114</v>
      </c>
      <c r="AF18" s="133"/>
      <c r="AG18" s="65"/>
      <c r="AH18" s="64"/>
      <c r="AI18" s="64"/>
      <c r="AJ18" s="64"/>
      <c r="AK18" s="64"/>
      <c r="AL18" s="64"/>
      <c r="AM18" s="80" t="str">
        <f>IFERROR((Tablas!$C$1*VLOOKUP(AH18, tipo_control, 2, 0)+Tablas!$E$1*VLOOKUP(AI18, nat_control, 2, 0)+Tablas!$G$1*VLOOKUP(AJ18, ev_control, 2, 0)+Tablas!$I$1*VLOOKUP(AK18, frec_control, 2, 0)+Tablas!$K$1*VLOOKUP(AL18, doc_control, 2, 0))*0.1*peso_dis, "")</f>
        <v/>
      </c>
      <c r="AN18" s="64"/>
      <c r="AO18" s="64"/>
      <c r="AP18" s="64"/>
      <c r="AQ18" s="80" t="str">
        <f>IFERROR((Tablas!$C$9*VLOOKUP(AN18, amb_control, 2, 0)+Tablas!$E$9*VLOOKUP(AO18, ejec_control, 2, 0)+Tablas!$G$9*VLOOKUP(AP18, cub_control, 2, 0))*0.1*peso_ejec, "")</f>
        <v/>
      </c>
      <c r="AR18" s="91" t="str">
        <f t="shared" si="10"/>
        <v/>
      </c>
      <c r="AS18" s="85" t="str">
        <f t="shared" si="1"/>
        <v/>
      </c>
      <c r="AT18" s="85" t="str">
        <f t="shared" si="2"/>
        <v/>
      </c>
      <c r="AU18" s="85" t="str">
        <f>IF(AR18&lt;Tablas!$G$19, 0, IF(AND(AR18&gt;=Tablas!$G$19, AR18&lt;Tablas!$G$20), 1,  IF(AND(AR18&gt;=Tablas!$G$20, AR18&lt;Tablas!$G$21), 2,  IF(AND(AR18&gt;=Tablas!$G$21, AR18&lt;=Tablas!$G$22), 3,  ""))))</f>
        <v/>
      </c>
      <c r="AV18" s="85" t="str">
        <f t="shared" si="11"/>
        <v/>
      </c>
      <c r="AW18" s="92" t="str">
        <f t="shared" si="12"/>
        <v/>
      </c>
      <c r="AX18" s="177"/>
      <c r="AY18" s="169"/>
      <c r="AZ18" s="158"/>
      <c r="BA18" s="169"/>
      <c r="BB18" s="169"/>
      <c r="BC18" s="169"/>
      <c r="BD18" s="215"/>
      <c r="BE18" s="215"/>
      <c r="BF18" s="177" t="str">
        <f t="shared" si="15"/>
        <v/>
      </c>
      <c r="BG18" s="169"/>
      <c r="BH18" s="50"/>
      <c r="BL18" s="73"/>
    </row>
    <row r="19" spans="1:64" s="51" customFormat="1" x14ac:dyDescent="0.25">
      <c r="A19" s="167"/>
      <c r="B19" s="220"/>
      <c r="C19" s="161"/>
      <c r="D19" s="160"/>
      <c r="E19" s="161"/>
      <c r="F19" s="164"/>
      <c r="G19" s="167"/>
      <c r="H19" s="167"/>
      <c r="I19" s="167"/>
      <c r="J19" s="167"/>
      <c r="K19" s="167"/>
      <c r="L19" s="166"/>
      <c r="M19" s="166"/>
      <c r="N19" s="166"/>
      <c r="O19" s="166"/>
      <c r="P19" s="166"/>
      <c r="Q19" s="166"/>
      <c r="R19" s="177"/>
      <c r="S19" s="167"/>
      <c r="T19" s="167"/>
      <c r="U19" s="167"/>
      <c r="V19" s="167"/>
      <c r="W19" s="167"/>
      <c r="X19" s="164"/>
      <c r="Y19" s="164"/>
      <c r="Z19" s="172"/>
      <c r="AA19" s="188"/>
      <c r="AB19" s="172"/>
      <c r="AC19" s="172"/>
      <c r="AD19" s="175"/>
      <c r="AE19" s="62" t="s">
        <v>115</v>
      </c>
      <c r="AF19" s="133"/>
      <c r="AG19" s="65"/>
      <c r="AH19" s="64"/>
      <c r="AI19" s="64"/>
      <c r="AJ19" s="64"/>
      <c r="AK19" s="64"/>
      <c r="AL19" s="64"/>
      <c r="AM19" s="80" t="str">
        <f>IFERROR((Tablas!$C$1*VLOOKUP(AH19, tipo_control, 2, 0)+Tablas!$E$1*VLOOKUP(AI19, nat_control, 2, 0)+Tablas!$G$1*VLOOKUP(AJ19, ev_control, 2, 0)+Tablas!$I$1*VLOOKUP(AK19, frec_control, 2, 0)+Tablas!$K$1*VLOOKUP(AL19, doc_control, 2, 0))*0.1*peso_dis, "")</f>
        <v/>
      </c>
      <c r="AN19" s="64"/>
      <c r="AO19" s="64"/>
      <c r="AP19" s="64"/>
      <c r="AQ19" s="80" t="str">
        <f>IFERROR((Tablas!$C$9*VLOOKUP(AN19, amb_control, 2, 0)+Tablas!$E$9*VLOOKUP(AO19, ejec_control, 2, 0)+Tablas!$G$9*VLOOKUP(AP19, cub_control, 2, 0))*0.1*peso_ejec, "")</f>
        <v/>
      </c>
      <c r="AR19" s="91" t="str">
        <f t="shared" si="10"/>
        <v/>
      </c>
      <c r="AS19" s="85" t="str">
        <f t="shared" si="1"/>
        <v/>
      </c>
      <c r="AT19" s="85" t="str">
        <f t="shared" si="2"/>
        <v/>
      </c>
      <c r="AU19" s="85" t="str">
        <f>IF(AR19&lt;Tablas!$G$19, 0, IF(AND(AR19&gt;=Tablas!$G$19, AR19&lt;Tablas!$G$20), 1,  IF(AND(AR19&gt;=Tablas!$G$20, AR19&lt;Tablas!$G$21), 2,  IF(AND(AR19&gt;=Tablas!$G$21, AR19&lt;=Tablas!$G$22), 3,  ""))))</f>
        <v/>
      </c>
      <c r="AV19" s="85" t="str">
        <f t="shared" si="11"/>
        <v/>
      </c>
      <c r="AW19" s="92" t="str">
        <f t="shared" si="12"/>
        <v/>
      </c>
      <c r="AX19" s="177"/>
      <c r="AY19" s="169"/>
      <c r="AZ19" s="158"/>
      <c r="BA19" s="169"/>
      <c r="BB19" s="169"/>
      <c r="BC19" s="169"/>
      <c r="BD19" s="215"/>
      <c r="BE19" s="215"/>
      <c r="BF19" s="177" t="str">
        <f t="shared" si="15"/>
        <v/>
      </c>
      <c r="BG19" s="169"/>
      <c r="BH19" s="50"/>
      <c r="BL19" s="73"/>
    </row>
    <row r="20" spans="1:64" s="51" customFormat="1" x14ac:dyDescent="0.25">
      <c r="A20" s="167"/>
      <c r="B20" s="220"/>
      <c r="C20" s="161"/>
      <c r="D20" s="160"/>
      <c r="E20" s="161"/>
      <c r="F20" s="164"/>
      <c r="G20" s="167"/>
      <c r="H20" s="167"/>
      <c r="I20" s="167"/>
      <c r="J20" s="167"/>
      <c r="K20" s="167"/>
      <c r="L20" s="166"/>
      <c r="M20" s="166"/>
      <c r="N20" s="166"/>
      <c r="O20" s="166"/>
      <c r="P20" s="166"/>
      <c r="Q20" s="166"/>
      <c r="R20" s="177"/>
      <c r="S20" s="167"/>
      <c r="T20" s="167"/>
      <c r="U20" s="167"/>
      <c r="V20" s="167"/>
      <c r="W20" s="167"/>
      <c r="X20" s="164"/>
      <c r="Y20" s="164"/>
      <c r="Z20" s="172"/>
      <c r="AA20" s="188"/>
      <c r="AB20" s="172"/>
      <c r="AC20" s="172"/>
      <c r="AD20" s="175"/>
      <c r="AE20" s="62" t="s">
        <v>153</v>
      </c>
      <c r="AF20" s="133"/>
      <c r="AG20" s="65"/>
      <c r="AH20" s="64"/>
      <c r="AI20" s="64"/>
      <c r="AJ20" s="64"/>
      <c r="AK20" s="64"/>
      <c r="AL20" s="64"/>
      <c r="AM20" s="80" t="str">
        <f>IFERROR((Tablas!$C$1*VLOOKUP(AH20, tipo_control, 2, 0)+Tablas!$E$1*VLOOKUP(AI20, nat_control, 2, 0)+Tablas!$G$1*VLOOKUP(AJ20, ev_control, 2, 0)+Tablas!$I$1*VLOOKUP(AK20, frec_control, 2, 0)+Tablas!$K$1*VLOOKUP(AL20, doc_control, 2, 0))*0.1*peso_dis, "")</f>
        <v/>
      </c>
      <c r="AN20" s="64"/>
      <c r="AO20" s="64"/>
      <c r="AP20" s="64"/>
      <c r="AQ20" s="80" t="str">
        <f>IFERROR((Tablas!$C$9*VLOOKUP(AN20, amb_control, 2, 0)+Tablas!$E$9*VLOOKUP(AO20, ejec_control, 2, 0)+Tablas!$G$9*VLOOKUP(AP20, cub_control, 2, 0))*0.1*peso_ejec, "")</f>
        <v/>
      </c>
      <c r="AR20" s="91" t="str">
        <f t="shared" si="10"/>
        <v/>
      </c>
      <c r="AS20" s="85" t="str">
        <f t="shared" si="1"/>
        <v/>
      </c>
      <c r="AT20" s="85" t="str">
        <f t="shared" si="2"/>
        <v/>
      </c>
      <c r="AU20" s="85" t="str">
        <f>IF(AR20&lt;Tablas!$G$19, 0, IF(AND(AR20&gt;=Tablas!$G$19, AR20&lt;Tablas!$G$20), 1,  IF(AND(AR20&gt;=Tablas!$G$20, AR20&lt;Tablas!$G$21), 2,  IF(AND(AR20&gt;=Tablas!$G$21, AR20&lt;=Tablas!$G$22), 3,  ""))))</f>
        <v/>
      </c>
      <c r="AV20" s="85" t="str">
        <f t="shared" si="11"/>
        <v/>
      </c>
      <c r="AW20" s="92" t="str">
        <f t="shared" si="12"/>
        <v/>
      </c>
      <c r="AX20" s="177"/>
      <c r="AY20" s="169"/>
      <c r="AZ20" s="158"/>
      <c r="BA20" s="169"/>
      <c r="BB20" s="169"/>
      <c r="BC20" s="169"/>
      <c r="BD20" s="215"/>
      <c r="BE20" s="215"/>
      <c r="BF20" s="177"/>
      <c r="BG20" s="169"/>
      <c r="BH20" s="50"/>
      <c r="BL20" s="73"/>
    </row>
    <row r="21" spans="1:64" s="51" customFormat="1" ht="15.75" thickBot="1" x14ac:dyDescent="0.3">
      <c r="A21" s="167"/>
      <c r="B21" s="220"/>
      <c r="C21" s="161"/>
      <c r="D21" s="160"/>
      <c r="E21" s="161"/>
      <c r="F21" s="165"/>
      <c r="G21" s="149"/>
      <c r="H21" s="149"/>
      <c r="I21" s="149"/>
      <c r="J21" s="149"/>
      <c r="K21" s="149"/>
      <c r="L21" s="166"/>
      <c r="M21" s="166"/>
      <c r="N21" s="166"/>
      <c r="O21" s="166"/>
      <c r="P21" s="166"/>
      <c r="Q21" s="166"/>
      <c r="R21" s="177"/>
      <c r="S21" s="149"/>
      <c r="T21" s="149"/>
      <c r="U21" s="149"/>
      <c r="V21" s="149"/>
      <c r="W21" s="149"/>
      <c r="X21" s="165"/>
      <c r="Y21" s="165"/>
      <c r="Z21" s="172"/>
      <c r="AA21" s="188"/>
      <c r="AB21" s="172"/>
      <c r="AC21" s="172"/>
      <c r="AD21" s="175"/>
      <c r="AE21" s="66" t="s">
        <v>154</v>
      </c>
      <c r="AF21" s="134"/>
      <c r="AG21" s="67"/>
      <c r="AH21" s="69"/>
      <c r="AI21" s="69"/>
      <c r="AJ21" s="69"/>
      <c r="AK21" s="69"/>
      <c r="AL21" s="69"/>
      <c r="AM21" s="81" t="str">
        <f>IFERROR((Tablas!$C$1*VLOOKUP(AH21, tipo_control, 2, 0)+Tablas!$E$1*VLOOKUP(AI21, nat_control, 2, 0)+Tablas!$G$1*VLOOKUP(AJ21, ev_control, 2, 0)+Tablas!$I$1*VLOOKUP(AK21, frec_control, 2, 0)+Tablas!$K$1*VLOOKUP(AL21, doc_control, 2, 0))*0.1*peso_dis, "")</f>
        <v/>
      </c>
      <c r="AN21" s="69"/>
      <c r="AO21" s="69"/>
      <c r="AP21" s="69"/>
      <c r="AQ21" s="81" t="str">
        <f>IFERROR((Tablas!$C$9*VLOOKUP(AN21, amb_control, 2, 0)+Tablas!$E$9*VLOOKUP(AO21, ejec_control, 2, 0)+Tablas!$G$9*VLOOKUP(AP21, cub_control, 2, 0))*0.1*peso_ejec, "")</f>
        <v/>
      </c>
      <c r="AR21" s="93" t="str">
        <f t="shared" si="10"/>
        <v/>
      </c>
      <c r="AS21" s="94" t="str">
        <f t="shared" si="1"/>
        <v/>
      </c>
      <c r="AT21" s="94" t="str">
        <f t="shared" si="2"/>
        <v/>
      </c>
      <c r="AU21" s="94" t="str">
        <f>IF(AR21&lt;Tablas!$G$19, 0, IF(AND(AR21&gt;=Tablas!$G$19, AR21&lt;Tablas!$G$20), 1,  IF(AND(AR21&gt;=Tablas!$G$20, AR21&lt;Tablas!$G$21), 2,  IF(AND(AR21&gt;=Tablas!$G$21, AR21&lt;=Tablas!$G$22), 3,  ""))))</f>
        <v/>
      </c>
      <c r="AV21" s="94" t="str">
        <f t="shared" si="11"/>
        <v/>
      </c>
      <c r="AW21" s="95" t="str">
        <f t="shared" si="12"/>
        <v/>
      </c>
      <c r="AX21" s="157"/>
      <c r="AY21" s="170"/>
      <c r="AZ21" s="179"/>
      <c r="BA21" s="170"/>
      <c r="BB21" s="169"/>
      <c r="BC21" s="169"/>
      <c r="BD21" s="215"/>
      <c r="BE21" s="215"/>
      <c r="BF21" s="177"/>
      <c r="BG21" s="169"/>
      <c r="BH21" s="50"/>
      <c r="BL21" s="73"/>
    </row>
    <row r="22" spans="1:64" s="51" customFormat="1" x14ac:dyDescent="0.25">
      <c r="A22" s="167"/>
      <c r="B22" s="220"/>
      <c r="C22" s="161" t="s">
        <v>18</v>
      </c>
      <c r="D22" s="160" t="s">
        <v>241</v>
      </c>
      <c r="E22" s="149" t="s">
        <v>50</v>
      </c>
      <c r="F22" s="163">
        <f t="shared" si="0"/>
        <v>2</v>
      </c>
      <c r="G22" s="148" t="s">
        <v>55</v>
      </c>
      <c r="H22" s="148" t="s">
        <v>54</v>
      </c>
      <c r="I22" s="148" t="s">
        <v>55</v>
      </c>
      <c r="J22" s="148" t="s">
        <v>55</v>
      </c>
      <c r="K22" s="148" t="s">
        <v>55</v>
      </c>
      <c r="L22" s="165">
        <f t="shared" ref="L22:L27" si="19">IFERROR(VLOOKUP(G22, tabla02, 2, 0), "")</f>
        <v>3</v>
      </c>
      <c r="M22" s="165">
        <f t="shared" ref="M22:M27" si="20">IFERROR(VLOOKUP(H22, tabla02, 2, 0), "")</f>
        <v>2</v>
      </c>
      <c r="N22" s="165">
        <f t="shared" ref="N22:N27" si="21">IFERROR(VLOOKUP(I22, tabla02, 2, 0), "")</f>
        <v>3</v>
      </c>
      <c r="O22" s="165">
        <f t="shared" ref="O22:P27" si="22">IFERROR(VLOOKUP(J22, tabla02, 2, 0), "")</f>
        <v>3</v>
      </c>
      <c r="P22" s="165">
        <f t="shared" si="22"/>
        <v>3</v>
      </c>
      <c r="Q22" s="165">
        <f t="shared" ref="Q22" si="23">IF(SUM(L22:P22)=0, "", MAX(L22:P22))</f>
        <v>3</v>
      </c>
      <c r="R22" s="159" t="str">
        <f>IFERROR(VLOOKUP(Q22, tabla04, 3, 0), "")</f>
        <v>Moderado</v>
      </c>
      <c r="S22" s="148" t="s">
        <v>251</v>
      </c>
      <c r="T22" s="148"/>
      <c r="U22" s="148" t="s">
        <v>251</v>
      </c>
      <c r="V22" s="148"/>
      <c r="W22" s="148"/>
      <c r="X22" s="163" t="str">
        <f>IFERROR(VLOOKUP(CONCATENATE(F22, "-", Q22), cuadrante_sev, 3, 0), "")</f>
        <v>Moderada</v>
      </c>
      <c r="Y22" s="163">
        <f t="shared" ref="Y22:Y27" si="24">IFERROR(IF(X22="Baja", 1, IF(X22="Moderada", 2, IF(X22="Alta", 3, IF(X22="Extrema", 4, "")))), "")</f>
        <v>2</v>
      </c>
      <c r="Z22" s="172"/>
      <c r="AA22" s="188"/>
      <c r="AB22" s="172"/>
      <c r="AC22" s="172"/>
      <c r="AD22" s="175"/>
      <c r="AE22" s="70" t="s">
        <v>113</v>
      </c>
      <c r="AF22" s="135" t="s">
        <v>253</v>
      </c>
      <c r="AG22" s="60"/>
      <c r="AH22" s="61" t="s">
        <v>69</v>
      </c>
      <c r="AI22" s="61" t="s">
        <v>71</v>
      </c>
      <c r="AJ22" s="61" t="s">
        <v>74</v>
      </c>
      <c r="AK22" s="61" t="s">
        <v>125</v>
      </c>
      <c r="AL22" s="61" t="s">
        <v>130</v>
      </c>
      <c r="AM22" s="82">
        <f>IFERROR((Tablas!$C$1*VLOOKUP(AH22, tipo_control, 2, 0)+Tablas!$E$1*VLOOKUP(AI22, nat_control, 2, 0)+Tablas!$G$1*VLOOKUP(AJ22, ev_control, 2, 0)+Tablas!$I$1*VLOOKUP(AK22, frec_control, 2, 0)+Tablas!$K$1*VLOOKUP(AL22, doc_control, 2, 0))*0.1*peso_dis, "")</f>
        <v>0.30000000000000004</v>
      </c>
      <c r="AN22" s="61" t="s">
        <v>138</v>
      </c>
      <c r="AO22" s="61" t="s">
        <v>143</v>
      </c>
      <c r="AP22" s="61" t="s">
        <v>146</v>
      </c>
      <c r="AQ22" s="82">
        <f>IFERROR((Tablas!$C$9*VLOOKUP(AN22, amb_control, 2, 0)+Tablas!$E$9*VLOOKUP(AO22, ejec_control, 2, 0)+Tablas!$G$9*VLOOKUP(AP22, cub_control, 2, 0))*0.1*peso_ejec, "")</f>
        <v>0.42000000000000004</v>
      </c>
      <c r="AR22" s="96">
        <f t="shared" si="10"/>
        <v>0.72000000000000008</v>
      </c>
      <c r="AS22" s="97" t="str">
        <f t="shared" si="1"/>
        <v>Sí</v>
      </c>
      <c r="AT22" s="87" t="str">
        <f t="shared" si="2"/>
        <v>No</v>
      </c>
      <c r="AU22" s="97">
        <f>IF(AR22&lt;Tablas!$G$19, 0, IF(AND(AR22&gt;=Tablas!$G$19, AR22&lt;Tablas!$G$20), 1,  IF(AND(AR22&gt;=Tablas!$G$20, AR22&lt;Tablas!$G$21), 2,  IF(AND(AR22&gt;=Tablas!$G$21, AR22&lt;=Tablas!$G$22), 3,  ""))))</f>
        <v>2</v>
      </c>
      <c r="AV22" s="97">
        <f t="shared" si="11"/>
        <v>2</v>
      </c>
      <c r="AW22" s="98" t="str">
        <f t="shared" si="12"/>
        <v/>
      </c>
      <c r="AX22" s="176" t="str">
        <f t="shared" ref="AX22" si="25">IFERROR(VLOOKUP(AY22, tabla04, 2, 0), "")</f>
        <v>Muy Baja</v>
      </c>
      <c r="AY22" s="168">
        <f>IF(F22="", "", IF((F22-MAX(AV22:AV26))&lt;=0, 1, F22-MAX(AV22:AV26)))</f>
        <v>1</v>
      </c>
      <c r="AZ22" s="178" t="str">
        <f t="shared" ref="AZ22" si="26">IFERROR(VLOOKUP(BA22, tabla04, 3, 0), "")</f>
        <v>Moderado</v>
      </c>
      <c r="BA22" s="168">
        <f>IF(Q22="", "", IF((Q22-MAX(AW22:AW26))&lt;=0, 1, Q22-MAX(AW22:AW26)))</f>
        <v>3</v>
      </c>
      <c r="BB22" s="169"/>
      <c r="BC22" s="169"/>
      <c r="BD22" s="215"/>
      <c r="BE22" s="215"/>
      <c r="BF22" s="177" t="str">
        <f t="shared" si="15"/>
        <v>Moderada</v>
      </c>
      <c r="BG22" s="169"/>
      <c r="BH22" s="50"/>
      <c r="BL22" s="73"/>
    </row>
    <row r="23" spans="1:64" s="51" customFormat="1" x14ac:dyDescent="0.25">
      <c r="A23" s="167"/>
      <c r="B23" s="220"/>
      <c r="C23" s="161"/>
      <c r="D23" s="160"/>
      <c r="E23" s="161"/>
      <c r="F23" s="164"/>
      <c r="G23" s="167"/>
      <c r="H23" s="167"/>
      <c r="I23" s="167"/>
      <c r="J23" s="167"/>
      <c r="K23" s="167"/>
      <c r="L23" s="166"/>
      <c r="M23" s="166"/>
      <c r="N23" s="166"/>
      <c r="O23" s="166"/>
      <c r="P23" s="166"/>
      <c r="Q23" s="166"/>
      <c r="R23" s="177"/>
      <c r="S23" s="167"/>
      <c r="T23" s="167"/>
      <c r="U23" s="167"/>
      <c r="V23" s="167"/>
      <c r="W23" s="167"/>
      <c r="X23" s="164"/>
      <c r="Y23" s="164"/>
      <c r="Z23" s="172"/>
      <c r="AA23" s="188"/>
      <c r="AB23" s="172"/>
      <c r="AC23" s="172"/>
      <c r="AD23" s="175"/>
      <c r="AE23" s="62" t="s">
        <v>114</v>
      </c>
      <c r="AF23" s="133"/>
      <c r="AG23" s="63"/>
      <c r="AH23" s="64"/>
      <c r="AI23" s="64"/>
      <c r="AJ23" s="64"/>
      <c r="AK23" s="64"/>
      <c r="AL23" s="64"/>
      <c r="AM23" s="80" t="str">
        <f>IFERROR((Tablas!$C$1*VLOOKUP(AH23, tipo_control, 2, 0)+Tablas!$E$1*VLOOKUP(AI23, nat_control, 2, 0)+Tablas!$G$1*VLOOKUP(AJ23, ev_control, 2, 0)+Tablas!$I$1*VLOOKUP(AK23, frec_control, 2, 0)+Tablas!$K$1*VLOOKUP(AL23, doc_control, 2, 0))*0.1*peso_dis, "")</f>
        <v/>
      </c>
      <c r="AN23" s="64"/>
      <c r="AO23" s="64"/>
      <c r="AP23" s="64"/>
      <c r="AQ23" s="80" t="str">
        <f>IFERROR((Tablas!$C$9*VLOOKUP(AN23, amb_control, 2, 0)+Tablas!$E$9*VLOOKUP(AO23, ejec_control, 2, 0)+Tablas!$G$9*VLOOKUP(AP23, cub_control, 2, 0))*0.1*peso_ejec, "")</f>
        <v/>
      </c>
      <c r="AR23" s="91" t="str">
        <f t="shared" si="10"/>
        <v/>
      </c>
      <c r="AS23" s="85" t="str">
        <f t="shared" si="1"/>
        <v/>
      </c>
      <c r="AT23" s="85" t="str">
        <f t="shared" si="2"/>
        <v/>
      </c>
      <c r="AU23" s="85" t="str">
        <f>IF(AR23&lt;Tablas!$G$19, 0, IF(AND(AR23&gt;=Tablas!$G$19, AR23&lt;Tablas!$G$20), 1,  IF(AND(AR23&gt;=Tablas!$G$20, AR23&lt;Tablas!$G$21), 2,  IF(AND(AR23&gt;=Tablas!$G$21, AR23&lt;=Tablas!$G$22), 3,  ""))))</f>
        <v/>
      </c>
      <c r="AV23" s="85" t="str">
        <f t="shared" si="11"/>
        <v/>
      </c>
      <c r="AW23" s="92" t="str">
        <f t="shared" si="12"/>
        <v/>
      </c>
      <c r="AX23" s="177"/>
      <c r="AY23" s="169"/>
      <c r="AZ23" s="158"/>
      <c r="BA23" s="169"/>
      <c r="BB23" s="169"/>
      <c r="BC23" s="169"/>
      <c r="BD23" s="215"/>
      <c r="BE23" s="215"/>
      <c r="BF23" s="177" t="str">
        <f t="shared" si="15"/>
        <v/>
      </c>
      <c r="BG23" s="169"/>
      <c r="BH23" s="50"/>
      <c r="BL23" s="73"/>
    </row>
    <row r="24" spans="1:64" s="51" customFormat="1" x14ac:dyDescent="0.25">
      <c r="A24" s="167"/>
      <c r="B24" s="220"/>
      <c r="C24" s="161"/>
      <c r="D24" s="160"/>
      <c r="E24" s="161"/>
      <c r="F24" s="164"/>
      <c r="G24" s="167"/>
      <c r="H24" s="167"/>
      <c r="I24" s="167"/>
      <c r="J24" s="167"/>
      <c r="K24" s="167"/>
      <c r="L24" s="166"/>
      <c r="M24" s="166"/>
      <c r="N24" s="166"/>
      <c r="O24" s="166"/>
      <c r="P24" s="166"/>
      <c r="Q24" s="166"/>
      <c r="R24" s="177"/>
      <c r="S24" s="167"/>
      <c r="T24" s="167"/>
      <c r="U24" s="167"/>
      <c r="V24" s="167"/>
      <c r="W24" s="167"/>
      <c r="X24" s="164"/>
      <c r="Y24" s="164"/>
      <c r="Z24" s="172"/>
      <c r="AA24" s="188"/>
      <c r="AB24" s="172"/>
      <c r="AC24" s="172"/>
      <c r="AD24" s="175"/>
      <c r="AE24" s="62" t="s">
        <v>115</v>
      </c>
      <c r="AF24" s="133"/>
      <c r="AG24" s="65"/>
      <c r="AH24" s="64"/>
      <c r="AI24" s="64"/>
      <c r="AJ24" s="64"/>
      <c r="AK24" s="64"/>
      <c r="AL24" s="64"/>
      <c r="AM24" s="80" t="str">
        <f>IFERROR((Tablas!$C$1*VLOOKUP(AH24, tipo_control, 2, 0)+Tablas!$E$1*VLOOKUP(AI24, nat_control, 2, 0)+Tablas!$G$1*VLOOKUP(AJ24, ev_control, 2, 0)+Tablas!$I$1*VLOOKUP(AK24, frec_control, 2, 0)+Tablas!$K$1*VLOOKUP(AL24, doc_control, 2, 0))*0.1*peso_dis, "")</f>
        <v/>
      </c>
      <c r="AN24" s="64"/>
      <c r="AO24" s="64"/>
      <c r="AP24" s="64"/>
      <c r="AQ24" s="80" t="str">
        <f>IFERROR((Tablas!$C$9*VLOOKUP(AN24, amb_control, 2, 0)+Tablas!$E$9*VLOOKUP(AO24, ejec_control, 2, 0)+Tablas!$G$9*VLOOKUP(AP24, cub_control, 2, 0))*0.1*peso_ejec, "")</f>
        <v/>
      </c>
      <c r="AR24" s="91" t="str">
        <f t="shared" si="10"/>
        <v/>
      </c>
      <c r="AS24" s="85" t="str">
        <f t="shared" si="1"/>
        <v/>
      </c>
      <c r="AT24" s="85" t="str">
        <f t="shared" si="2"/>
        <v/>
      </c>
      <c r="AU24" s="85" t="str">
        <f>IF(AR24&lt;Tablas!$G$19, 0, IF(AND(AR24&gt;=Tablas!$G$19, AR24&lt;Tablas!$G$20), 1,  IF(AND(AR24&gt;=Tablas!$G$20, AR24&lt;Tablas!$G$21), 2,  IF(AND(AR24&gt;=Tablas!$G$21, AR24&lt;=Tablas!$G$22), 3,  ""))))</f>
        <v/>
      </c>
      <c r="AV24" s="85" t="str">
        <f t="shared" si="11"/>
        <v/>
      </c>
      <c r="AW24" s="92" t="str">
        <f t="shared" si="12"/>
        <v/>
      </c>
      <c r="AX24" s="177"/>
      <c r="AY24" s="169"/>
      <c r="AZ24" s="158"/>
      <c r="BA24" s="169"/>
      <c r="BB24" s="169"/>
      <c r="BC24" s="169"/>
      <c r="BD24" s="215"/>
      <c r="BE24" s="215"/>
      <c r="BF24" s="177" t="str">
        <f t="shared" si="15"/>
        <v/>
      </c>
      <c r="BG24" s="169"/>
      <c r="BH24" s="50"/>
      <c r="BL24" s="73"/>
    </row>
    <row r="25" spans="1:64" s="51" customFormat="1" x14ac:dyDescent="0.25">
      <c r="A25" s="167"/>
      <c r="B25" s="220"/>
      <c r="C25" s="161"/>
      <c r="D25" s="160"/>
      <c r="E25" s="161"/>
      <c r="F25" s="164"/>
      <c r="G25" s="167"/>
      <c r="H25" s="167"/>
      <c r="I25" s="167"/>
      <c r="J25" s="167"/>
      <c r="K25" s="167"/>
      <c r="L25" s="166"/>
      <c r="M25" s="166"/>
      <c r="N25" s="166"/>
      <c r="O25" s="166"/>
      <c r="P25" s="166"/>
      <c r="Q25" s="166"/>
      <c r="R25" s="177"/>
      <c r="S25" s="167"/>
      <c r="T25" s="167"/>
      <c r="U25" s="167"/>
      <c r="V25" s="167"/>
      <c r="W25" s="167"/>
      <c r="X25" s="164"/>
      <c r="Y25" s="164"/>
      <c r="Z25" s="172"/>
      <c r="AA25" s="188"/>
      <c r="AB25" s="172"/>
      <c r="AC25" s="172"/>
      <c r="AD25" s="175"/>
      <c r="AE25" s="62" t="s">
        <v>153</v>
      </c>
      <c r="AF25" s="133"/>
      <c r="AG25" s="65"/>
      <c r="AH25" s="64"/>
      <c r="AI25" s="64"/>
      <c r="AJ25" s="64"/>
      <c r="AK25" s="64"/>
      <c r="AL25" s="64"/>
      <c r="AM25" s="80" t="str">
        <f>IFERROR((Tablas!$C$1*VLOOKUP(AH25, tipo_control, 2, 0)+Tablas!$E$1*VLOOKUP(AI25, nat_control, 2, 0)+Tablas!$G$1*VLOOKUP(AJ25, ev_control, 2, 0)+Tablas!$I$1*VLOOKUP(AK25, frec_control, 2, 0)+Tablas!$K$1*VLOOKUP(AL25, doc_control, 2, 0))*0.1*peso_dis, "")</f>
        <v/>
      </c>
      <c r="AN25" s="64"/>
      <c r="AO25" s="64"/>
      <c r="AP25" s="64"/>
      <c r="AQ25" s="80" t="str">
        <f>IFERROR((Tablas!$C$9*VLOOKUP(AN25, amb_control, 2, 0)+Tablas!$E$9*VLOOKUP(AO25, ejec_control, 2, 0)+Tablas!$G$9*VLOOKUP(AP25, cub_control, 2, 0))*0.1*peso_ejec, "")</f>
        <v/>
      </c>
      <c r="AR25" s="91" t="str">
        <f t="shared" si="10"/>
        <v/>
      </c>
      <c r="AS25" s="85" t="str">
        <f t="shared" si="1"/>
        <v/>
      </c>
      <c r="AT25" s="85" t="str">
        <f t="shared" si="2"/>
        <v/>
      </c>
      <c r="AU25" s="85" t="str">
        <f>IF(AR25&lt;Tablas!$G$19, 0, IF(AND(AR25&gt;=Tablas!$G$19, AR25&lt;Tablas!$G$20), 1,  IF(AND(AR25&gt;=Tablas!$G$20, AR25&lt;Tablas!$G$21), 2,  IF(AND(AR25&gt;=Tablas!$G$21, AR25&lt;=Tablas!$G$22), 3,  ""))))</f>
        <v/>
      </c>
      <c r="AV25" s="85" t="str">
        <f t="shared" si="11"/>
        <v/>
      </c>
      <c r="AW25" s="92" t="str">
        <f t="shared" si="12"/>
        <v/>
      </c>
      <c r="AX25" s="177"/>
      <c r="AY25" s="169"/>
      <c r="AZ25" s="158"/>
      <c r="BA25" s="169"/>
      <c r="BB25" s="169"/>
      <c r="BC25" s="169"/>
      <c r="BD25" s="215"/>
      <c r="BE25" s="215"/>
      <c r="BF25" s="177"/>
      <c r="BG25" s="169"/>
      <c r="BH25" s="50"/>
      <c r="BL25" s="73"/>
    </row>
    <row r="26" spans="1:64" s="51" customFormat="1" ht="15.75" thickBot="1" x14ac:dyDescent="0.3">
      <c r="A26" s="167"/>
      <c r="B26" s="220"/>
      <c r="C26" s="161"/>
      <c r="D26" s="160"/>
      <c r="E26" s="161"/>
      <c r="F26" s="165"/>
      <c r="G26" s="149"/>
      <c r="H26" s="149"/>
      <c r="I26" s="149"/>
      <c r="J26" s="149"/>
      <c r="K26" s="149"/>
      <c r="L26" s="166"/>
      <c r="M26" s="166"/>
      <c r="N26" s="166"/>
      <c r="O26" s="166"/>
      <c r="P26" s="166"/>
      <c r="Q26" s="166"/>
      <c r="R26" s="177"/>
      <c r="S26" s="149"/>
      <c r="T26" s="149"/>
      <c r="U26" s="149"/>
      <c r="V26" s="149"/>
      <c r="W26" s="149"/>
      <c r="X26" s="165"/>
      <c r="Y26" s="165"/>
      <c r="Z26" s="172"/>
      <c r="AA26" s="188"/>
      <c r="AB26" s="172"/>
      <c r="AC26" s="172"/>
      <c r="AD26" s="175"/>
      <c r="AE26" s="66" t="s">
        <v>154</v>
      </c>
      <c r="AF26" s="134"/>
      <c r="AG26" s="67"/>
      <c r="AH26" s="69"/>
      <c r="AI26" s="69"/>
      <c r="AJ26" s="69"/>
      <c r="AK26" s="69"/>
      <c r="AL26" s="69"/>
      <c r="AM26" s="81" t="str">
        <f>IFERROR((Tablas!$C$1*VLOOKUP(AH26, tipo_control, 2, 0)+Tablas!$E$1*VLOOKUP(AI26, nat_control, 2, 0)+Tablas!$G$1*VLOOKUP(AJ26, ev_control, 2, 0)+Tablas!$I$1*VLOOKUP(AK26, frec_control, 2, 0)+Tablas!$K$1*VLOOKUP(AL26, doc_control, 2, 0))*0.1*peso_dis, "")</f>
        <v/>
      </c>
      <c r="AN26" s="69"/>
      <c r="AO26" s="69"/>
      <c r="AP26" s="69"/>
      <c r="AQ26" s="81" t="str">
        <f>IFERROR((Tablas!$C$9*VLOOKUP(AN26, amb_control, 2, 0)+Tablas!$E$9*VLOOKUP(AO26, ejec_control, 2, 0)+Tablas!$G$9*VLOOKUP(AP26, cub_control, 2, 0))*0.1*peso_ejec, "")</f>
        <v/>
      </c>
      <c r="AR26" s="93" t="str">
        <f t="shared" si="10"/>
        <v/>
      </c>
      <c r="AS26" s="94" t="str">
        <f t="shared" si="1"/>
        <v/>
      </c>
      <c r="AT26" s="94" t="str">
        <f t="shared" si="2"/>
        <v/>
      </c>
      <c r="AU26" s="94" t="str">
        <f>IF(AR26&lt;Tablas!$G$19, 0, IF(AND(AR26&gt;=Tablas!$G$19, AR26&lt;Tablas!$G$20), 1,  IF(AND(AR26&gt;=Tablas!$G$20, AR26&lt;Tablas!$G$21), 2,  IF(AND(AR26&gt;=Tablas!$G$21, AR26&lt;=Tablas!$G$22), 3,  ""))))</f>
        <v/>
      </c>
      <c r="AV26" s="94" t="str">
        <f t="shared" si="11"/>
        <v/>
      </c>
      <c r="AW26" s="95" t="str">
        <f t="shared" si="12"/>
        <v/>
      </c>
      <c r="AX26" s="157"/>
      <c r="AY26" s="170"/>
      <c r="AZ26" s="179"/>
      <c r="BA26" s="170"/>
      <c r="BB26" s="169"/>
      <c r="BC26" s="169"/>
      <c r="BD26" s="215"/>
      <c r="BE26" s="215"/>
      <c r="BF26" s="177"/>
      <c r="BG26" s="169"/>
      <c r="BH26" s="50"/>
      <c r="BL26" s="73"/>
    </row>
    <row r="27" spans="1:64" s="51" customFormat="1" x14ac:dyDescent="0.25">
      <c r="A27" s="167"/>
      <c r="B27" s="220"/>
      <c r="C27" s="161" t="s">
        <v>19</v>
      </c>
      <c r="D27" s="160" t="s">
        <v>242</v>
      </c>
      <c r="E27" s="149" t="s">
        <v>50</v>
      </c>
      <c r="F27" s="163">
        <f t="shared" si="0"/>
        <v>2</v>
      </c>
      <c r="G27" s="148" t="s">
        <v>54</v>
      </c>
      <c r="H27" s="148" t="s">
        <v>55</v>
      </c>
      <c r="I27" s="148" t="s">
        <v>55</v>
      </c>
      <c r="J27" s="148" t="s">
        <v>54</v>
      </c>
      <c r="K27" s="148" t="s">
        <v>54</v>
      </c>
      <c r="L27" s="165">
        <f t="shared" si="19"/>
        <v>2</v>
      </c>
      <c r="M27" s="165">
        <f t="shared" si="20"/>
        <v>3</v>
      </c>
      <c r="N27" s="165">
        <f t="shared" si="21"/>
        <v>3</v>
      </c>
      <c r="O27" s="165">
        <f t="shared" si="22"/>
        <v>2</v>
      </c>
      <c r="P27" s="165">
        <f t="shared" si="22"/>
        <v>2</v>
      </c>
      <c r="Q27" s="165">
        <f t="shared" ref="Q27" si="27">IF(SUM(L27:P27)=0, "", MAX(L27:P27))</f>
        <v>3</v>
      </c>
      <c r="R27" s="159" t="str">
        <f>IFERROR(VLOOKUP(Q27, tabla04, 3, 0), "")</f>
        <v>Moderado</v>
      </c>
      <c r="S27" s="148" t="s">
        <v>251</v>
      </c>
      <c r="T27" s="148"/>
      <c r="U27" s="148" t="s">
        <v>251</v>
      </c>
      <c r="V27" s="148"/>
      <c r="W27" s="148"/>
      <c r="X27" s="163" t="str">
        <f>IFERROR(VLOOKUP(CONCATENATE(F27, "-", Q27), cuadrante_sev, 3, 0), "")</f>
        <v>Moderada</v>
      </c>
      <c r="Y27" s="163">
        <f t="shared" si="24"/>
        <v>2</v>
      </c>
      <c r="Z27" s="172"/>
      <c r="AA27" s="188"/>
      <c r="AB27" s="172"/>
      <c r="AC27" s="172"/>
      <c r="AD27" s="175"/>
      <c r="AE27" s="70" t="s">
        <v>113</v>
      </c>
      <c r="AF27" s="135" t="s">
        <v>254</v>
      </c>
      <c r="AG27" s="71"/>
      <c r="AH27" s="72" t="s">
        <v>69</v>
      </c>
      <c r="AI27" s="72" t="s">
        <v>72</v>
      </c>
      <c r="AJ27" s="72" t="s">
        <v>74</v>
      </c>
      <c r="AK27" s="72" t="s">
        <v>127</v>
      </c>
      <c r="AL27" s="72" t="s">
        <v>130</v>
      </c>
      <c r="AM27" s="82">
        <f>IFERROR((Tablas!$C$1*VLOOKUP(AH27, tipo_control, 2, 0)+Tablas!$E$1*VLOOKUP(AI27, nat_control, 2, 0)+Tablas!$G$1*VLOOKUP(AJ27, ev_control, 2, 0)+Tablas!$I$1*VLOOKUP(AK27, frec_control, 2, 0)+Tablas!$K$1*VLOOKUP(AL27, doc_control, 2, 0))*0.1*peso_dis, "")</f>
        <v>0.4</v>
      </c>
      <c r="AN27" s="72" t="s">
        <v>138</v>
      </c>
      <c r="AO27" s="72" t="s">
        <v>142</v>
      </c>
      <c r="AP27" s="72" t="s">
        <v>146</v>
      </c>
      <c r="AQ27" s="82">
        <f>IFERROR((Tablas!$C$9*VLOOKUP(AN27, amb_control, 2, 0)+Tablas!$E$9*VLOOKUP(AO27, ejec_control, 2, 0)+Tablas!$G$9*VLOOKUP(AP27, cub_control, 2, 0))*0.1*peso_ejec, "")</f>
        <v>0.3</v>
      </c>
      <c r="AR27" s="96">
        <f t="shared" si="10"/>
        <v>0.7</v>
      </c>
      <c r="AS27" s="97" t="str">
        <f t="shared" si="1"/>
        <v>Sí</v>
      </c>
      <c r="AT27" s="87" t="str">
        <f t="shared" si="2"/>
        <v>No</v>
      </c>
      <c r="AU27" s="97">
        <f>IF(AR27&lt;Tablas!$G$19, 0, IF(AND(AR27&gt;=Tablas!$G$19, AR27&lt;Tablas!$G$20), 1,  IF(AND(AR27&gt;=Tablas!$G$20, AR27&lt;Tablas!$G$21), 2,  IF(AND(AR27&gt;=Tablas!$G$21, AR27&lt;=Tablas!$G$22), 3,  ""))))</f>
        <v>2</v>
      </c>
      <c r="AV27" s="97">
        <f t="shared" si="11"/>
        <v>2</v>
      </c>
      <c r="AW27" s="98" t="str">
        <f t="shared" si="12"/>
        <v/>
      </c>
      <c r="AX27" s="176" t="str">
        <f t="shared" ref="AX27" si="28">IFERROR(VLOOKUP(AY27, tabla04, 2, 0), "")</f>
        <v>Muy Baja</v>
      </c>
      <c r="AY27" s="168">
        <f>IF(F27="", "", IF((F27-MAX(AV27:AV31))&lt;=0, 1, F27-MAX(AV27:AV31)))</f>
        <v>1</v>
      </c>
      <c r="AZ27" s="178" t="str">
        <f t="shared" ref="AZ27" si="29">IFERROR(VLOOKUP(BA27, tabla04, 3, 0), "")</f>
        <v>Moderado</v>
      </c>
      <c r="BA27" s="168">
        <f>IF(Q27="", "", IF((Q27-MAX(AW27:AW31))&lt;=0, 1, Q27-MAX(AW27:AW31)))</f>
        <v>3</v>
      </c>
      <c r="BB27" s="169"/>
      <c r="BC27" s="169"/>
      <c r="BD27" s="215"/>
      <c r="BE27" s="215"/>
      <c r="BF27" s="177" t="str">
        <f t="shared" si="15"/>
        <v>Moderada</v>
      </c>
      <c r="BG27" s="169"/>
      <c r="BH27" s="50"/>
      <c r="BL27" s="73"/>
    </row>
    <row r="28" spans="1:64" s="51" customFormat="1" x14ac:dyDescent="0.25">
      <c r="A28" s="167"/>
      <c r="B28" s="220"/>
      <c r="C28" s="161"/>
      <c r="D28" s="160"/>
      <c r="E28" s="161"/>
      <c r="F28" s="164"/>
      <c r="G28" s="167"/>
      <c r="H28" s="167"/>
      <c r="I28" s="167"/>
      <c r="J28" s="167"/>
      <c r="K28" s="167"/>
      <c r="L28" s="166"/>
      <c r="M28" s="166"/>
      <c r="N28" s="166"/>
      <c r="O28" s="166"/>
      <c r="P28" s="166"/>
      <c r="Q28" s="166"/>
      <c r="R28" s="177"/>
      <c r="S28" s="167"/>
      <c r="T28" s="167"/>
      <c r="U28" s="167"/>
      <c r="V28" s="167"/>
      <c r="W28" s="167"/>
      <c r="X28" s="164"/>
      <c r="Y28" s="164"/>
      <c r="Z28" s="172"/>
      <c r="AA28" s="188"/>
      <c r="AB28" s="172"/>
      <c r="AC28" s="172"/>
      <c r="AD28" s="175"/>
      <c r="AE28" s="62" t="s">
        <v>114</v>
      </c>
      <c r="AF28" s="133"/>
      <c r="AG28" s="63"/>
      <c r="AH28" s="64"/>
      <c r="AI28" s="64"/>
      <c r="AJ28" s="64"/>
      <c r="AK28" s="64"/>
      <c r="AL28" s="64"/>
      <c r="AM28" s="80" t="str">
        <f>IFERROR((Tablas!$C$1*VLOOKUP(AH28, tipo_control, 2, 0)+Tablas!$E$1*VLOOKUP(AI28, nat_control, 2, 0)+Tablas!$G$1*VLOOKUP(AJ28, ev_control, 2, 0)+Tablas!$I$1*VLOOKUP(AK28, frec_control, 2, 0)+Tablas!$K$1*VLOOKUP(AL28, doc_control, 2, 0))*0.1*peso_dis, "")</f>
        <v/>
      </c>
      <c r="AN28" s="64"/>
      <c r="AO28" s="64"/>
      <c r="AP28" s="64"/>
      <c r="AQ28" s="80" t="str">
        <f>IFERROR((Tablas!$C$9*VLOOKUP(AN28, amb_control, 2, 0)+Tablas!$E$9*VLOOKUP(AO28, ejec_control, 2, 0)+Tablas!$G$9*VLOOKUP(AP28, cub_control, 2, 0))*0.1*peso_ejec, "")</f>
        <v/>
      </c>
      <c r="AR28" s="91" t="str">
        <f t="shared" si="10"/>
        <v/>
      </c>
      <c r="AS28" s="85" t="str">
        <f t="shared" si="1"/>
        <v/>
      </c>
      <c r="AT28" s="85" t="str">
        <f t="shared" si="2"/>
        <v/>
      </c>
      <c r="AU28" s="85" t="str">
        <f>IF(AR28&lt;Tablas!$G$19, 0, IF(AND(AR28&gt;=Tablas!$G$19, AR28&lt;Tablas!$G$20), 1,  IF(AND(AR28&gt;=Tablas!$G$20, AR28&lt;Tablas!$G$21), 2,  IF(AND(AR28&gt;=Tablas!$G$21, AR28&lt;=Tablas!$G$22), 3,  ""))))</f>
        <v/>
      </c>
      <c r="AV28" s="85" t="str">
        <f t="shared" si="11"/>
        <v/>
      </c>
      <c r="AW28" s="92" t="str">
        <f t="shared" si="12"/>
        <v/>
      </c>
      <c r="AX28" s="177"/>
      <c r="AY28" s="169"/>
      <c r="AZ28" s="158"/>
      <c r="BA28" s="169"/>
      <c r="BB28" s="169"/>
      <c r="BC28" s="169"/>
      <c r="BD28" s="215"/>
      <c r="BE28" s="215"/>
      <c r="BF28" s="177" t="str">
        <f t="shared" si="15"/>
        <v/>
      </c>
      <c r="BG28" s="169"/>
      <c r="BH28" s="50"/>
      <c r="BL28" s="73"/>
    </row>
    <row r="29" spans="1:64" s="51" customFormat="1" x14ac:dyDescent="0.25">
      <c r="A29" s="167"/>
      <c r="B29" s="220"/>
      <c r="C29" s="161"/>
      <c r="D29" s="160"/>
      <c r="E29" s="161"/>
      <c r="F29" s="164"/>
      <c r="G29" s="167"/>
      <c r="H29" s="167"/>
      <c r="I29" s="167"/>
      <c r="J29" s="167"/>
      <c r="K29" s="167"/>
      <c r="L29" s="166"/>
      <c r="M29" s="166"/>
      <c r="N29" s="166"/>
      <c r="O29" s="166"/>
      <c r="P29" s="166"/>
      <c r="Q29" s="166"/>
      <c r="R29" s="177"/>
      <c r="S29" s="167"/>
      <c r="T29" s="167"/>
      <c r="U29" s="167"/>
      <c r="V29" s="167"/>
      <c r="W29" s="167"/>
      <c r="X29" s="164"/>
      <c r="Y29" s="164"/>
      <c r="Z29" s="172"/>
      <c r="AA29" s="188"/>
      <c r="AB29" s="172"/>
      <c r="AC29" s="172"/>
      <c r="AD29" s="175"/>
      <c r="AE29" s="62" t="s">
        <v>115</v>
      </c>
      <c r="AF29" s="133"/>
      <c r="AG29" s="65"/>
      <c r="AH29" s="64"/>
      <c r="AI29" s="64"/>
      <c r="AJ29" s="64"/>
      <c r="AK29" s="64"/>
      <c r="AL29" s="64"/>
      <c r="AM29" s="80" t="str">
        <f>IFERROR((Tablas!$C$1*VLOOKUP(AH29, tipo_control, 2, 0)+Tablas!$E$1*VLOOKUP(AI29, nat_control, 2, 0)+Tablas!$G$1*VLOOKUP(AJ29, ev_control, 2, 0)+Tablas!$I$1*VLOOKUP(AK29, frec_control, 2, 0)+Tablas!$K$1*VLOOKUP(AL29, doc_control, 2, 0))*0.1*peso_dis, "")</f>
        <v/>
      </c>
      <c r="AN29" s="64"/>
      <c r="AO29" s="64"/>
      <c r="AP29" s="64"/>
      <c r="AQ29" s="80" t="str">
        <f>IFERROR((Tablas!$C$9*VLOOKUP(AN29, amb_control, 2, 0)+Tablas!$E$9*VLOOKUP(AO29, ejec_control, 2, 0)+Tablas!$G$9*VLOOKUP(AP29, cub_control, 2, 0))*0.1*peso_ejec, "")</f>
        <v/>
      </c>
      <c r="AR29" s="91" t="str">
        <f t="shared" si="10"/>
        <v/>
      </c>
      <c r="AS29" s="85" t="str">
        <f t="shared" si="1"/>
        <v/>
      </c>
      <c r="AT29" s="85" t="str">
        <f t="shared" si="2"/>
        <v/>
      </c>
      <c r="AU29" s="85" t="str">
        <f>IF(AR29&lt;Tablas!$G$19, 0, IF(AND(AR29&gt;=Tablas!$G$19, AR29&lt;Tablas!$G$20), 1,  IF(AND(AR29&gt;=Tablas!$G$20, AR29&lt;Tablas!$G$21), 2,  IF(AND(AR29&gt;=Tablas!$G$21, AR29&lt;=Tablas!$G$22), 3,  ""))))</f>
        <v/>
      </c>
      <c r="AV29" s="85" t="str">
        <f t="shared" si="11"/>
        <v/>
      </c>
      <c r="AW29" s="92" t="str">
        <f t="shared" si="12"/>
        <v/>
      </c>
      <c r="AX29" s="177"/>
      <c r="AY29" s="169"/>
      <c r="AZ29" s="158"/>
      <c r="BA29" s="169"/>
      <c r="BB29" s="169"/>
      <c r="BC29" s="169"/>
      <c r="BD29" s="215"/>
      <c r="BE29" s="215"/>
      <c r="BF29" s="177" t="str">
        <f t="shared" si="15"/>
        <v/>
      </c>
      <c r="BG29" s="169"/>
      <c r="BH29" s="50"/>
      <c r="BL29" s="73"/>
    </row>
    <row r="30" spans="1:64" s="51" customFormat="1" x14ac:dyDescent="0.25">
      <c r="A30" s="167"/>
      <c r="B30" s="220"/>
      <c r="C30" s="161"/>
      <c r="D30" s="160"/>
      <c r="E30" s="161"/>
      <c r="F30" s="164"/>
      <c r="G30" s="167"/>
      <c r="H30" s="167"/>
      <c r="I30" s="167"/>
      <c r="J30" s="167"/>
      <c r="K30" s="167"/>
      <c r="L30" s="166"/>
      <c r="M30" s="166"/>
      <c r="N30" s="166"/>
      <c r="O30" s="166"/>
      <c r="P30" s="166"/>
      <c r="Q30" s="166"/>
      <c r="R30" s="177"/>
      <c r="S30" s="167"/>
      <c r="T30" s="167"/>
      <c r="U30" s="167"/>
      <c r="V30" s="167"/>
      <c r="W30" s="167"/>
      <c r="X30" s="164"/>
      <c r="Y30" s="164"/>
      <c r="Z30" s="172"/>
      <c r="AA30" s="188"/>
      <c r="AB30" s="172"/>
      <c r="AC30" s="172"/>
      <c r="AD30" s="175"/>
      <c r="AE30" s="62" t="s">
        <v>153</v>
      </c>
      <c r="AF30" s="133"/>
      <c r="AG30" s="65"/>
      <c r="AH30" s="64"/>
      <c r="AI30" s="64"/>
      <c r="AJ30" s="64"/>
      <c r="AK30" s="64"/>
      <c r="AL30" s="64"/>
      <c r="AM30" s="80" t="str">
        <f>IFERROR((Tablas!$C$1*VLOOKUP(AH30, tipo_control, 2, 0)+Tablas!$E$1*VLOOKUP(AI30, nat_control, 2, 0)+Tablas!$G$1*VLOOKUP(AJ30, ev_control, 2, 0)+Tablas!$I$1*VLOOKUP(AK30, frec_control, 2, 0)+Tablas!$K$1*VLOOKUP(AL30, doc_control, 2, 0))*0.1*peso_dis, "")</f>
        <v/>
      </c>
      <c r="AN30" s="64"/>
      <c r="AO30" s="64"/>
      <c r="AP30" s="64"/>
      <c r="AQ30" s="80" t="str">
        <f>IFERROR((Tablas!$C$9*VLOOKUP(AN30, amb_control, 2, 0)+Tablas!$E$9*VLOOKUP(AO30, ejec_control, 2, 0)+Tablas!$G$9*VLOOKUP(AP30, cub_control, 2, 0))*0.1*peso_ejec, "")</f>
        <v/>
      </c>
      <c r="AR30" s="91" t="str">
        <f t="shared" si="10"/>
        <v/>
      </c>
      <c r="AS30" s="85" t="str">
        <f t="shared" si="1"/>
        <v/>
      </c>
      <c r="AT30" s="85" t="str">
        <f t="shared" si="2"/>
        <v/>
      </c>
      <c r="AU30" s="85" t="str">
        <f>IF(AR30&lt;Tablas!$G$19, 0, IF(AND(AR30&gt;=Tablas!$G$19, AR30&lt;Tablas!$G$20), 1,  IF(AND(AR30&gt;=Tablas!$G$20, AR30&lt;Tablas!$G$21), 2,  IF(AND(AR30&gt;=Tablas!$G$21, AR30&lt;=Tablas!$G$22), 3,  ""))))</f>
        <v/>
      </c>
      <c r="AV30" s="85" t="str">
        <f t="shared" si="11"/>
        <v/>
      </c>
      <c r="AW30" s="92" t="str">
        <f t="shared" si="12"/>
        <v/>
      </c>
      <c r="AX30" s="177"/>
      <c r="AY30" s="169"/>
      <c r="AZ30" s="158"/>
      <c r="BA30" s="169"/>
      <c r="BB30" s="169"/>
      <c r="BC30" s="169"/>
      <c r="BD30" s="215"/>
      <c r="BE30" s="215"/>
      <c r="BF30" s="177"/>
      <c r="BG30" s="169"/>
      <c r="BH30" s="50"/>
      <c r="BL30" s="73"/>
    </row>
    <row r="31" spans="1:64" s="51" customFormat="1" ht="15.75" thickBot="1" x14ac:dyDescent="0.3">
      <c r="A31" s="167"/>
      <c r="B31" s="220"/>
      <c r="C31" s="161"/>
      <c r="D31" s="160"/>
      <c r="E31" s="161"/>
      <c r="F31" s="165"/>
      <c r="G31" s="149"/>
      <c r="H31" s="149"/>
      <c r="I31" s="149"/>
      <c r="J31" s="149"/>
      <c r="K31" s="149"/>
      <c r="L31" s="166"/>
      <c r="M31" s="166"/>
      <c r="N31" s="166"/>
      <c r="O31" s="166"/>
      <c r="P31" s="166"/>
      <c r="Q31" s="166"/>
      <c r="R31" s="177"/>
      <c r="S31" s="149"/>
      <c r="T31" s="149"/>
      <c r="U31" s="149"/>
      <c r="V31" s="149"/>
      <c r="W31" s="149"/>
      <c r="X31" s="165"/>
      <c r="Y31" s="165"/>
      <c r="Z31" s="172"/>
      <c r="AA31" s="188"/>
      <c r="AB31" s="172"/>
      <c r="AC31" s="172"/>
      <c r="AD31" s="175"/>
      <c r="AE31" s="66" t="s">
        <v>154</v>
      </c>
      <c r="AF31" s="134"/>
      <c r="AG31" s="67"/>
      <c r="AH31" s="69"/>
      <c r="AI31" s="69"/>
      <c r="AJ31" s="69"/>
      <c r="AK31" s="69"/>
      <c r="AL31" s="69"/>
      <c r="AM31" s="81" t="str">
        <f>IFERROR((Tablas!$C$1*VLOOKUP(AH31, tipo_control, 2, 0)+Tablas!$E$1*VLOOKUP(AI31, nat_control, 2, 0)+Tablas!$G$1*VLOOKUP(AJ31, ev_control, 2, 0)+Tablas!$I$1*VLOOKUP(AK31, frec_control, 2, 0)+Tablas!$K$1*VLOOKUP(AL31, doc_control, 2, 0))*0.1*peso_dis, "")</f>
        <v/>
      </c>
      <c r="AN31" s="69"/>
      <c r="AO31" s="69"/>
      <c r="AP31" s="69"/>
      <c r="AQ31" s="81" t="str">
        <f>IFERROR((Tablas!$C$9*VLOOKUP(AN31, amb_control, 2, 0)+Tablas!$E$9*VLOOKUP(AO31, ejec_control, 2, 0)+Tablas!$G$9*VLOOKUP(AP31, cub_control, 2, 0))*0.1*peso_ejec, "")</f>
        <v/>
      </c>
      <c r="AR31" s="93" t="str">
        <f t="shared" si="10"/>
        <v/>
      </c>
      <c r="AS31" s="94" t="str">
        <f t="shared" si="1"/>
        <v/>
      </c>
      <c r="AT31" s="94" t="str">
        <f t="shared" si="2"/>
        <v/>
      </c>
      <c r="AU31" s="94" t="str">
        <f>IF(AR31&lt;Tablas!$G$19, 0, IF(AND(AR31&gt;=Tablas!$G$19, AR31&lt;Tablas!$G$20), 1,  IF(AND(AR31&gt;=Tablas!$G$20, AR31&lt;Tablas!$G$21), 2,  IF(AND(AR31&gt;=Tablas!$G$21, AR31&lt;=Tablas!$G$22), 3,  ""))))</f>
        <v/>
      </c>
      <c r="AV31" s="94" t="str">
        <f t="shared" si="11"/>
        <v/>
      </c>
      <c r="AW31" s="95" t="str">
        <f t="shared" si="12"/>
        <v/>
      </c>
      <c r="AX31" s="157"/>
      <c r="AY31" s="170"/>
      <c r="AZ31" s="179"/>
      <c r="BA31" s="170"/>
      <c r="BB31" s="169"/>
      <c r="BC31" s="169"/>
      <c r="BD31" s="215"/>
      <c r="BE31" s="215"/>
      <c r="BF31" s="177"/>
      <c r="BG31" s="169"/>
      <c r="BH31" s="50"/>
      <c r="BL31" s="73"/>
    </row>
    <row r="32" spans="1:64" s="51" customFormat="1" x14ac:dyDescent="0.25">
      <c r="A32" s="167"/>
      <c r="B32" s="220"/>
      <c r="C32" s="161" t="s">
        <v>20</v>
      </c>
      <c r="D32" s="160" t="s">
        <v>243</v>
      </c>
      <c r="E32" s="149" t="s">
        <v>5</v>
      </c>
      <c r="F32" s="163">
        <f t="shared" si="0"/>
        <v>3</v>
      </c>
      <c r="G32" s="148" t="s">
        <v>55</v>
      </c>
      <c r="H32" s="148" t="s">
        <v>55</v>
      </c>
      <c r="I32" s="148" t="s">
        <v>55</v>
      </c>
      <c r="J32" s="148" t="s">
        <v>55</v>
      </c>
      <c r="K32" s="148" t="s">
        <v>54</v>
      </c>
      <c r="L32" s="165">
        <f t="shared" ref="L32" si="30">IFERROR(VLOOKUP(G32, tabla02, 2, 0), "")</f>
        <v>3</v>
      </c>
      <c r="M32" s="165">
        <f t="shared" ref="M32" si="31">IFERROR(VLOOKUP(H32, tabla02, 2, 0), "")</f>
        <v>3</v>
      </c>
      <c r="N32" s="165">
        <f t="shared" ref="N32" si="32">IFERROR(VLOOKUP(I32, tabla02, 2, 0), "")</f>
        <v>3</v>
      </c>
      <c r="O32" s="165">
        <f t="shared" ref="O32" si="33">IFERROR(VLOOKUP(J32, tabla02, 2, 0), "")</f>
        <v>3</v>
      </c>
      <c r="P32" s="165">
        <f t="shared" ref="P32" si="34">IFERROR(VLOOKUP(K32, tabla02, 2, 0), "")</f>
        <v>2</v>
      </c>
      <c r="Q32" s="165">
        <f t="shared" ref="Q32" si="35">IF(SUM(L32:P32)=0, "", MAX(L32:P32))</f>
        <v>3</v>
      </c>
      <c r="R32" s="159" t="str">
        <f>IFERROR(VLOOKUP(Q32, tabla04, 3, 0), "")</f>
        <v>Moderado</v>
      </c>
      <c r="S32" s="148" t="s">
        <v>236</v>
      </c>
      <c r="T32" s="148"/>
      <c r="U32" s="148" t="s">
        <v>236</v>
      </c>
      <c r="V32" s="148"/>
      <c r="W32" s="148"/>
      <c r="X32" s="163" t="str">
        <f>IFERROR(VLOOKUP(CONCATENATE(F32, "-", Q32), cuadrante_sev, 3, 0), "")</f>
        <v>Alta</v>
      </c>
      <c r="Y32" s="163">
        <f t="shared" ref="Y32:Y52" si="36">IFERROR(IF(X32="Baja", 1, IF(X32="Moderada", 2, IF(X32="Alta", 3, IF(X32="Extrema", 4, "")))), "")</f>
        <v>3</v>
      </c>
      <c r="Z32" s="172"/>
      <c r="AA32" s="188"/>
      <c r="AB32" s="172"/>
      <c r="AC32" s="172"/>
      <c r="AD32" s="175"/>
      <c r="AE32" s="70" t="s">
        <v>113</v>
      </c>
      <c r="AF32" s="135" t="s">
        <v>255</v>
      </c>
      <c r="AG32" s="71"/>
      <c r="AH32" s="72" t="s">
        <v>69</v>
      </c>
      <c r="AI32" s="72" t="s">
        <v>71</v>
      </c>
      <c r="AJ32" s="72" t="s">
        <v>74</v>
      </c>
      <c r="AK32" s="72" t="s">
        <v>125</v>
      </c>
      <c r="AL32" s="72" t="s">
        <v>130</v>
      </c>
      <c r="AM32" s="82">
        <f>IFERROR((Tablas!$C$1*VLOOKUP(AH32, tipo_control, 2, 0)+Tablas!$E$1*VLOOKUP(AI32, nat_control, 2, 0)+Tablas!$G$1*VLOOKUP(AJ32, ev_control, 2, 0)+Tablas!$I$1*VLOOKUP(AK32, frec_control, 2, 0)+Tablas!$K$1*VLOOKUP(AL32, doc_control, 2, 0))*0.1*peso_dis, "")</f>
        <v>0.30000000000000004</v>
      </c>
      <c r="AN32" s="72" t="s">
        <v>138</v>
      </c>
      <c r="AO32" s="72" t="s">
        <v>142</v>
      </c>
      <c r="AP32" s="72" t="s">
        <v>146</v>
      </c>
      <c r="AQ32" s="82">
        <f>IFERROR((Tablas!$C$9*VLOOKUP(AN32, amb_control, 2, 0)+Tablas!$E$9*VLOOKUP(AO32, ejec_control, 2, 0)+Tablas!$G$9*VLOOKUP(AP32, cub_control, 2, 0))*0.1*peso_ejec, "")</f>
        <v>0.3</v>
      </c>
      <c r="AR32" s="96">
        <f t="shared" ref="AR32:AR56" si="37">IFERROR(AM32+AQ32, "")</f>
        <v>0.60000000000000009</v>
      </c>
      <c r="AS32" s="97" t="str">
        <f t="shared" ref="AS32:AS81" si="38">IFERROR(VLOOKUP(AH32, tabla03, 12, 0), "")</f>
        <v>Sí</v>
      </c>
      <c r="AT32" s="87" t="str">
        <f t="shared" ref="AT32:AT81" si="39">IFERROR(VLOOKUP(AH32, tabla03, 13, 0), "")</f>
        <v>No</v>
      </c>
      <c r="AU32" s="97">
        <f>IF(AR32&lt;Tablas!$G$19, 0, IF(AND(AR32&gt;=Tablas!$G$19, AR32&lt;Tablas!$G$20), 1,  IF(AND(AR32&gt;=Tablas!$G$20, AR32&lt;Tablas!$G$21), 2,  IF(AND(AR32&gt;=Tablas!$G$21, AR32&lt;=Tablas!$G$22), 3,  ""))))</f>
        <v>2</v>
      </c>
      <c r="AV32" s="97">
        <f t="shared" ref="AV32:AV56" si="40">IF(AS32="Sí",AU32,"")</f>
        <v>2</v>
      </c>
      <c r="AW32" s="98" t="str">
        <f t="shared" ref="AW32:AW56" si="41">IF(AT32="Sí",AU32,"")</f>
        <v/>
      </c>
      <c r="AX32" s="176" t="str">
        <f t="shared" ref="AX32" si="42">IFERROR(VLOOKUP(AY32, tabla04, 2, 0), "")</f>
        <v>Muy Baja</v>
      </c>
      <c r="AY32" s="168">
        <f>IF(F32="", "", IF((F32-MAX(AV32:AV36))&lt;=0, 1, F32-MAX(AV32:AV36)))</f>
        <v>1</v>
      </c>
      <c r="AZ32" s="178" t="str">
        <f t="shared" ref="AZ32" si="43">IFERROR(VLOOKUP(BA32, tabla04, 3, 0), "")</f>
        <v>Moderado</v>
      </c>
      <c r="BA32" s="168">
        <f>IF(Q32="", "", IF((Q32-MAX(AW32:AW36))&lt;=0, 1, Q32-MAX(AW32:AW36)))</f>
        <v>3</v>
      </c>
      <c r="BB32" s="169"/>
      <c r="BC32" s="169"/>
      <c r="BD32" s="215"/>
      <c r="BE32" s="215"/>
      <c r="BF32" s="177" t="str">
        <f t="shared" ref="BF32:BF54" si="44">IFERROR(VLOOKUP(CONCATENATE(AY32, "-", BA32), cuadrante_sev, 3, 0), "")</f>
        <v>Moderada</v>
      </c>
      <c r="BG32" s="169"/>
      <c r="BH32" s="50"/>
      <c r="BL32" s="73"/>
    </row>
    <row r="33" spans="1:64" s="51" customFormat="1" x14ac:dyDescent="0.25">
      <c r="A33" s="167"/>
      <c r="B33" s="220"/>
      <c r="C33" s="161"/>
      <c r="D33" s="160"/>
      <c r="E33" s="161"/>
      <c r="F33" s="164"/>
      <c r="G33" s="167"/>
      <c r="H33" s="167"/>
      <c r="I33" s="167"/>
      <c r="J33" s="167"/>
      <c r="K33" s="167"/>
      <c r="L33" s="166"/>
      <c r="M33" s="166"/>
      <c r="N33" s="166"/>
      <c r="O33" s="166"/>
      <c r="P33" s="166"/>
      <c r="Q33" s="166"/>
      <c r="R33" s="177"/>
      <c r="S33" s="167"/>
      <c r="T33" s="167"/>
      <c r="U33" s="167"/>
      <c r="V33" s="167"/>
      <c r="W33" s="167"/>
      <c r="X33" s="164"/>
      <c r="Y33" s="164"/>
      <c r="Z33" s="172"/>
      <c r="AA33" s="188"/>
      <c r="AB33" s="172"/>
      <c r="AC33" s="172"/>
      <c r="AD33" s="175"/>
      <c r="AE33" s="62" t="s">
        <v>114</v>
      </c>
      <c r="AF33" s="133"/>
      <c r="AG33" s="63"/>
      <c r="AH33" s="64"/>
      <c r="AI33" s="64"/>
      <c r="AJ33" s="64"/>
      <c r="AK33" s="64"/>
      <c r="AL33" s="64"/>
      <c r="AM33" s="80" t="str">
        <f>IFERROR((Tablas!$C$1*VLOOKUP(AH33, tipo_control, 2, 0)+Tablas!$E$1*VLOOKUP(AI33, nat_control, 2, 0)+Tablas!$G$1*VLOOKUP(AJ33, ev_control, 2, 0)+Tablas!$I$1*VLOOKUP(AK33, frec_control, 2, 0)+Tablas!$K$1*VLOOKUP(AL33, doc_control, 2, 0))*0.1*peso_dis, "")</f>
        <v/>
      </c>
      <c r="AN33" s="64"/>
      <c r="AO33" s="64"/>
      <c r="AP33" s="64"/>
      <c r="AQ33" s="80" t="str">
        <f>IFERROR((Tablas!$C$9*VLOOKUP(AN33, amb_control, 2, 0)+Tablas!$E$9*VLOOKUP(AO33, ejec_control, 2, 0)+Tablas!$G$9*VLOOKUP(AP33, cub_control, 2, 0))*0.1*peso_ejec, "")</f>
        <v/>
      </c>
      <c r="AR33" s="91" t="str">
        <f t="shared" si="37"/>
        <v/>
      </c>
      <c r="AS33" s="85" t="str">
        <f t="shared" si="38"/>
        <v/>
      </c>
      <c r="AT33" s="85" t="str">
        <f t="shared" si="39"/>
        <v/>
      </c>
      <c r="AU33" s="85" t="str">
        <f>IF(AR33&lt;Tablas!$G$19, 0, IF(AND(AR33&gt;=Tablas!$G$19, AR33&lt;Tablas!$G$20), 1,  IF(AND(AR33&gt;=Tablas!$G$20, AR33&lt;Tablas!$G$21), 2,  IF(AND(AR33&gt;=Tablas!$G$21, AR33&lt;=Tablas!$G$22), 3,  ""))))</f>
        <v/>
      </c>
      <c r="AV33" s="85" t="str">
        <f t="shared" si="40"/>
        <v/>
      </c>
      <c r="AW33" s="92" t="str">
        <f t="shared" si="41"/>
        <v/>
      </c>
      <c r="AX33" s="177"/>
      <c r="AY33" s="169"/>
      <c r="AZ33" s="158"/>
      <c r="BA33" s="169"/>
      <c r="BB33" s="169"/>
      <c r="BC33" s="169"/>
      <c r="BD33" s="215"/>
      <c r="BE33" s="215"/>
      <c r="BF33" s="177" t="str">
        <f t="shared" si="44"/>
        <v/>
      </c>
      <c r="BG33" s="169"/>
      <c r="BH33" s="50"/>
      <c r="BL33" s="73"/>
    </row>
    <row r="34" spans="1:64" s="51" customFormat="1" x14ac:dyDescent="0.25">
      <c r="A34" s="167"/>
      <c r="B34" s="220"/>
      <c r="C34" s="161"/>
      <c r="D34" s="160"/>
      <c r="E34" s="161"/>
      <c r="F34" s="164"/>
      <c r="G34" s="167"/>
      <c r="H34" s="167"/>
      <c r="I34" s="167"/>
      <c r="J34" s="167"/>
      <c r="K34" s="167"/>
      <c r="L34" s="166"/>
      <c r="M34" s="166"/>
      <c r="N34" s="166"/>
      <c r="O34" s="166"/>
      <c r="P34" s="166"/>
      <c r="Q34" s="166"/>
      <c r="R34" s="177"/>
      <c r="S34" s="167"/>
      <c r="T34" s="167"/>
      <c r="U34" s="167"/>
      <c r="V34" s="167"/>
      <c r="W34" s="167"/>
      <c r="X34" s="164"/>
      <c r="Y34" s="164"/>
      <c r="Z34" s="172"/>
      <c r="AA34" s="188"/>
      <c r="AB34" s="172"/>
      <c r="AC34" s="172"/>
      <c r="AD34" s="175"/>
      <c r="AE34" s="62" t="s">
        <v>115</v>
      </c>
      <c r="AF34" s="133"/>
      <c r="AG34" s="65"/>
      <c r="AH34" s="64"/>
      <c r="AI34" s="64"/>
      <c r="AJ34" s="64"/>
      <c r="AK34" s="64"/>
      <c r="AL34" s="64"/>
      <c r="AM34" s="80" t="str">
        <f>IFERROR((Tablas!$C$1*VLOOKUP(AH34, tipo_control, 2, 0)+Tablas!$E$1*VLOOKUP(AI34, nat_control, 2, 0)+Tablas!$G$1*VLOOKUP(AJ34, ev_control, 2, 0)+Tablas!$I$1*VLOOKUP(AK34, frec_control, 2, 0)+Tablas!$K$1*VLOOKUP(AL34, doc_control, 2, 0))*0.1*peso_dis, "")</f>
        <v/>
      </c>
      <c r="AN34" s="64"/>
      <c r="AO34" s="64"/>
      <c r="AP34" s="64"/>
      <c r="AQ34" s="80" t="str">
        <f>IFERROR((Tablas!$C$9*VLOOKUP(AN34, amb_control, 2, 0)+Tablas!$E$9*VLOOKUP(AO34, ejec_control, 2, 0)+Tablas!$G$9*VLOOKUP(AP34, cub_control, 2, 0))*0.1*peso_ejec, "")</f>
        <v/>
      </c>
      <c r="AR34" s="91" t="str">
        <f t="shared" si="37"/>
        <v/>
      </c>
      <c r="AS34" s="85" t="str">
        <f t="shared" si="38"/>
        <v/>
      </c>
      <c r="AT34" s="85" t="str">
        <f t="shared" si="39"/>
        <v/>
      </c>
      <c r="AU34" s="85" t="str">
        <f>IF(AR34&lt;Tablas!$G$19, 0, IF(AND(AR34&gt;=Tablas!$G$19, AR34&lt;Tablas!$G$20), 1,  IF(AND(AR34&gt;=Tablas!$G$20, AR34&lt;Tablas!$G$21), 2,  IF(AND(AR34&gt;=Tablas!$G$21, AR34&lt;=Tablas!$G$22), 3,  ""))))</f>
        <v/>
      </c>
      <c r="AV34" s="85" t="str">
        <f t="shared" si="40"/>
        <v/>
      </c>
      <c r="AW34" s="92" t="str">
        <f t="shared" si="41"/>
        <v/>
      </c>
      <c r="AX34" s="177"/>
      <c r="AY34" s="169"/>
      <c r="AZ34" s="158"/>
      <c r="BA34" s="169"/>
      <c r="BB34" s="169"/>
      <c r="BC34" s="169"/>
      <c r="BD34" s="215"/>
      <c r="BE34" s="215"/>
      <c r="BF34" s="177" t="str">
        <f t="shared" si="44"/>
        <v/>
      </c>
      <c r="BG34" s="169"/>
      <c r="BH34" s="50"/>
      <c r="BL34" s="73"/>
    </row>
    <row r="35" spans="1:64" s="51" customFormat="1" x14ac:dyDescent="0.25">
      <c r="A35" s="167"/>
      <c r="B35" s="220"/>
      <c r="C35" s="161"/>
      <c r="D35" s="160"/>
      <c r="E35" s="161"/>
      <c r="F35" s="164"/>
      <c r="G35" s="167"/>
      <c r="H35" s="167"/>
      <c r="I35" s="167"/>
      <c r="J35" s="167"/>
      <c r="K35" s="167"/>
      <c r="L35" s="166"/>
      <c r="M35" s="166"/>
      <c r="N35" s="166"/>
      <c r="O35" s="166"/>
      <c r="P35" s="166"/>
      <c r="Q35" s="166"/>
      <c r="R35" s="177"/>
      <c r="S35" s="167"/>
      <c r="T35" s="167"/>
      <c r="U35" s="167"/>
      <c r="V35" s="167"/>
      <c r="W35" s="167"/>
      <c r="X35" s="164"/>
      <c r="Y35" s="164"/>
      <c r="Z35" s="172"/>
      <c r="AA35" s="188"/>
      <c r="AB35" s="172"/>
      <c r="AC35" s="172"/>
      <c r="AD35" s="175"/>
      <c r="AE35" s="62" t="s">
        <v>153</v>
      </c>
      <c r="AF35" s="133"/>
      <c r="AG35" s="65"/>
      <c r="AH35" s="64"/>
      <c r="AI35" s="64"/>
      <c r="AJ35" s="64"/>
      <c r="AK35" s="64"/>
      <c r="AL35" s="64"/>
      <c r="AM35" s="80" t="str">
        <f>IFERROR((Tablas!$C$1*VLOOKUP(AH35, tipo_control, 2, 0)+Tablas!$E$1*VLOOKUP(AI35, nat_control, 2, 0)+Tablas!$G$1*VLOOKUP(AJ35, ev_control, 2, 0)+Tablas!$I$1*VLOOKUP(AK35, frec_control, 2, 0)+Tablas!$K$1*VLOOKUP(AL35, doc_control, 2, 0))*0.1*peso_dis, "")</f>
        <v/>
      </c>
      <c r="AN35" s="64"/>
      <c r="AO35" s="64"/>
      <c r="AP35" s="64"/>
      <c r="AQ35" s="80" t="str">
        <f>IFERROR((Tablas!$C$9*VLOOKUP(AN35, amb_control, 2, 0)+Tablas!$E$9*VLOOKUP(AO35, ejec_control, 2, 0)+Tablas!$G$9*VLOOKUP(AP35, cub_control, 2, 0))*0.1*peso_ejec, "")</f>
        <v/>
      </c>
      <c r="AR35" s="91" t="str">
        <f t="shared" si="37"/>
        <v/>
      </c>
      <c r="AS35" s="85" t="str">
        <f t="shared" si="38"/>
        <v/>
      </c>
      <c r="AT35" s="85" t="str">
        <f t="shared" si="39"/>
        <v/>
      </c>
      <c r="AU35" s="85" t="str">
        <f>IF(AR35&lt;Tablas!$G$19, 0, IF(AND(AR35&gt;=Tablas!$G$19, AR35&lt;Tablas!$G$20), 1,  IF(AND(AR35&gt;=Tablas!$G$20, AR35&lt;Tablas!$G$21), 2,  IF(AND(AR35&gt;=Tablas!$G$21, AR35&lt;=Tablas!$G$22), 3,  ""))))</f>
        <v/>
      </c>
      <c r="AV35" s="85" t="str">
        <f t="shared" si="40"/>
        <v/>
      </c>
      <c r="AW35" s="92" t="str">
        <f t="shared" si="41"/>
        <v/>
      </c>
      <c r="AX35" s="177"/>
      <c r="AY35" s="169"/>
      <c r="AZ35" s="158"/>
      <c r="BA35" s="169"/>
      <c r="BB35" s="169"/>
      <c r="BC35" s="169"/>
      <c r="BD35" s="215"/>
      <c r="BE35" s="215"/>
      <c r="BF35" s="177"/>
      <c r="BG35" s="169"/>
      <c r="BH35" s="50"/>
      <c r="BL35" s="73"/>
    </row>
    <row r="36" spans="1:64" s="51" customFormat="1" ht="15.75" thickBot="1" x14ac:dyDescent="0.3">
      <c r="A36" s="167"/>
      <c r="B36" s="220"/>
      <c r="C36" s="161"/>
      <c r="D36" s="160"/>
      <c r="E36" s="161"/>
      <c r="F36" s="165"/>
      <c r="G36" s="149"/>
      <c r="H36" s="149"/>
      <c r="I36" s="149"/>
      <c r="J36" s="149"/>
      <c r="K36" s="149"/>
      <c r="L36" s="166"/>
      <c r="M36" s="166"/>
      <c r="N36" s="166"/>
      <c r="O36" s="166"/>
      <c r="P36" s="166"/>
      <c r="Q36" s="166"/>
      <c r="R36" s="177"/>
      <c r="S36" s="149"/>
      <c r="T36" s="149"/>
      <c r="U36" s="149"/>
      <c r="V36" s="149"/>
      <c r="W36" s="149"/>
      <c r="X36" s="165"/>
      <c r="Y36" s="165"/>
      <c r="Z36" s="172"/>
      <c r="AA36" s="188"/>
      <c r="AB36" s="172"/>
      <c r="AC36" s="172"/>
      <c r="AD36" s="175"/>
      <c r="AE36" s="66" t="s">
        <v>154</v>
      </c>
      <c r="AF36" s="134"/>
      <c r="AG36" s="67"/>
      <c r="AH36" s="69"/>
      <c r="AI36" s="69"/>
      <c r="AJ36" s="69"/>
      <c r="AK36" s="69"/>
      <c r="AL36" s="69"/>
      <c r="AM36" s="81" t="str">
        <f>IFERROR((Tablas!$C$1*VLOOKUP(AH36, tipo_control, 2, 0)+Tablas!$E$1*VLOOKUP(AI36, nat_control, 2, 0)+Tablas!$G$1*VLOOKUP(AJ36, ev_control, 2, 0)+Tablas!$I$1*VLOOKUP(AK36, frec_control, 2, 0)+Tablas!$K$1*VLOOKUP(AL36, doc_control, 2, 0))*0.1*peso_dis, "")</f>
        <v/>
      </c>
      <c r="AN36" s="69"/>
      <c r="AO36" s="69"/>
      <c r="AP36" s="69"/>
      <c r="AQ36" s="81" t="str">
        <f>IFERROR((Tablas!$C$9*VLOOKUP(AN36, amb_control, 2, 0)+Tablas!$E$9*VLOOKUP(AO36, ejec_control, 2, 0)+Tablas!$G$9*VLOOKUP(AP36, cub_control, 2, 0))*0.1*peso_ejec, "")</f>
        <v/>
      </c>
      <c r="AR36" s="93" t="str">
        <f t="shared" si="37"/>
        <v/>
      </c>
      <c r="AS36" s="94" t="str">
        <f t="shared" si="38"/>
        <v/>
      </c>
      <c r="AT36" s="94" t="str">
        <f t="shared" si="39"/>
        <v/>
      </c>
      <c r="AU36" s="94" t="str">
        <f>IF(AR36&lt;Tablas!$G$19, 0, IF(AND(AR36&gt;=Tablas!$G$19, AR36&lt;Tablas!$G$20), 1,  IF(AND(AR36&gt;=Tablas!$G$20, AR36&lt;Tablas!$G$21), 2,  IF(AND(AR36&gt;=Tablas!$G$21, AR36&lt;=Tablas!$G$22), 3,  ""))))</f>
        <v/>
      </c>
      <c r="AV36" s="94" t="str">
        <f t="shared" si="40"/>
        <v/>
      </c>
      <c r="AW36" s="95" t="str">
        <f t="shared" si="41"/>
        <v/>
      </c>
      <c r="AX36" s="157"/>
      <c r="AY36" s="170"/>
      <c r="AZ36" s="179"/>
      <c r="BA36" s="170"/>
      <c r="BB36" s="169"/>
      <c r="BC36" s="169"/>
      <c r="BD36" s="215"/>
      <c r="BE36" s="215"/>
      <c r="BF36" s="177"/>
      <c r="BG36" s="169"/>
      <c r="BH36" s="50"/>
      <c r="BL36" s="73"/>
    </row>
    <row r="37" spans="1:64" s="51" customFormat="1" x14ac:dyDescent="0.25">
      <c r="A37" s="167"/>
      <c r="B37" s="220"/>
      <c r="C37" s="161" t="s">
        <v>180</v>
      </c>
      <c r="D37" s="160"/>
      <c r="E37" s="149"/>
      <c r="F37" s="163" t="str">
        <f t="shared" si="0"/>
        <v/>
      </c>
      <c r="G37" s="148"/>
      <c r="H37" s="148"/>
      <c r="I37" s="148"/>
      <c r="J37" s="148"/>
      <c r="K37" s="148"/>
      <c r="L37" s="165" t="str">
        <f t="shared" ref="L37" si="45">IFERROR(VLOOKUP(G37, tabla02, 2, 0), "")</f>
        <v/>
      </c>
      <c r="M37" s="165" t="str">
        <f t="shared" ref="M37" si="46">IFERROR(VLOOKUP(H37, tabla02, 2, 0), "")</f>
        <v/>
      </c>
      <c r="N37" s="165" t="str">
        <f t="shared" ref="N37" si="47">IFERROR(VLOOKUP(I37, tabla02, 2, 0), "")</f>
        <v/>
      </c>
      <c r="O37" s="165" t="str">
        <f t="shared" ref="O37" si="48">IFERROR(VLOOKUP(J37, tabla02, 2, 0), "")</f>
        <v/>
      </c>
      <c r="P37" s="165" t="str">
        <f t="shared" ref="P37" si="49">IFERROR(VLOOKUP(K37, tabla02, 2, 0), "")</f>
        <v/>
      </c>
      <c r="Q37" s="165" t="str">
        <f t="shared" ref="Q37" si="50">IF(SUM(L37:P37)=0, "", MAX(L37:P37))</f>
        <v/>
      </c>
      <c r="R37" s="159" t="str">
        <f>IFERROR(VLOOKUP(Q37, tabla04, 3, 0), "")</f>
        <v/>
      </c>
      <c r="S37" s="148"/>
      <c r="T37" s="148"/>
      <c r="U37" s="148"/>
      <c r="V37" s="148"/>
      <c r="W37" s="148"/>
      <c r="X37" s="163" t="str">
        <f>IFERROR(VLOOKUP(CONCATENATE(F37, "-", Q37), cuadrante_sev, 3, 0), "")</f>
        <v/>
      </c>
      <c r="Y37" s="163" t="str">
        <f t="shared" si="36"/>
        <v/>
      </c>
      <c r="Z37" s="172"/>
      <c r="AA37" s="188"/>
      <c r="AB37" s="172"/>
      <c r="AC37" s="172"/>
      <c r="AD37" s="175"/>
      <c r="AE37" s="70" t="s">
        <v>113</v>
      </c>
      <c r="AF37" s="135"/>
      <c r="AG37" s="74"/>
      <c r="AH37" s="72"/>
      <c r="AI37" s="72"/>
      <c r="AJ37" s="72"/>
      <c r="AK37" s="72"/>
      <c r="AL37" s="72"/>
      <c r="AM37" s="82" t="str">
        <f>IFERROR((Tablas!$C$1*VLOOKUP(AH37, tipo_control, 2, 0)+Tablas!$E$1*VLOOKUP(AI37, nat_control, 2, 0)+Tablas!$G$1*VLOOKUP(AJ37, ev_control, 2, 0)+Tablas!$I$1*VLOOKUP(AK37, frec_control, 2, 0)+Tablas!$K$1*VLOOKUP(AL37, doc_control, 2, 0))*0.1*peso_dis, "")</f>
        <v/>
      </c>
      <c r="AN37" s="72"/>
      <c r="AO37" s="72"/>
      <c r="AP37" s="72"/>
      <c r="AQ37" s="82" t="str">
        <f>IFERROR((Tablas!$C$9*VLOOKUP(AN37, amb_control, 2, 0)+Tablas!$E$9*VLOOKUP(AO37, ejec_control, 2, 0)+Tablas!$G$9*VLOOKUP(AP37, cub_control, 2, 0))*0.1*peso_ejec, "")</f>
        <v/>
      </c>
      <c r="AR37" s="96" t="str">
        <f t="shared" si="37"/>
        <v/>
      </c>
      <c r="AS37" s="97" t="str">
        <f t="shared" si="38"/>
        <v/>
      </c>
      <c r="AT37" s="87" t="str">
        <f t="shared" si="39"/>
        <v/>
      </c>
      <c r="AU37" s="97" t="str">
        <f>IF(AR37&lt;Tablas!$G$19, 0, IF(AND(AR37&gt;=Tablas!$G$19, AR37&lt;Tablas!$G$20), 1,  IF(AND(AR37&gt;=Tablas!$G$20, AR37&lt;Tablas!$G$21), 2,  IF(AND(AR37&gt;=Tablas!$G$21, AR37&lt;=Tablas!$G$22), 3,  ""))))</f>
        <v/>
      </c>
      <c r="AV37" s="97" t="str">
        <f t="shared" si="40"/>
        <v/>
      </c>
      <c r="AW37" s="98" t="str">
        <f t="shared" si="41"/>
        <v/>
      </c>
      <c r="AX37" s="176" t="str">
        <f t="shared" ref="AX37" si="51">IFERROR(VLOOKUP(AY37, tabla04, 2, 0), "")</f>
        <v/>
      </c>
      <c r="AY37" s="168" t="str">
        <f>IF(F37="", "", IF((F37-MAX(AV37:AV41))&lt;=0, 1, F37-MAX(AV37:AV41)))</f>
        <v/>
      </c>
      <c r="AZ37" s="178" t="str">
        <f t="shared" ref="AZ37" si="52">IFERROR(VLOOKUP(BA37, tabla04, 3, 0), "")</f>
        <v/>
      </c>
      <c r="BA37" s="168" t="str">
        <f>IF(Q37="", "", IF((Q37-MAX(AW37:AW41))&lt;=0, 1, Q37-MAX(AW37:AW41)))</f>
        <v/>
      </c>
      <c r="BB37" s="169"/>
      <c r="BC37" s="169"/>
      <c r="BD37" s="215"/>
      <c r="BE37" s="215"/>
      <c r="BF37" s="177" t="str">
        <f t="shared" si="44"/>
        <v/>
      </c>
      <c r="BG37" s="169"/>
      <c r="BH37" s="50"/>
      <c r="BL37" s="73"/>
    </row>
    <row r="38" spans="1:64" s="51" customFormat="1" x14ac:dyDescent="0.25">
      <c r="A38" s="167"/>
      <c r="B38" s="220"/>
      <c r="C38" s="161"/>
      <c r="D38" s="160"/>
      <c r="E38" s="161"/>
      <c r="F38" s="164"/>
      <c r="G38" s="167"/>
      <c r="H38" s="167"/>
      <c r="I38" s="167"/>
      <c r="J38" s="167"/>
      <c r="K38" s="167"/>
      <c r="L38" s="166"/>
      <c r="M38" s="166"/>
      <c r="N38" s="166"/>
      <c r="O38" s="166"/>
      <c r="P38" s="166"/>
      <c r="Q38" s="166"/>
      <c r="R38" s="177"/>
      <c r="S38" s="167"/>
      <c r="T38" s="167"/>
      <c r="U38" s="167"/>
      <c r="V38" s="167"/>
      <c r="W38" s="167"/>
      <c r="X38" s="164"/>
      <c r="Y38" s="164"/>
      <c r="Z38" s="172"/>
      <c r="AA38" s="188"/>
      <c r="AB38" s="172"/>
      <c r="AC38" s="172"/>
      <c r="AD38" s="175"/>
      <c r="AE38" s="62" t="s">
        <v>114</v>
      </c>
      <c r="AF38" s="133"/>
      <c r="AG38" s="65"/>
      <c r="AH38" s="64"/>
      <c r="AI38" s="64"/>
      <c r="AJ38" s="64"/>
      <c r="AK38" s="64"/>
      <c r="AL38" s="64"/>
      <c r="AM38" s="80" t="str">
        <f>IFERROR((Tablas!$C$1*VLOOKUP(AH38, tipo_control, 2, 0)+Tablas!$E$1*VLOOKUP(AI38, nat_control, 2, 0)+Tablas!$G$1*VLOOKUP(AJ38, ev_control, 2, 0)+Tablas!$I$1*VLOOKUP(AK38, frec_control, 2, 0)+Tablas!$K$1*VLOOKUP(AL38, doc_control, 2, 0))*0.1*peso_dis, "")</f>
        <v/>
      </c>
      <c r="AN38" s="64"/>
      <c r="AO38" s="64"/>
      <c r="AP38" s="64"/>
      <c r="AQ38" s="80" t="str">
        <f>IFERROR((Tablas!$C$9*VLOOKUP(AN38, amb_control, 2, 0)+Tablas!$E$9*VLOOKUP(AO38, ejec_control, 2, 0)+Tablas!$G$9*VLOOKUP(AP38, cub_control, 2, 0))*0.1*peso_ejec, "")</f>
        <v/>
      </c>
      <c r="AR38" s="91" t="str">
        <f t="shared" si="37"/>
        <v/>
      </c>
      <c r="AS38" s="85" t="str">
        <f t="shared" si="38"/>
        <v/>
      </c>
      <c r="AT38" s="85" t="str">
        <f t="shared" si="39"/>
        <v/>
      </c>
      <c r="AU38" s="85" t="str">
        <f>IF(AR38&lt;Tablas!$G$19, 0, IF(AND(AR38&gt;=Tablas!$G$19, AR38&lt;Tablas!$G$20), 1,  IF(AND(AR38&gt;=Tablas!$G$20, AR38&lt;Tablas!$G$21), 2,  IF(AND(AR38&gt;=Tablas!$G$21, AR38&lt;=Tablas!$G$22), 3,  ""))))</f>
        <v/>
      </c>
      <c r="AV38" s="85" t="str">
        <f t="shared" si="40"/>
        <v/>
      </c>
      <c r="AW38" s="92" t="str">
        <f t="shared" si="41"/>
        <v/>
      </c>
      <c r="AX38" s="177"/>
      <c r="AY38" s="169"/>
      <c r="AZ38" s="158"/>
      <c r="BA38" s="169"/>
      <c r="BB38" s="169"/>
      <c r="BC38" s="169"/>
      <c r="BD38" s="215"/>
      <c r="BE38" s="215"/>
      <c r="BF38" s="177" t="str">
        <f t="shared" si="44"/>
        <v/>
      </c>
      <c r="BG38" s="169"/>
      <c r="BH38" s="50"/>
      <c r="BL38" s="73"/>
    </row>
    <row r="39" spans="1:64" s="51" customFormat="1" x14ac:dyDescent="0.25">
      <c r="A39" s="167"/>
      <c r="B39" s="220"/>
      <c r="C39" s="161"/>
      <c r="D39" s="160"/>
      <c r="E39" s="161"/>
      <c r="F39" s="164"/>
      <c r="G39" s="167"/>
      <c r="H39" s="167"/>
      <c r="I39" s="167"/>
      <c r="J39" s="167"/>
      <c r="K39" s="167"/>
      <c r="L39" s="166"/>
      <c r="M39" s="166"/>
      <c r="N39" s="166"/>
      <c r="O39" s="166"/>
      <c r="P39" s="166"/>
      <c r="Q39" s="166"/>
      <c r="R39" s="177"/>
      <c r="S39" s="167"/>
      <c r="T39" s="167"/>
      <c r="U39" s="167"/>
      <c r="V39" s="167"/>
      <c r="W39" s="167"/>
      <c r="X39" s="164"/>
      <c r="Y39" s="164"/>
      <c r="Z39" s="172"/>
      <c r="AA39" s="188"/>
      <c r="AB39" s="172"/>
      <c r="AC39" s="172"/>
      <c r="AD39" s="175"/>
      <c r="AE39" s="62" t="s">
        <v>115</v>
      </c>
      <c r="AF39" s="133"/>
      <c r="AG39" s="65"/>
      <c r="AH39" s="64"/>
      <c r="AI39" s="64"/>
      <c r="AJ39" s="64"/>
      <c r="AK39" s="64"/>
      <c r="AL39" s="64"/>
      <c r="AM39" s="80" t="str">
        <f>IFERROR((Tablas!$C$1*VLOOKUP(AH39, tipo_control, 2, 0)+Tablas!$E$1*VLOOKUP(AI39, nat_control, 2, 0)+Tablas!$G$1*VLOOKUP(AJ39, ev_control, 2, 0)+Tablas!$I$1*VLOOKUP(AK39, frec_control, 2, 0)+Tablas!$K$1*VLOOKUP(AL39, doc_control, 2, 0))*0.1*peso_dis, "")</f>
        <v/>
      </c>
      <c r="AN39" s="64"/>
      <c r="AO39" s="64"/>
      <c r="AP39" s="64"/>
      <c r="AQ39" s="80" t="str">
        <f>IFERROR((Tablas!$C$9*VLOOKUP(AN39, amb_control, 2, 0)+Tablas!$E$9*VLOOKUP(AO39, ejec_control, 2, 0)+Tablas!$G$9*VLOOKUP(AP39, cub_control, 2, 0))*0.1*peso_ejec, "")</f>
        <v/>
      </c>
      <c r="AR39" s="91" t="str">
        <f t="shared" si="37"/>
        <v/>
      </c>
      <c r="AS39" s="85" t="str">
        <f t="shared" si="38"/>
        <v/>
      </c>
      <c r="AT39" s="85" t="str">
        <f t="shared" si="39"/>
        <v/>
      </c>
      <c r="AU39" s="85" t="str">
        <f>IF(AR39&lt;Tablas!$G$19, 0, IF(AND(AR39&gt;=Tablas!$G$19, AR39&lt;Tablas!$G$20), 1,  IF(AND(AR39&gt;=Tablas!$G$20, AR39&lt;Tablas!$G$21), 2,  IF(AND(AR39&gt;=Tablas!$G$21, AR39&lt;=Tablas!$G$22), 3,  ""))))</f>
        <v/>
      </c>
      <c r="AV39" s="85" t="str">
        <f t="shared" si="40"/>
        <v/>
      </c>
      <c r="AW39" s="92" t="str">
        <f t="shared" si="41"/>
        <v/>
      </c>
      <c r="AX39" s="177"/>
      <c r="AY39" s="169"/>
      <c r="AZ39" s="158"/>
      <c r="BA39" s="169"/>
      <c r="BB39" s="169"/>
      <c r="BC39" s="169"/>
      <c r="BD39" s="215"/>
      <c r="BE39" s="215"/>
      <c r="BF39" s="177" t="str">
        <f t="shared" si="44"/>
        <v/>
      </c>
      <c r="BG39" s="169"/>
      <c r="BH39" s="50"/>
      <c r="BL39" s="73"/>
    </row>
    <row r="40" spans="1:64" s="51" customFormat="1" x14ac:dyDescent="0.25">
      <c r="A40" s="167"/>
      <c r="B40" s="220"/>
      <c r="C40" s="161"/>
      <c r="D40" s="160"/>
      <c r="E40" s="161"/>
      <c r="F40" s="164"/>
      <c r="G40" s="167"/>
      <c r="H40" s="167"/>
      <c r="I40" s="167"/>
      <c r="J40" s="167"/>
      <c r="K40" s="167"/>
      <c r="L40" s="166"/>
      <c r="M40" s="166"/>
      <c r="N40" s="166"/>
      <c r="O40" s="166"/>
      <c r="P40" s="166"/>
      <c r="Q40" s="166"/>
      <c r="R40" s="177"/>
      <c r="S40" s="167"/>
      <c r="T40" s="167"/>
      <c r="U40" s="167"/>
      <c r="V40" s="167"/>
      <c r="W40" s="167"/>
      <c r="X40" s="164"/>
      <c r="Y40" s="164"/>
      <c r="Z40" s="172"/>
      <c r="AA40" s="188"/>
      <c r="AB40" s="172"/>
      <c r="AC40" s="172"/>
      <c r="AD40" s="175"/>
      <c r="AE40" s="62" t="s">
        <v>153</v>
      </c>
      <c r="AF40" s="133"/>
      <c r="AG40" s="65"/>
      <c r="AH40" s="64"/>
      <c r="AI40" s="64"/>
      <c r="AJ40" s="64"/>
      <c r="AK40" s="64"/>
      <c r="AL40" s="64"/>
      <c r="AM40" s="80" t="str">
        <f>IFERROR((Tablas!$C$1*VLOOKUP(AH40, tipo_control, 2, 0)+Tablas!$E$1*VLOOKUP(AI40, nat_control, 2, 0)+Tablas!$G$1*VLOOKUP(AJ40, ev_control, 2, 0)+Tablas!$I$1*VLOOKUP(AK40, frec_control, 2, 0)+Tablas!$K$1*VLOOKUP(AL40, doc_control, 2, 0))*0.1*peso_dis, "")</f>
        <v/>
      </c>
      <c r="AN40" s="64"/>
      <c r="AO40" s="64"/>
      <c r="AP40" s="64"/>
      <c r="AQ40" s="80" t="str">
        <f>IFERROR((Tablas!$C$9*VLOOKUP(AN40, amb_control, 2, 0)+Tablas!$E$9*VLOOKUP(AO40, ejec_control, 2, 0)+Tablas!$G$9*VLOOKUP(AP40, cub_control, 2, 0))*0.1*peso_ejec, "")</f>
        <v/>
      </c>
      <c r="AR40" s="91" t="str">
        <f t="shared" si="37"/>
        <v/>
      </c>
      <c r="AS40" s="85" t="str">
        <f t="shared" si="38"/>
        <v/>
      </c>
      <c r="AT40" s="85" t="str">
        <f t="shared" si="39"/>
        <v/>
      </c>
      <c r="AU40" s="85" t="str">
        <f>IF(AR40&lt;Tablas!$G$19, 0, IF(AND(AR40&gt;=Tablas!$G$19, AR40&lt;Tablas!$G$20), 1,  IF(AND(AR40&gt;=Tablas!$G$20, AR40&lt;Tablas!$G$21), 2,  IF(AND(AR40&gt;=Tablas!$G$21, AR40&lt;=Tablas!$G$22), 3,  ""))))</f>
        <v/>
      </c>
      <c r="AV40" s="85" t="str">
        <f t="shared" si="40"/>
        <v/>
      </c>
      <c r="AW40" s="92" t="str">
        <f t="shared" si="41"/>
        <v/>
      </c>
      <c r="AX40" s="177"/>
      <c r="AY40" s="169"/>
      <c r="AZ40" s="158"/>
      <c r="BA40" s="169"/>
      <c r="BB40" s="169"/>
      <c r="BC40" s="169"/>
      <c r="BD40" s="215"/>
      <c r="BE40" s="215"/>
      <c r="BF40" s="177"/>
      <c r="BG40" s="169"/>
      <c r="BH40" s="50"/>
      <c r="BL40" s="73"/>
    </row>
    <row r="41" spans="1:64" s="51" customFormat="1" ht="14.25" customHeight="1" thickBot="1" x14ac:dyDescent="0.3">
      <c r="A41" s="167"/>
      <c r="B41" s="220"/>
      <c r="C41" s="161"/>
      <c r="D41" s="160"/>
      <c r="E41" s="161"/>
      <c r="F41" s="165"/>
      <c r="G41" s="149"/>
      <c r="H41" s="149"/>
      <c r="I41" s="149"/>
      <c r="J41" s="149"/>
      <c r="K41" s="149"/>
      <c r="L41" s="166"/>
      <c r="M41" s="166"/>
      <c r="N41" s="166"/>
      <c r="O41" s="166"/>
      <c r="P41" s="166"/>
      <c r="Q41" s="166"/>
      <c r="R41" s="177"/>
      <c r="S41" s="149"/>
      <c r="T41" s="149"/>
      <c r="U41" s="149"/>
      <c r="V41" s="149"/>
      <c r="W41" s="149"/>
      <c r="X41" s="165"/>
      <c r="Y41" s="165"/>
      <c r="Z41" s="172"/>
      <c r="AA41" s="188"/>
      <c r="AB41" s="172"/>
      <c r="AC41" s="172"/>
      <c r="AD41" s="175"/>
      <c r="AE41" s="66" t="s">
        <v>154</v>
      </c>
      <c r="AF41" s="134"/>
      <c r="AG41" s="67"/>
      <c r="AH41" s="69"/>
      <c r="AI41" s="69"/>
      <c r="AJ41" s="69"/>
      <c r="AK41" s="69"/>
      <c r="AL41" s="69"/>
      <c r="AM41" s="81" t="str">
        <f>IFERROR((Tablas!$C$1*VLOOKUP(AH41, tipo_control, 2, 0)+Tablas!$E$1*VLOOKUP(AI41, nat_control, 2, 0)+Tablas!$G$1*VLOOKUP(AJ41, ev_control, 2, 0)+Tablas!$I$1*VLOOKUP(AK41, frec_control, 2, 0)+Tablas!$K$1*VLOOKUP(AL41, doc_control, 2, 0))*0.1*peso_dis, "")</f>
        <v/>
      </c>
      <c r="AN41" s="69"/>
      <c r="AO41" s="69"/>
      <c r="AP41" s="69"/>
      <c r="AQ41" s="81" t="str">
        <f>IFERROR((Tablas!$C$9*VLOOKUP(AN41, amb_control, 2, 0)+Tablas!$E$9*VLOOKUP(AO41, ejec_control, 2, 0)+Tablas!$G$9*VLOOKUP(AP41, cub_control, 2, 0))*0.1*peso_ejec, "")</f>
        <v/>
      </c>
      <c r="AR41" s="93" t="str">
        <f t="shared" si="37"/>
        <v/>
      </c>
      <c r="AS41" s="94" t="str">
        <f t="shared" si="38"/>
        <v/>
      </c>
      <c r="AT41" s="94" t="str">
        <f t="shared" si="39"/>
        <v/>
      </c>
      <c r="AU41" s="94" t="str">
        <f>IF(AR41&lt;Tablas!$G$19, 0, IF(AND(AR41&gt;=Tablas!$G$19, AR41&lt;Tablas!$G$20), 1,  IF(AND(AR41&gt;=Tablas!$G$20, AR41&lt;Tablas!$G$21), 2,  IF(AND(AR41&gt;=Tablas!$G$21, AR41&lt;=Tablas!$G$22), 3,  ""))))</f>
        <v/>
      </c>
      <c r="AV41" s="94" t="str">
        <f t="shared" si="40"/>
        <v/>
      </c>
      <c r="AW41" s="95" t="str">
        <f t="shared" si="41"/>
        <v/>
      </c>
      <c r="AX41" s="157"/>
      <c r="AY41" s="170"/>
      <c r="AZ41" s="179"/>
      <c r="BA41" s="170"/>
      <c r="BB41" s="169"/>
      <c r="BC41" s="169"/>
      <c r="BD41" s="215"/>
      <c r="BE41" s="215"/>
      <c r="BF41" s="177"/>
      <c r="BG41" s="169"/>
      <c r="BH41" s="50"/>
      <c r="BL41" s="73"/>
    </row>
    <row r="42" spans="1:64" s="51" customFormat="1" ht="15" customHeight="1" x14ac:dyDescent="0.25">
      <c r="A42" s="167"/>
      <c r="B42" s="220"/>
      <c r="C42" s="161" t="s">
        <v>181</v>
      </c>
      <c r="D42" s="160"/>
      <c r="E42" s="149"/>
      <c r="F42" s="163" t="str">
        <f t="shared" si="0"/>
        <v/>
      </c>
      <c r="G42" s="148"/>
      <c r="H42" s="148"/>
      <c r="I42" s="148"/>
      <c r="J42" s="148"/>
      <c r="K42" s="148"/>
      <c r="L42" s="165" t="str">
        <f t="shared" ref="L42" si="53">IFERROR(VLOOKUP(G42, tabla02, 2, 0), "")</f>
        <v/>
      </c>
      <c r="M42" s="165" t="str">
        <f t="shared" ref="M42" si="54">IFERROR(VLOOKUP(H42, tabla02, 2, 0), "")</f>
        <v/>
      </c>
      <c r="N42" s="165" t="str">
        <f t="shared" ref="N42" si="55">IFERROR(VLOOKUP(I42, tabla02, 2, 0), "")</f>
        <v/>
      </c>
      <c r="O42" s="165" t="str">
        <f t="shared" ref="O42" si="56">IFERROR(VLOOKUP(J42, tabla02, 2, 0), "")</f>
        <v/>
      </c>
      <c r="P42" s="165" t="str">
        <f t="shared" ref="P42" si="57">IFERROR(VLOOKUP(K42, tabla02, 2, 0), "")</f>
        <v/>
      </c>
      <c r="Q42" s="165" t="str">
        <f t="shared" ref="Q42" si="58">IF(SUM(L42:P42)=0, "", MAX(L42:P42))</f>
        <v/>
      </c>
      <c r="R42" s="159" t="str">
        <f>IFERROR(VLOOKUP(Q42, tabla04, 3, 0), "")</f>
        <v/>
      </c>
      <c r="S42" s="148"/>
      <c r="T42" s="148"/>
      <c r="U42" s="148"/>
      <c r="V42" s="148"/>
      <c r="W42" s="148"/>
      <c r="X42" s="163" t="str">
        <f>IFERROR(VLOOKUP(CONCATENATE(F42, "-", Q42), cuadrante_sev, 3, 0), "")</f>
        <v/>
      </c>
      <c r="Y42" s="163" t="str">
        <f t="shared" si="36"/>
        <v/>
      </c>
      <c r="Z42" s="172"/>
      <c r="AA42" s="188"/>
      <c r="AB42" s="172"/>
      <c r="AC42" s="172"/>
      <c r="AD42" s="175"/>
      <c r="AE42" s="70" t="s">
        <v>113</v>
      </c>
      <c r="AF42" s="135"/>
      <c r="AG42" s="74"/>
      <c r="AH42" s="72"/>
      <c r="AI42" s="72"/>
      <c r="AJ42" s="72"/>
      <c r="AK42" s="72"/>
      <c r="AL42" s="72"/>
      <c r="AM42" s="82" t="str">
        <f>IFERROR((Tablas!$C$1*VLOOKUP(AH42, tipo_control, 2, 0)+Tablas!$E$1*VLOOKUP(AI42, nat_control, 2, 0)+Tablas!$G$1*VLOOKUP(AJ42, ev_control, 2, 0)+Tablas!$I$1*VLOOKUP(AK42, frec_control, 2, 0)+Tablas!$K$1*VLOOKUP(AL42, doc_control, 2, 0))*0.1*peso_dis, "")</f>
        <v/>
      </c>
      <c r="AN42" s="72"/>
      <c r="AO42" s="72"/>
      <c r="AP42" s="72"/>
      <c r="AQ42" s="82" t="str">
        <f>IFERROR((Tablas!$C$9*VLOOKUP(AN42, amb_control, 2, 0)+Tablas!$E$9*VLOOKUP(AO42, ejec_control, 2, 0)+Tablas!$G$9*VLOOKUP(AP42, cub_control, 2, 0))*0.1*peso_ejec, "")</f>
        <v/>
      </c>
      <c r="AR42" s="96" t="str">
        <f t="shared" si="37"/>
        <v/>
      </c>
      <c r="AS42" s="97" t="str">
        <f t="shared" si="38"/>
        <v/>
      </c>
      <c r="AT42" s="87" t="str">
        <f t="shared" si="39"/>
        <v/>
      </c>
      <c r="AU42" s="97" t="str">
        <f>IF(AR42&lt;Tablas!$G$19, 0, IF(AND(AR42&gt;=Tablas!$G$19, AR42&lt;Tablas!$G$20), 1,  IF(AND(AR42&gt;=Tablas!$G$20, AR42&lt;Tablas!$G$21), 2,  IF(AND(AR42&gt;=Tablas!$G$21, AR42&lt;=Tablas!$G$22), 3,  ""))))</f>
        <v/>
      </c>
      <c r="AV42" s="97" t="str">
        <f t="shared" si="40"/>
        <v/>
      </c>
      <c r="AW42" s="98" t="str">
        <f t="shared" si="41"/>
        <v/>
      </c>
      <c r="AX42" s="176" t="str">
        <f t="shared" ref="AX42" si="59">IFERROR(VLOOKUP(AY42, tabla04, 2, 0), "")</f>
        <v/>
      </c>
      <c r="AY42" s="168" t="str">
        <f>IF(F42="", "", IF((F42-MAX(AV42:AV46))&lt;=0, 1, F42-MAX(AV42:AV46)))</f>
        <v/>
      </c>
      <c r="AZ42" s="178" t="str">
        <f t="shared" ref="AZ42" si="60">IFERROR(VLOOKUP(BA42, tabla04, 3, 0), "")</f>
        <v/>
      </c>
      <c r="BA42" s="168" t="str">
        <f>IF(Q42="", "", IF((Q42-MAX(AW42:AW46))&lt;=0, 1, Q42-MAX(AW42:AW46)))</f>
        <v/>
      </c>
      <c r="BB42" s="169"/>
      <c r="BC42" s="169"/>
      <c r="BD42" s="215"/>
      <c r="BE42" s="215"/>
      <c r="BF42" s="177" t="str">
        <f t="shared" si="44"/>
        <v/>
      </c>
      <c r="BG42" s="169"/>
      <c r="BH42" s="50"/>
      <c r="BL42" s="73"/>
    </row>
    <row r="43" spans="1:64" s="51" customFormat="1" ht="15" customHeight="1" x14ac:dyDescent="0.25">
      <c r="A43" s="167"/>
      <c r="B43" s="220"/>
      <c r="C43" s="161"/>
      <c r="D43" s="160"/>
      <c r="E43" s="161"/>
      <c r="F43" s="164"/>
      <c r="G43" s="167"/>
      <c r="H43" s="167"/>
      <c r="I43" s="167"/>
      <c r="J43" s="167"/>
      <c r="K43" s="167"/>
      <c r="L43" s="166"/>
      <c r="M43" s="166"/>
      <c r="N43" s="166"/>
      <c r="O43" s="166"/>
      <c r="P43" s="166"/>
      <c r="Q43" s="166"/>
      <c r="R43" s="177"/>
      <c r="S43" s="167"/>
      <c r="T43" s="167"/>
      <c r="U43" s="167"/>
      <c r="V43" s="167"/>
      <c r="W43" s="167"/>
      <c r="X43" s="164"/>
      <c r="Y43" s="164"/>
      <c r="Z43" s="172"/>
      <c r="AA43" s="188"/>
      <c r="AB43" s="172"/>
      <c r="AC43" s="172"/>
      <c r="AD43" s="175"/>
      <c r="AE43" s="62" t="s">
        <v>114</v>
      </c>
      <c r="AF43" s="133"/>
      <c r="AG43" s="65"/>
      <c r="AH43" s="64"/>
      <c r="AI43" s="64"/>
      <c r="AJ43" s="64"/>
      <c r="AK43" s="64"/>
      <c r="AL43" s="64"/>
      <c r="AM43" s="80" t="str">
        <f>IFERROR((Tablas!$C$1*VLOOKUP(AH43, tipo_control, 2, 0)+Tablas!$E$1*VLOOKUP(AI43, nat_control, 2, 0)+Tablas!$G$1*VLOOKUP(AJ43, ev_control, 2, 0)+Tablas!$I$1*VLOOKUP(AK43, frec_control, 2, 0)+Tablas!$K$1*VLOOKUP(AL43, doc_control, 2, 0))*0.1*peso_dis, "")</f>
        <v/>
      </c>
      <c r="AN43" s="64"/>
      <c r="AO43" s="64"/>
      <c r="AP43" s="64"/>
      <c r="AQ43" s="80" t="str">
        <f>IFERROR((Tablas!$C$9*VLOOKUP(AN43, amb_control, 2, 0)+Tablas!$E$9*VLOOKUP(AO43, ejec_control, 2, 0)+Tablas!$G$9*VLOOKUP(AP43, cub_control, 2, 0))*0.1*peso_ejec, "")</f>
        <v/>
      </c>
      <c r="AR43" s="91" t="str">
        <f t="shared" si="37"/>
        <v/>
      </c>
      <c r="AS43" s="85" t="str">
        <f t="shared" si="38"/>
        <v/>
      </c>
      <c r="AT43" s="85" t="str">
        <f t="shared" si="39"/>
        <v/>
      </c>
      <c r="AU43" s="85" t="str">
        <f>IF(AR43&lt;Tablas!$G$19, 0, IF(AND(AR43&gt;=Tablas!$G$19, AR43&lt;Tablas!$G$20), 1,  IF(AND(AR43&gt;=Tablas!$G$20, AR43&lt;Tablas!$G$21), 2,  IF(AND(AR43&gt;=Tablas!$G$21, AR43&lt;=Tablas!$G$22), 3,  ""))))</f>
        <v/>
      </c>
      <c r="AV43" s="85" t="str">
        <f t="shared" si="40"/>
        <v/>
      </c>
      <c r="AW43" s="92" t="str">
        <f t="shared" si="41"/>
        <v/>
      </c>
      <c r="AX43" s="177"/>
      <c r="AY43" s="169"/>
      <c r="AZ43" s="158"/>
      <c r="BA43" s="169"/>
      <c r="BB43" s="169"/>
      <c r="BC43" s="169"/>
      <c r="BD43" s="215"/>
      <c r="BE43" s="215"/>
      <c r="BF43" s="177" t="str">
        <f t="shared" si="44"/>
        <v/>
      </c>
      <c r="BG43" s="169"/>
      <c r="BH43" s="50"/>
      <c r="BL43" s="73"/>
    </row>
    <row r="44" spans="1:64" s="51" customFormat="1" ht="15" customHeight="1" x14ac:dyDescent="0.25">
      <c r="A44" s="167"/>
      <c r="B44" s="220"/>
      <c r="C44" s="161"/>
      <c r="D44" s="160"/>
      <c r="E44" s="161"/>
      <c r="F44" s="164"/>
      <c r="G44" s="167"/>
      <c r="H44" s="167"/>
      <c r="I44" s="167"/>
      <c r="J44" s="167"/>
      <c r="K44" s="167"/>
      <c r="L44" s="166"/>
      <c r="M44" s="166"/>
      <c r="N44" s="166"/>
      <c r="O44" s="166"/>
      <c r="P44" s="166"/>
      <c r="Q44" s="166"/>
      <c r="R44" s="177"/>
      <c r="S44" s="167"/>
      <c r="T44" s="167"/>
      <c r="U44" s="167"/>
      <c r="V44" s="167"/>
      <c r="W44" s="167"/>
      <c r="X44" s="164"/>
      <c r="Y44" s="164"/>
      <c r="Z44" s="172"/>
      <c r="AA44" s="188"/>
      <c r="AB44" s="172"/>
      <c r="AC44" s="172"/>
      <c r="AD44" s="175"/>
      <c r="AE44" s="62" t="s">
        <v>115</v>
      </c>
      <c r="AF44" s="133"/>
      <c r="AG44" s="65"/>
      <c r="AH44" s="64"/>
      <c r="AI44" s="64"/>
      <c r="AJ44" s="64"/>
      <c r="AK44" s="64"/>
      <c r="AL44" s="64"/>
      <c r="AM44" s="80" t="str">
        <f>IFERROR((Tablas!$C$1*VLOOKUP(AH44, tipo_control, 2, 0)+Tablas!$E$1*VLOOKUP(AI44, nat_control, 2, 0)+Tablas!$G$1*VLOOKUP(AJ44, ev_control, 2, 0)+Tablas!$I$1*VLOOKUP(AK44, frec_control, 2, 0)+Tablas!$K$1*VLOOKUP(AL44, doc_control, 2, 0))*0.1*peso_dis, "")</f>
        <v/>
      </c>
      <c r="AN44" s="64"/>
      <c r="AO44" s="64"/>
      <c r="AP44" s="64"/>
      <c r="AQ44" s="80" t="str">
        <f>IFERROR((Tablas!$C$9*VLOOKUP(AN44, amb_control, 2, 0)+Tablas!$E$9*VLOOKUP(AO44, ejec_control, 2, 0)+Tablas!$G$9*VLOOKUP(AP44, cub_control, 2, 0))*0.1*peso_ejec, "")</f>
        <v/>
      </c>
      <c r="AR44" s="91" t="str">
        <f t="shared" si="37"/>
        <v/>
      </c>
      <c r="AS44" s="85" t="str">
        <f t="shared" si="38"/>
        <v/>
      </c>
      <c r="AT44" s="85" t="str">
        <f t="shared" si="39"/>
        <v/>
      </c>
      <c r="AU44" s="85" t="str">
        <f>IF(AR44&lt;Tablas!$G$19, 0, IF(AND(AR44&gt;=Tablas!$G$19, AR44&lt;Tablas!$G$20), 1,  IF(AND(AR44&gt;=Tablas!$G$20, AR44&lt;Tablas!$G$21), 2,  IF(AND(AR44&gt;=Tablas!$G$21, AR44&lt;=Tablas!$G$22), 3,  ""))))</f>
        <v/>
      </c>
      <c r="AV44" s="85" t="str">
        <f t="shared" si="40"/>
        <v/>
      </c>
      <c r="AW44" s="92" t="str">
        <f t="shared" si="41"/>
        <v/>
      </c>
      <c r="AX44" s="177"/>
      <c r="AY44" s="169"/>
      <c r="AZ44" s="158"/>
      <c r="BA44" s="169"/>
      <c r="BB44" s="169"/>
      <c r="BC44" s="169"/>
      <c r="BD44" s="215"/>
      <c r="BE44" s="215"/>
      <c r="BF44" s="177" t="str">
        <f t="shared" si="44"/>
        <v/>
      </c>
      <c r="BG44" s="169"/>
      <c r="BH44" s="50"/>
      <c r="BL44" s="73"/>
    </row>
    <row r="45" spans="1:64" s="51" customFormat="1" ht="15" customHeight="1" x14ac:dyDescent="0.25">
      <c r="A45" s="167"/>
      <c r="B45" s="220"/>
      <c r="C45" s="161"/>
      <c r="D45" s="160"/>
      <c r="E45" s="161"/>
      <c r="F45" s="164"/>
      <c r="G45" s="167"/>
      <c r="H45" s="167"/>
      <c r="I45" s="167"/>
      <c r="J45" s="167"/>
      <c r="K45" s="167"/>
      <c r="L45" s="166"/>
      <c r="M45" s="166"/>
      <c r="N45" s="166"/>
      <c r="O45" s="166"/>
      <c r="P45" s="166"/>
      <c r="Q45" s="166"/>
      <c r="R45" s="177"/>
      <c r="S45" s="167"/>
      <c r="T45" s="167"/>
      <c r="U45" s="167"/>
      <c r="V45" s="167"/>
      <c r="W45" s="167"/>
      <c r="X45" s="164"/>
      <c r="Y45" s="164"/>
      <c r="Z45" s="172"/>
      <c r="AA45" s="188"/>
      <c r="AB45" s="172"/>
      <c r="AC45" s="172"/>
      <c r="AD45" s="175"/>
      <c r="AE45" s="62" t="s">
        <v>153</v>
      </c>
      <c r="AF45" s="133"/>
      <c r="AG45" s="65"/>
      <c r="AH45" s="64"/>
      <c r="AI45" s="64"/>
      <c r="AJ45" s="64"/>
      <c r="AK45" s="64"/>
      <c r="AL45" s="64"/>
      <c r="AM45" s="80" t="str">
        <f>IFERROR((Tablas!$C$1*VLOOKUP(AH45, tipo_control, 2, 0)+Tablas!$E$1*VLOOKUP(AI45, nat_control, 2, 0)+Tablas!$G$1*VLOOKUP(AJ45, ev_control, 2, 0)+Tablas!$I$1*VLOOKUP(AK45, frec_control, 2, 0)+Tablas!$K$1*VLOOKUP(AL45, doc_control, 2, 0))*0.1*peso_dis, "")</f>
        <v/>
      </c>
      <c r="AN45" s="64"/>
      <c r="AO45" s="64"/>
      <c r="AP45" s="64"/>
      <c r="AQ45" s="80" t="str">
        <f>IFERROR((Tablas!$C$9*VLOOKUP(AN45, amb_control, 2, 0)+Tablas!$E$9*VLOOKUP(AO45, ejec_control, 2, 0)+Tablas!$G$9*VLOOKUP(AP45, cub_control, 2, 0))*0.1*peso_ejec, "")</f>
        <v/>
      </c>
      <c r="AR45" s="91" t="str">
        <f t="shared" si="37"/>
        <v/>
      </c>
      <c r="AS45" s="85" t="str">
        <f t="shared" si="38"/>
        <v/>
      </c>
      <c r="AT45" s="85" t="str">
        <f t="shared" si="39"/>
        <v/>
      </c>
      <c r="AU45" s="85" t="str">
        <f>IF(AR45&lt;Tablas!$G$19, 0, IF(AND(AR45&gt;=Tablas!$G$19, AR45&lt;Tablas!$G$20), 1,  IF(AND(AR45&gt;=Tablas!$G$20, AR45&lt;Tablas!$G$21), 2,  IF(AND(AR45&gt;=Tablas!$G$21, AR45&lt;=Tablas!$G$22), 3,  ""))))</f>
        <v/>
      </c>
      <c r="AV45" s="85" t="str">
        <f t="shared" si="40"/>
        <v/>
      </c>
      <c r="AW45" s="92" t="str">
        <f t="shared" si="41"/>
        <v/>
      </c>
      <c r="AX45" s="177"/>
      <c r="AY45" s="169"/>
      <c r="AZ45" s="158"/>
      <c r="BA45" s="169"/>
      <c r="BB45" s="169"/>
      <c r="BC45" s="169"/>
      <c r="BD45" s="215"/>
      <c r="BE45" s="215"/>
      <c r="BF45" s="177"/>
      <c r="BG45" s="169"/>
      <c r="BH45" s="50"/>
      <c r="BL45" s="73"/>
    </row>
    <row r="46" spans="1:64" s="51" customFormat="1" ht="15.75" customHeight="1" thickBot="1" x14ac:dyDescent="0.3">
      <c r="A46" s="167"/>
      <c r="B46" s="220"/>
      <c r="C46" s="161"/>
      <c r="D46" s="160"/>
      <c r="E46" s="161"/>
      <c r="F46" s="165"/>
      <c r="G46" s="149"/>
      <c r="H46" s="149"/>
      <c r="I46" s="149"/>
      <c r="J46" s="149"/>
      <c r="K46" s="149"/>
      <c r="L46" s="166"/>
      <c r="M46" s="166"/>
      <c r="N46" s="166"/>
      <c r="O46" s="166"/>
      <c r="P46" s="166"/>
      <c r="Q46" s="166"/>
      <c r="R46" s="177"/>
      <c r="S46" s="149"/>
      <c r="T46" s="149"/>
      <c r="U46" s="149"/>
      <c r="V46" s="149"/>
      <c r="W46" s="149"/>
      <c r="X46" s="165"/>
      <c r="Y46" s="165"/>
      <c r="Z46" s="172"/>
      <c r="AA46" s="188"/>
      <c r="AB46" s="172"/>
      <c r="AC46" s="172"/>
      <c r="AD46" s="175"/>
      <c r="AE46" s="66" t="s">
        <v>154</v>
      </c>
      <c r="AF46" s="134"/>
      <c r="AG46" s="67"/>
      <c r="AH46" s="69"/>
      <c r="AI46" s="69"/>
      <c r="AJ46" s="69"/>
      <c r="AK46" s="69"/>
      <c r="AL46" s="69"/>
      <c r="AM46" s="81" t="str">
        <f>IFERROR((Tablas!$C$1*VLOOKUP(AH46, tipo_control, 2, 0)+Tablas!$E$1*VLOOKUP(AI46, nat_control, 2, 0)+Tablas!$G$1*VLOOKUP(AJ46, ev_control, 2, 0)+Tablas!$I$1*VLOOKUP(AK46, frec_control, 2, 0)+Tablas!$K$1*VLOOKUP(AL46, doc_control, 2, 0))*0.1*peso_dis, "")</f>
        <v/>
      </c>
      <c r="AN46" s="69"/>
      <c r="AO46" s="69"/>
      <c r="AP46" s="69"/>
      <c r="AQ46" s="81" t="str">
        <f>IFERROR((Tablas!$C$9*VLOOKUP(AN46, amb_control, 2, 0)+Tablas!$E$9*VLOOKUP(AO46, ejec_control, 2, 0)+Tablas!$G$9*VLOOKUP(AP46, cub_control, 2, 0))*0.1*peso_ejec, "")</f>
        <v/>
      </c>
      <c r="AR46" s="93" t="str">
        <f t="shared" si="37"/>
        <v/>
      </c>
      <c r="AS46" s="94" t="str">
        <f t="shared" si="38"/>
        <v/>
      </c>
      <c r="AT46" s="94" t="str">
        <f t="shared" si="39"/>
        <v/>
      </c>
      <c r="AU46" s="94" t="str">
        <f>IF(AR46&lt;Tablas!$G$19, 0, IF(AND(AR46&gt;=Tablas!$G$19, AR46&lt;Tablas!$G$20), 1,  IF(AND(AR46&gt;=Tablas!$G$20, AR46&lt;Tablas!$G$21), 2,  IF(AND(AR46&gt;=Tablas!$G$21, AR46&lt;=Tablas!$G$22), 3,  ""))))</f>
        <v/>
      </c>
      <c r="AV46" s="94" t="str">
        <f t="shared" si="40"/>
        <v/>
      </c>
      <c r="AW46" s="95" t="str">
        <f t="shared" si="41"/>
        <v/>
      </c>
      <c r="AX46" s="157"/>
      <c r="AY46" s="170"/>
      <c r="AZ46" s="179"/>
      <c r="BA46" s="170"/>
      <c r="BB46" s="169"/>
      <c r="BC46" s="169"/>
      <c r="BD46" s="215"/>
      <c r="BE46" s="215"/>
      <c r="BF46" s="177"/>
      <c r="BG46" s="169"/>
      <c r="BH46" s="50"/>
      <c r="BL46" s="73"/>
    </row>
    <row r="47" spans="1:64" s="51" customFormat="1" ht="15" customHeight="1" x14ac:dyDescent="0.25">
      <c r="A47" s="167"/>
      <c r="B47" s="220"/>
      <c r="C47" s="161" t="s">
        <v>182</v>
      </c>
      <c r="D47" s="160"/>
      <c r="E47" s="149"/>
      <c r="F47" s="163" t="str">
        <f t="shared" si="0"/>
        <v/>
      </c>
      <c r="G47" s="148"/>
      <c r="H47" s="148"/>
      <c r="I47" s="148"/>
      <c r="J47" s="148"/>
      <c r="K47" s="148"/>
      <c r="L47" s="165" t="str">
        <f t="shared" ref="L47" si="61">IFERROR(VLOOKUP(G47, tabla02, 2, 0), "")</f>
        <v/>
      </c>
      <c r="M47" s="165" t="str">
        <f t="shared" ref="M47" si="62">IFERROR(VLOOKUP(H47, tabla02, 2, 0), "")</f>
        <v/>
      </c>
      <c r="N47" s="165" t="str">
        <f t="shared" ref="N47" si="63">IFERROR(VLOOKUP(I47, tabla02, 2, 0), "")</f>
        <v/>
      </c>
      <c r="O47" s="165" t="str">
        <f t="shared" ref="O47" si="64">IFERROR(VLOOKUP(J47, tabla02, 2, 0), "")</f>
        <v/>
      </c>
      <c r="P47" s="165" t="str">
        <f t="shared" ref="P47" si="65">IFERROR(VLOOKUP(K47, tabla02, 2, 0), "")</f>
        <v/>
      </c>
      <c r="Q47" s="165" t="str">
        <f t="shared" ref="Q47" si="66">IF(SUM(L47:P47)=0, "", MAX(L47:P47))</f>
        <v/>
      </c>
      <c r="R47" s="159" t="str">
        <f>IFERROR(VLOOKUP(Q47, tabla04, 3, 0), "")</f>
        <v/>
      </c>
      <c r="S47" s="148"/>
      <c r="T47" s="148"/>
      <c r="U47" s="148"/>
      <c r="V47" s="148"/>
      <c r="W47" s="148"/>
      <c r="X47" s="163" t="str">
        <f>IFERROR(VLOOKUP(CONCATENATE(F47, "-", Q47), cuadrante_sev, 3, 0), "")</f>
        <v/>
      </c>
      <c r="Y47" s="163" t="str">
        <f t="shared" si="36"/>
        <v/>
      </c>
      <c r="Z47" s="172"/>
      <c r="AA47" s="188"/>
      <c r="AB47" s="172"/>
      <c r="AC47" s="172"/>
      <c r="AD47" s="175"/>
      <c r="AE47" s="70" t="s">
        <v>113</v>
      </c>
      <c r="AF47" s="135"/>
      <c r="AG47" s="74"/>
      <c r="AH47" s="72"/>
      <c r="AI47" s="72"/>
      <c r="AJ47" s="72"/>
      <c r="AK47" s="72"/>
      <c r="AL47" s="72"/>
      <c r="AM47" s="82" t="str">
        <f>IFERROR((Tablas!$C$1*VLOOKUP(AH47, tipo_control, 2, 0)+Tablas!$E$1*VLOOKUP(AI47, nat_control, 2, 0)+Tablas!$G$1*VLOOKUP(AJ47, ev_control, 2, 0)+Tablas!$I$1*VLOOKUP(AK47, frec_control, 2, 0)+Tablas!$K$1*VLOOKUP(AL47, doc_control, 2, 0))*0.1*peso_dis, "")</f>
        <v/>
      </c>
      <c r="AN47" s="72"/>
      <c r="AO47" s="72"/>
      <c r="AP47" s="72"/>
      <c r="AQ47" s="82" t="str">
        <f>IFERROR((Tablas!$C$9*VLOOKUP(AN47, amb_control, 2, 0)+Tablas!$E$9*VLOOKUP(AO47, ejec_control, 2, 0)+Tablas!$G$9*VLOOKUP(AP47, cub_control, 2, 0))*0.1*peso_ejec, "")</f>
        <v/>
      </c>
      <c r="AR47" s="96" t="str">
        <f t="shared" si="37"/>
        <v/>
      </c>
      <c r="AS47" s="97" t="str">
        <f t="shared" si="38"/>
        <v/>
      </c>
      <c r="AT47" s="87" t="str">
        <f t="shared" si="39"/>
        <v/>
      </c>
      <c r="AU47" s="97" t="str">
        <f>IF(AR47&lt;Tablas!$G$19, 0, IF(AND(AR47&gt;=Tablas!$G$19, AR47&lt;Tablas!$G$20), 1,  IF(AND(AR47&gt;=Tablas!$G$20, AR47&lt;Tablas!$G$21), 2,  IF(AND(AR47&gt;=Tablas!$G$21, AR47&lt;=Tablas!$G$22), 3,  ""))))</f>
        <v/>
      </c>
      <c r="AV47" s="97" t="str">
        <f t="shared" si="40"/>
        <v/>
      </c>
      <c r="AW47" s="98" t="str">
        <f t="shared" si="41"/>
        <v/>
      </c>
      <c r="AX47" s="176" t="str">
        <f t="shared" ref="AX47" si="67">IFERROR(VLOOKUP(AY47, tabla04, 2, 0), "")</f>
        <v/>
      </c>
      <c r="AY47" s="168" t="str">
        <f>IF(F47="", "", IF((F47-MAX(AV47:AV51))&lt;=0, 1, F47-MAX(AV47:AV51)))</f>
        <v/>
      </c>
      <c r="AZ47" s="178" t="str">
        <f t="shared" ref="AZ47" si="68">IFERROR(VLOOKUP(BA47, tabla04, 3, 0), "")</f>
        <v/>
      </c>
      <c r="BA47" s="168" t="str">
        <f>IF(Q47="", "", IF((Q47-MAX(AW47:AW51))&lt;=0, 1, Q47-MAX(AW47:AW51)))</f>
        <v/>
      </c>
      <c r="BB47" s="169"/>
      <c r="BC47" s="169"/>
      <c r="BD47" s="215"/>
      <c r="BE47" s="215"/>
      <c r="BF47" s="177" t="str">
        <f t="shared" si="44"/>
        <v/>
      </c>
      <c r="BG47" s="169"/>
      <c r="BH47" s="50"/>
      <c r="BL47" s="73"/>
    </row>
    <row r="48" spans="1:64" s="51" customFormat="1" ht="15" customHeight="1" x14ac:dyDescent="0.25">
      <c r="A48" s="167"/>
      <c r="B48" s="220"/>
      <c r="C48" s="161"/>
      <c r="D48" s="160"/>
      <c r="E48" s="161"/>
      <c r="F48" s="164"/>
      <c r="G48" s="167"/>
      <c r="H48" s="167"/>
      <c r="I48" s="167"/>
      <c r="J48" s="167"/>
      <c r="K48" s="167"/>
      <c r="L48" s="166"/>
      <c r="M48" s="166"/>
      <c r="N48" s="166"/>
      <c r="O48" s="166"/>
      <c r="P48" s="166"/>
      <c r="Q48" s="166"/>
      <c r="R48" s="177"/>
      <c r="S48" s="167"/>
      <c r="T48" s="167"/>
      <c r="U48" s="167"/>
      <c r="V48" s="167"/>
      <c r="W48" s="167"/>
      <c r="X48" s="164"/>
      <c r="Y48" s="164"/>
      <c r="Z48" s="172"/>
      <c r="AA48" s="188"/>
      <c r="AB48" s="172"/>
      <c r="AC48" s="172"/>
      <c r="AD48" s="175"/>
      <c r="AE48" s="62" t="s">
        <v>114</v>
      </c>
      <c r="AF48" s="133"/>
      <c r="AG48" s="65"/>
      <c r="AH48" s="64"/>
      <c r="AI48" s="64"/>
      <c r="AJ48" s="64"/>
      <c r="AK48" s="64"/>
      <c r="AL48" s="64"/>
      <c r="AM48" s="80" t="str">
        <f>IFERROR((Tablas!$C$1*VLOOKUP(AH48, tipo_control, 2, 0)+Tablas!$E$1*VLOOKUP(AI48, nat_control, 2, 0)+Tablas!$G$1*VLOOKUP(AJ48, ev_control, 2, 0)+Tablas!$I$1*VLOOKUP(AK48, frec_control, 2, 0)+Tablas!$K$1*VLOOKUP(AL48, doc_control, 2, 0))*0.1*peso_dis, "")</f>
        <v/>
      </c>
      <c r="AN48" s="64"/>
      <c r="AO48" s="64"/>
      <c r="AP48" s="64"/>
      <c r="AQ48" s="80" t="str">
        <f>IFERROR((Tablas!$C$9*VLOOKUP(AN48, amb_control, 2, 0)+Tablas!$E$9*VLOOKUP(AO48, ejec_control, 2, 0)+Tablas!$G$9*VLOOKUP(AP48, cub_control, 2, 0))*0.1*peso_ejec, "")</f>
        <v/>
      </c>
      <c r="AR48" s="91" t="str">
        <f t="shared" si="37"/>
        <v/>
      </c>
      <c r="AS48" s="85" t="str">
        <f t="shared" si="38"/>
        <v/>
      </c>
      <c r="AT48" s="85" t="str">
        <f t="shared" si="39"/>
        <v/>
      </c>
      <c r="AU48" s="85" t="str">
        <f>IF(AR48&lt;Tablas!$G$19, 0, IF(AND(AR48&gt;=Tablas!$G$19, AR48&lt;Tablas!$G$20), 1,  IF(AND(AR48&gt;=Tablas!$G$20, AR48&lt;Tablas!$G$21), 2,  IF(AND(AR48&gt;=Tablas!$G$21, AR48&lt;=Tablas!$G$22), 3,  ""))))</f>
        <v/>
      </c>
      <c r="AV48" s="85" t="str">
        <f t="shared" si="40"/>
        <v/>
      </c>
      <c r="AW48" s="92" t="str">
        <f t="shared" si="41"/>
        <v/>
      </c>
      <c r="AX48" s="177"/>
      <c r="AY48" s="169"/>
      <c r="AZ48" s="158"/>
      <c r="BA48" s="169"/>
      <c r="BB48" s="169"/>
      <c r="BC48" s="169"/>
      <c r="BD48" s="215"/>
      <c r="BE48" s="215"/>
      <c r="BF48" s="177" t="str">
        <f t="shared" si="44"/>
        <v/>
      </c>
      <c r="BG48" s="169"/>
      <c r="BH48" s="50"/>
      <c r="BL48" s="73"/>
    </row>
    <row r="49" spans="1:64" s="51" customFormat="1" ht="15" customHeight="1" x14ac:dyDescent="0.25">
      <c r="A49" s="167"/>
      <c r="B49" s="220"/>
      <c r="C49" s="161"/>
      <c r="D49" s="160"/>
      <c r="E49" s="161"/>
      <c r="F49" s="164"/>
      <c r="G49" s="167"/>
      <c r="H49" s="167"/>
      <c r="I49" s="167"/>
      <c r="J49" s="167"/>
      <c r="K49" s="167"/>
      <c r="L49" s="166"/>
      <c r="M49" s="166"/>
      <c r="N49" s="166"/>
      <c r="O49" s="166"/>
      <c r="P49" s="166"/>
      <c r="Q49" s="166"/>
      <c r="R49" s="177"/>
      <c r="S49" s="167"/>
      <c r="T49" s="167"/>
      <c r="U49" s="167"/>
      <c r="V49" s="167"/>
      <c r="W49" s="167"/>
      <c r="X49" s="164"/>
      <c r="Y49" s="164"/>
      <c r="Z49" s="172"/>
      <c r="AA49" s="188"/>
      <c r="AB49" s="172"/>
      <c r="AC49" s="172"/>
      <c r="AD49" s="175"/>
      <c r="AE49" s="62" t="s">
        <v>115</v>
      </c>
      <c r="AF49" s="133"/>
      <c r="AG49" s="65"/>
      <c r="AH49" s="64"/>
      <c r="AI49" s="64"/>
      <c r="AJ49" s="64"/>
      <c r="AK49" s="64"/>
      <c r="AL49" s="64"/>
      <c r="AM49" s="80" t="str">
        <f>IFERROR((Tablas!$C$1*VLOOKUP(AH49, tipo_control, 2, 0)+Tablas!$E$1*VLOOKUP(AI49, nat_control, 2, 0)+Tablas!$G$1*VLOOKUP(AJ49, ev_control, 2, 0)+Tablas!$I$1*VLOOKUP(AK49, frec_control, 2, 0)+Tablas!$K$1*VLOOKUP(AL49, doc_control, 2, 0))*0.1*peso_dis, "")</f>
        <v/>
      </c>
      <c r="AN49" s="64"/>
      <c r="AO49" s="64"/>
      <c r="AP49" s="64"/>
      <c r="AQ49" s="80" t="str">
        <f>IFERROR((Tablas!$C$9*VLOOKUP(AN49, amb_control, 2, 0)+Tablas!$E$9*VLOOKUP(AO49, ejec_control, 2, 0)+Tablas!$G$9*VLOOKUP(AP49, cub_control, 2, 0))*0.1*peso_ejec, "")</f>
        <v/>
      </c>
      <c r="AR49" s="91" t="str">
        <f t="shared" si="37"/>
        <v/>
      </c>
      <c r="AS49" s="85" t="str">
        <f t="shared" si="38"/>
        <v/>
      </c>
      <c r="AT49" s="85" t="str">
        <f t="shared" si="39"/>
        <v/>
      </c>
      <c r="AU49" s="85" t="str">
        <f>IF(AR49&lt;Tablas!$G$19, 0, IF(AND(AR49&gt;=Tablas!$G$19, AR49&lt;Tablas!$G$20), 1,  IF(AND(AR49&gt;=Tablas!$G$20, AR49&lt;Tablas!$G$21), 2,  IF(AND(AR49&gt;=Tablas!$G$21, AR49&lt;=Tablas!$G$22), 3,  ""))))</f>
        <v/>
      </c>
      <c r="AV49" s="85" t="str">
        <f t="shared" si="40"/>
        <v/>
      </c>
      <c r="AW49" s="92" t="str">
        <f t="shared" si="41"/>
        <v/>
      </c>
      <c r="AX49" s="177"/>
      <c r="AY49" s="169"/>
      <c r="AZ49" s="158"/>
      <c r="BA49" s="169"/>
      <c r="BB49" s="169"/>
      <c r="BC49" s="169"/>
      <c r="BD49" s="215"/>
      <c r="BE49" s="215"/>
      <c r="BF49" s="177" t="str">
        <f t="shared" si="44"/>
        <v/>
      </c>
      <c r="BG49" s="169"/>
      <c r="BH49" s="50"/>
      <c r="BL49" s="73"/>
    </row>
    <row r="50" spans="1:64" s="51" customFormat="1" ht="15" customHeight="1" x14ac:dyDescent="0.25">
      <c r="A50" s="167"/>
      <c r="B50" s="220"/>
      <c r="C50" s="161"/>
      <c r="D50" s="160"/>
      <c r="E50" s="161"/>
      <c r="F50" s="164"/>
      <c r="G50" s="167"/>
      <c r="H50" s="167"/>
      <c r="I50" s="167"/>
      <c r="J50" s="167"/>
      <c r="K50" s="167"/>
      <c r="L50" s="166"/>
      <c r="M50" s="166"/>
      <c r="N50" s="166"/>
      <c r="O50" s="166"/>
      <c r="P50" s="166"/>
      <c r="Q50" s="166"/>
      <c r="R50" s="177"/>
      <c r="S50" s="167"/>
      <c r="T50" s="167"/>
      <c r="U50" s="167"/>
      <c r="V50" s="167"/>
      <c r="W50" s="167"/>
      <c r="X50" s="164"/>
      <c r="Y50" s="164"/>
      <c r="Z50" s="172"/>
      <c r="AA50" s="188"/>
      <c r="AB50" s="172"/>
      <c r="AC50" s="172"/>
      <c r="AD50" s="175"/>
      <c r="AE50" s="62" t="s">
        <v>153</v>
      </c>
      <c r="AF50" s="133"/>
      <c r="AG50" s="65"/>
      <c r="AH50" s="64"/>
      <c r="AI50" s="64"/>
      <c r="AJ50" s="64"/>
      <c r="AK50" s="64"/>
      <c r="AL50" s="64"/>
      <c r="AM50" s="80" t="str">
        <f>IFERROR((Tablas!$C$1*VLOOKUP(AH50, tipo_control, 2, 0)+Tablas!$E$1*VLOOKUP(AI50, nat_control, 2, 0)+Tablas!$G$1*VLOOKUP(AJ50, ev_control, 2, 0)+Tablas!$I$1*VLOOKUP(AK50, frec_control, 2, 0)+Tablas!$K$1*VLOOKUP(AL50, doc_control, 2, 0))*0.1*peso_dis, "")</f>
        <v/>
      </c>
      <c r="AN50" s="64"/>
      <c r="AO50" s="64"/>
      <c r="AP50" s="64"/>
      <c r="AQ50" s="80" t="str">
        <f>IFERROR((Tablas!$C$9*VLOOKUP(AN50, amb_control, 2, 0)+Tablas!$E$9*VLOOKUP(AO50, ejec_control, 2, 0)+Tablas!$G$9*VLOOKUP(AP50, cub_control, 2, 0))*0.1*peso_ejec, "")</f>
        <v/>
      </c>
      <c r="AR50" s="91" t="str">
        <f t="shared" si="37"/>
        <v/>
      </c>
      <c r="AS50" s="85" t="str">
        <f t="shared" si="38"/>
        <v/>
      </c>
      <c r="AT50" s="85" t="str">
        <f t="shared" si="39"/>
        <v/>
      </c>
      <c r="AU50" s="85" t="str">
        <f>IF(AR50&lt;Tablas!$G$19, 0, IF(AND(AR50&gt;=Tablas!$G$19, AR50&lt;Tablas!$G$20), 1,  IF(AND(AR50&gt;=Tablas!$G$20, AR50&lt;Tablas!$G$21), 2,  IF(AND(AR50&gt;=Tablas!$G$21, AR50&lt;=Tablas!$G$22), 3,  ""))))</f>
        <v/>
      </c>
      <c r="AV50" s="85" t="str">
        <f t="shared" si="40"/>
        <v/>
      </c>
      <c r="AW50" s="92" t="str">
        <f t="shared" si="41"/>
        <v/>
      </c>
      <c r="AX50" s="177"/>
      <c r="AY50" s="169"/>
      <c r="AZ50" s="158"/>
      <c r="BA50" s="169"/>
      <c r="BB50" s="169"/>
      <c r="BC50" s="169"/>
      <c r="BD50" s="215"/>
      <c r="BE50" s="215"/>
      <c r="BF50" s="177"/>
      <c r="BG50" s="169"/>
      <c r="BH50" s="50"/>
      <c r="BL50" s="73"/>
    </row>
    <row r="51" spans="1:64" s="51" customFormat="1" ht="15.75" customHeight="1" thickBot="1" x14ac:dyDescent="0.3">
      <c r="A51" s="167"/>
      <c r="B51" s="220"/>
      <c r="C51" s="161"/>
      <c r="D51" s="160"/>
      <c r="E51" s="161"/>
      <c r="F51" s="165"/>
      <c r="G51" s="149"/>
      <c r="H51" s="149"/>
      <c r="I51" s="149"/>
      <c r="J51" s="149"/>
      <c r="K51" s="149"/>
      <c r="L51" s="166"/>
      <c r="M51" s="166"/>
      <c r="N51" s="166"/>
      <c r="O51" s="166"/>
      <c r="P51" s="166"/>
      <c r="Q51" s="166"/>
      <c r="R51" s="177"/>
      <c r="S51" s="149"/>
      <c r="T51" s="149"/>
      <c r="U51" s="149"/>
      <c r="V51" s="149"/>
      <c r="W51" s="149"/>
      <c r="X51" s="165"/>
      <c r="Y51" s="165"/>
      <c r="Z51" s="172"/>
      <c r="AA51" s="188"/>
      <c r="AB51" s="172"/>
      <c r="AC51" s="172"/>
      <c r="AD51" s="175"/>
      <c r="AE51" s="66" t="s">
        <v>154</v>
      </c>
      <c r="AF51" s="134"/>
      <c r="AG51" s="67"/>
      <c r="AH51" s="69"/>
      <c r="AI51" s="69"/>
      <c r="AJ51" s="69"/>
      <c r="AK51" s="69"/>
      <c r="AL51" s="69"/>
      <c r="AM51" s="81" t="str">
        <f>IFERROR((Tablas!$C$1*VLOOKUP(AH51, tipo_control, 2, 0)+Tablas!$E$1*VLOOKUP(AI51, nat_control, 2, 0)+Tablas!$G$1*VLOOKUP(AJ51, ev_control, 2, 0)+Tablas!$I$1*VLOOKUP(AK51, frec_control, 2, 0)+Tablas!$K$1*VLOOKUP(AL51, doc_control, 2, 0))*0.1*peso_dis, "")</f>
        <v/>
      </c>
      <c r="AN51" s="69"/>
      <c r="AO51" s="69"/>
      <c r="AP51" s="69"/>
      <c r="AQ51" s="81" t="str">
        <f>IFERROR((Tablas!$C$9*VLOOKUP(AN51, amb_control, 2, 0)+Tablas!$E$9*VLOOKUP(AO51, ejec_control, 2, 0)+Tablas!$G$9*VLOOKUP(AP51, cub_control, 2, 0))*0.1*peso_ejec, "")</f>
        <v/>
      </c>
      <c r="AR51" s="93" t="str">
        <f t="shared" si="37"/>
        <v/>
      </c>
      <c r="AS51" s="94" t="str">
        <f t="shared" si="38"/>
        <v/>
      </c>
      <c r="AT51" s="94" t="str">
        <f t="shared" si="39"/>
        <v/>
      </c>
      <c r="AU51" s="94" t="str">
        <f>IF(AR51&lt;Tablas!$G$19, 0, IF(AND(AR51&gt;=Tablas!$G$19, AR51&lt;Tablas!$G$20), 1,  IF(AND(AR51&gt;=Tablas!$G$20, AR51&lt;Tablas!$G$21), 2,  IF(AND(AR51&gt;=Tablas!$G$21, AR51&lt;=Tablas!$G$22), 3,  ""))))</f>
        <v/>
      </c>
      <c r="AV51" s="94" t="str">
        <f t="shared" si="40"/>
        <v/>
      </c>
      <c r="AW51" s="95" t="str">
        <f t="shared" si="41"/>
        <v/>
      </c>
      <c r="AX51" s="157"/>
      <c r="AY51" s="170"/>
      <c r="AZ51" s="179"/>
      <c r="BA51" s="170"/>
      <c r="BB51" s="169"/>
      <c r="BC51" s="169"/>
      <c r="BD51" s="215"/>
      <c r="BE51" s="215"/>
      <c r="BF51" s="177"/>
      <c r="BG51" s="169"/>
      <c r="BH51" s="50"/>
      <c r="BL51" s="73"/>
    </row>
    <row r="52" spans="1:64" s="51" customFormat="1" ht="15" customHeight="1" x14ac:dyDescent="0.25">
      <c r="A52" s="167"/>
      <c r="B52" s="220"/>
      <c r="C52" s="161" t="s">
        <v>183</v>
      </c>
      <c r="D52" s="160"/>
      <c r="E52" s="149"/>
      <c r="F52" s="163" t="str">
        <f t="shared" si="0"/>
        <v/>
      </c>
      <c r="G52" s="148"/>
      <c r="H52" s="148"/>
      <c r="I52" s="148"/>
      <c r="J52" s="148"/>
      <c r="K52" s="148"/>
      <c r="L52" s="165" t="str">
        <f t="shared" ref="L52" si="69">IFERROR(VLOOKUP(G52, tabla02, 2, 0), "")</f>
        <v/>
      </c>
      <c r="M52" s="165" t="str">
        <f t="shared" ref="M52" si="70">IFERROR(VLOOKUP(H52, tabla02, 2, 0), "")</f>
        <v/>
      </c>
      <c r="N52" s="165" t="str">
        <f t="shared" ref="N52" si="71">IFERROR(VLOOKUP(I52, tabla02, 2, 0), "")</f>
        <v/>
      </c>
      <c r="O52" s="165" t="str">
        <f t="shared" ref="O52" si="72">IFERROR(VLOOKUP(J52, tabla02, 2, 0), "")</f>
        <v/>
      </c>
      <c r="P52" s="165" t="str">
        <f t="shared" ref="P52" si="73">IFERROR(VLOOKUP(K52, tabla02, 2, 0), "")</f>
        <v/>
      </c>
      <c r="Q52" s="165" t="str">
        <f t="shared" ref="Q52" si="74">IF(SUM(L52:P52)=0, "", MAX(L52:P52))</f>
        <v/>
      </c>
      <c r="R52" s="159" t="str">
        <f>IFERROR(VLOOKUP(Q52, tabla04, 3, 0), "")</f>
        <v/>
      </c>
      <c r="S52" s="148"/>
      <c r="T52" s="148"/>
      <c r="U52" s="148"/>
      <c r="V52" s="148"/>
      <c r="W52" s="148"/>
      <c r="X52" s="163" t="str">
        <f>IFERROR(VLOOKUP(CONCATENATE(F52, "-", Q52), cuadrante_sev, 3, 0), "")</f>
        <v/>
      </c>
      <c r="Y52" s="163" t="str">
        <f t="shared" si="36"/>
        <v/>
      </c>
      <c r="Z52" s="172"/>
      <c r="AA52" s="188"/>
      <c r="AB52" s="172"/>
      <c r="AC52" s="172"/>
      <c r="AD52" s="175"/>
      <c r="AE52" s="70" t="s">
        <v>113</v>
      </c>
      <c r="AF52" s="135"/>
      <c r="AG52" s="74"/>
      <c r="AH52" s="72"/>
      <c r="AI52" s="72"/>
      <c r="AJ52" s="72"/>
      <c r="AK52" s="72"/>
      <c r="AL52" s="72"/>
      <c r="AM52" s="82" t="str">
        <f>IFERROR((Tablas!$C$1*VLOOKUP(AH52, tipo_control, 2, 0)+Tablas!$E$1*VLOOKUP(AI52, nat_control, 2, 0)+Tablas!$G$1*VLOOKUP(AJ52, ev_control, 2, 0)+Tablas!$I$1*VLOOKUP(AK52, frec_control, 2, 0)+Tablas!$K$1*VLOOKUP(AL52, doc_control, 2, 0))*0.1*peso_dis, "")</f>
        <v/>
      </c>
      <c r="AN52" s="72"/>
      <c r="AO52" s="72"/>
      <c r="AP52" s="72"/>
      <c r="AQ52" s="82" t="str">
        <f>IFERROR((Tablas!$C$9*VLOOKUP(AN52, amb_control, 2, 0)+Tablas!$E$9*VLOOKUP(AO52, ejec_control, 2, 0)+Tablas!$G$9*VLOOKUP(AP52, cub_control, 2, 0))*0.1*peso_ejec, "")</f>
        <v/>
      </c>
      <c r="AR52" s="96" t="str">
        <f t="shared" si="37"/>
        <v/>
      </c>
      <c r="AS52" s="97" t="str">
        <f t="shared" si="38"/>
        <v/>
      </c>
      <c r="AT52" s="87" t="str">
        <f t="shared" si="39"/>
        <v/>
      </c>
      <c r="AU52" s="97" t="str">
        <f>IF(AR52&lt;Tablas!$G$19, 0, IF(AND(AR52&gt;=Tablas!$G$19, AR52&lt;Tablas!$G$20), 1,  IF(AND(AR52&gt;=Tablas!$G$20, AR52&lt;Tablas!$G$21), 2,  IF(AND(AR52&gt;=Tablas!$G$21, AR52&lt;=Tablas!$G$22), 3,  ""))))</f>
        <v/>
      </c>
      <c r="AV52" s="97" t="str">
        <f t="shared" si="40"/>
        <v/>
      </c>
      <c r="AW52" s="98" t="str">
        <f t="shared" si="41"/>
        <v/>
      </c>
      <c r="AX52" s="176" t="str">
        <f t="shared" ref="AX52" si="75">IFERROR(VLOOKUP(AY52, tabla04, 2, 0), "")</f>
        <v/>
      </c>
      <c r="AY52" s="168" t="str">
        <f>IF(F52="", "", IF((F52-MAX(AV52:AV56))&lt;=0, 1, F52-MAX(AV52:AV56)))</f>
        <v/>
      </c>
      <c r="AZ52" s="178" t="str">
        <f t="shared" ref="AZ52" si="76">IFERROR(VLOOKUP(BA52, tabla04, 3, 0), "")</f>
        <v/>
      </c>
      <c r="BA52" s="168" t="str">
        <f>IF(Q52="", "", IF((Q52-MAX(AW52:AW56))&lt;=0, 1, Q52-MAX(AW52:AW56)))</f>
        <v/>
      </c>
      <c r="BB52" s="169"/>
      <c r="BC52" s="169"/>
      <c r="BD52" s="215"/>
      <c r="BE52" s="215"/>
      <c r="BF52" s="177" t="str">
        <f t="shared" si="44"/>
        <v/>
      </c>
      <c r="BG52" s="169"/>
      <c r="BH52" s="50"/>
      <c r="BL52" s="73"/>
    </row>
    <row r="53" spans="1:64" s="51" customFormat="1" ht="15" customHeight="1" x14ac:dyDescent="0.25">
      <c r="A53" s="167"/>
      <c r="B53" s="220"/>
      <c r="C53" s="161"/>
      <c r="D53" s="160"/>
      <c r="E53" s="161"/>
      <c r="F53" s="164"/>
      <c r="G53" s="167"/>
      <c r="H53" s="167"/>
      <c r="I53" s="167"/>
      <c r="J53" s="167"/>
      <c r="K53" s="167"/>
      <c r="L53" s="166"/>
      <c r="M53" s="166"/>
      <c r="N53" s="166"/>
      <c r="O53" s="166"/>
      <c r="P53" s="166"/>
      <c r="Q53" s="166"/>
      <c r="R53" s="177"/>
      <c r="S53" s="167"/>
      <c r="T53" s="167"/>
      <c r="U53" s="167"/>
      <c r="V53" s="167"/>
      <c r="W53" s="167"/>
      <c r="X53" s="164"/>
      <c r="Y53" s="164"/>
      <c r="Z53" s="172"/>
      <c r="AA53" s="188"/>
      <c r="AB53" s="172"/>
      <c r="AC53" s="172"/>
      <c r="AD53" s="175"/>
      <c r="AE53" s="62" t="s">
        <v>114</v>
      </c>
      <c r="AF53" s="133"/>
      <c r="AG53" s="65"/>
      <c r="AH53" s="64"/>
      <c r="AI53" s="64"/>
      <c r="AJ53" s="64"/>
      <c r="AK53" s="64"/>
      <c r="AL53" s="64"/>
      <c r="AM53" s="80" t="str">
        <f>IFERROR((Tablas!$C$1*VLOOKUP(AH53, tipo_control, 2, 0)+Tablas!$E$1*VLOOKUP(AI53, nat_control, 2, 0)+Tablas!$G$1*VLOOKUP(AJ53, ev_control, 2, 0)+Tablas!$I$1*VLOOKUP(AK53, frec_control, 2, 0)+Tablas!$K$1*VLOOKUP(AL53, doc_control, 2, 0))*0.1*peso_dis, "")</f>
        <v/>
      </c>
      <c r="AN53" s="64"/>
      <c r="AO53" s="64"/>
      <c r="AP53" s="64"/>
      <c r="AQ53" s="80" t="str">
        <f>IFERROR((Tablas!$C$9*VLOOKUP(AN53, amb_control, 2, 0)+Tablas!$E$9*VLOOKUP(AO53, ejec_control, 2, 0)+Tablas!$G$9*VLOOKUP(AP53, cub_control, 2, 0))*0.1*peso_ejec, "")</f>
        <v/>
      </c>
      <c r="AR53" s="91" t="str">
        <f t="shared" si="37"/>
        <v/>
      </c>
      <c r="AS53" s="85" t="str">
        <f t="shared" si="38"/>
        <v/>
      </c>
      <c r="AT53" s="85" t="str">
        <f t="shared" si="39"/>
        <v/>
      </c>
      <c r="AU53" s="85" t="str">
        <f>IF(AR53&lt;Tablas!$G$19, 0, IF(AND(AR53&gt;=Tablas!$G$19, AR53&lt;Tablas!$G$20), 1,  IF(AND(AR53&gt;=Tablas!$G$20, AR53&lt;Tablas!$G$21), 2,  IF(AND(AR53&gt;=Tablas!$G$21, AR53&lt;=Tablas!$G$22), 3,  ""))))</f>
        <v/>
      </c>
      <c r="AV53" s="85" t="str">
        <f t="shared" si="40"/>
        <v/>
      </c>
      <c r="AW53" s="92" t="str">
        <f t="shared" si="41"/>
        <v/>
      </c>
      <c r="AX53" s="177"/>
      <c r="AY53" s="169"/>
      <c r="AZ53" s="158"/>
      <c r="BA53" s="169"/>
      <c r="BB53" s="169"/>
      <c r="BC53" s="169"/>
      <c r="BD53" s="215"/>
      <c r="BE53" s="215"/>
      <c r="BF53" s="177" t="str">
        <f t="shared" si="44"/>
        <v/>
      </c>
      <c r="BG53" s="169"/>
      <c r="BH53" s="50"/>
      <c r="BL53" s="73"/>
    </row>
    <row r="54" spans="1:64" s="51" customFormat="1" ht="15" customHeight="1" x14ac:dyDescent="0.25">
      <c r="A54" s="167"/>
      <c r="B54" s="220"/>
      <c r="C54" s="161"/>
      <c r="D54" s="160"/>
      <c r="E54" s="161"/>
      <c r="F54" s="164"/>
      <c r="G54" s="167"/>
      <c r="H54" s="167"/>
      <c r="I54" s="167"/>
      <c r="J54" s="167"/>
      <c r="K54" s="167"/>
      <c r="L54" s="166"/>
      <c r="M54" s="166"/>
      <c r="N54" s="166"/>
      <c r="O54" s="166"/>
      <c r="P54" s="166"/>
      <c r="Q54" s="166"/>
      <c r="R54" s="177"/>
      <c r="S54" s="167"/>
      <c r="T54" s="167"/>
      <c r="U54" s="167"/>
      <c r="V54" s="167"/>
      <c r="W54" s="167"/>
      <c r="X54" s="164"/>
      <c r="Y54" s="164"/>
      <c r="Z54" s="172"/>
      <c r="AA54" s="188"/>
      <c r="AB54" s="172"/>
      <c r="AC54" s="172"/>
      <c r="AD54" s="175"/>
      <c r="AE54" s="62" t="s">
        <v>115</v>
      </c>
      <c r="AF54" s="133"/>
      <c r="AG54" s="65"/>
      <c r="AH54" s="64"/>
      <c r="AI54" s="64"/>
      <c r="AJ54" s="64"/>
      <c r="AK54" s="64"/>
      <c r="AL54" s="64"/>
      <c r="AM54" s="80" t="str">
        <f>IFERROR((Tablas!$C$1*VLOOKUP(AH54, tipo_control, 2, 0)+Tablas!$E$1*VLOOKUP(AI54, nat_control, 2, 0)+Tablas!$G$1*VLOOKUP(AJ54, ev_control, 2, 0)+Tablas!$I$1*VLOOKUP(AK54, frec_control, 2, 0)+Tablas!$K$1*VLOOKUP(AL54, doc_control, 2, 0))*0.1*peso_dis, "")</f>
        <v/>
      </c>
      <c r="AN54" s="64"/>
      <c r="AO54" s="64"/>
      <c r="AP54" s="64"/>
      <c r="AQ54" s="80" t="str">
        <f>IFERROR((Tablas!$C$9*VLOOKUP(AN54, amb_control, 2, 0)+Tablas!$E$9*VLOOKUP(AO54, ejec_control, 2, 0)+Tablas!$G$9*VLOOKUP(AP54, cub_control, 2, 0))*0.1*peso_ejec, "")</f>
        <v/>
      </c>
      <c r="AR54" s="91" t="str">
        <f t="shared" si="37"/>
        <v/>
      </c>
      <c r="AS54" s="85" t="str">
        <f t="shared" si="38"/>
        <v/>
      </c>
      <c r="AT54" s="85" t="str">
        <f t="shared" si="39"/>
        <v/>
      </c>
      <c r="AU54" s="85" t="str">
        <f>IF(AR54&lt;Tablas!$G$19, 0, IF(AND(AR54&gt;=Tablas!$G$19, AR54&lt;Tablas!$G$20), 1,  IF(AND(AR54&gt;=Tablas!$G$20, AR54&lt;Tablas!$G$21), 2,  IF(AND(AR54&gt;=Tablas!$G$21, AR54&lt;=Tablas!$G$22), 3,  ""))))</f>
        <v/>
      </c>
      <c r="AV54" s="85" t="str">
        <f t="shared" si="40"/>
        <v/>
      </c>
      <c r="AW54" s="92" t="str">
        <f t="shared" si="41"/>
        <v/>
      </c>
      <c r="AX54" s="177"/>
      <c r="AY54" s="169"/>
      <c r="AZ54" s="158"/>
      <c r="BA54" s="169"/>
      <c r="BB54" s="169"/>
      <c r="BC54" s="169"/>
      <c r="BD54" s="215"/>
      <c r="BE54" s="215"/>
      <c r="BF54" s="177" t="str">
        <f t="shared" si="44"/>
        <v/>
      </c>
      <c r="BG54" s="169"/>
      <c r="BH54" s="50"/>
      <c r="BL54" s="73"/>
    </row>
    <row r="55" spans="1:64" s="51" customFormat="1" ht="15" customHeight="1" x14ac:dyDescent="0.25">
      <c r="A55" s="167"/>
      <c r="B55" s="220"/>
      <c r="C55" s="161"/>
      <c r="D55" s="160"/>
      <c r="E55" s="161"/>
      <c r="F55" s="164"/>
      <c r="G55" s="167"/>
      <c r="H55" s="167"/>
      <c r="I55" s="167"/>
      <c r="J55" s="167"/>
      <c r="K55" s="167"/>
      <c r="L55" s="166"/>
      <c r="M55" s="166"/>
      <c r="N55" s="166"/>
      <c r="O55" s="166"/>
      <c r="P55" s="166"/>
      <c r="Q55" s="166"/>
      <c r="R55" s="177"/>
      <c r="S55" s="167"/>
      <c r="T55" s="167"/>
      <c r="U55" s="167"/>
      <c r="V55" s="167"/>
      <c r="W55" s="167"/>
      <c r="X55" s="164"/>
      <c r="Y55" s="164"/>
      <c r="Z55" s="172"/>
      <c r="AA55" s="188"/>
      <c r="AB55" s="172"/>
      <c r="AC55" s="172"/>
      <c r="AD55" s="175"/>
      <c r="AE55" s="62" t="s">
        <v>153</v>
      </c>
      <c r="AF55" s="133"/>
      <c r="AG55" s="65"/>
      <c r="AH55" s="64"/>
      <c r="AI55" s="64"/>
      <c r="AJ55" s="64"/>
      <c r="AK55" s="64"/>
      <c r="AL55" s="64"/>
      <c r="AM55" s="80" t="str">
        <f>IFERROR((Tablas!$C$1*VLOOKUP(AH55, tipo_control, 2, 0)+Tablas!$E$1*VLOOKUP(AI55, nat_control, 2, 0)+Tablas!$G$1*VLOOKUP(AJ55, ev_control, 2, 0)+Tablas!$I$1*VLOOKUP(AK55, frec_control, 2, 0)+Tablas!$K$1*VLOOKUP(AL55, doc_control, 2, 0))*0.1*peso_dis, "")</f>
        <v/>
      </c>
      <c r="AN55" s="64"/>
      <c r="AO55" s="64"/>
      <c r="AP55" s="64"/>
      <c r="AQ55" s="80" t="str">
        <f>IFERROR((Tablas!$C$9*VLOOKUP(AN55, amb_control, 2, 0)+Tablas!$E$9*VLOOKUP(AO55, ejec_control, 2, 0)+Tablas!$G$9*VLOOKUP(AP55, cub_control, 2, 0))*0.1*peso_ejec, "")</f>
        <v/>
      </c>
      <c r="AR55" s="91" t="str">
        <f t="shared" si="37"/>
        <v/>
      </c>
      <c r="AS55" s="85" t="str">
        <f t="shared" si="38"/>
        <v/>
      </c>
      <c r="AT55" s="85" t="str">
        <f t="shared" si="39"/>
        <v/>
      </c>
      <c r="AU55" s="85" t="str">
        <f>IF(AR55&lt;Tablas!$G$19, 0, IF(AND(AR55&gt;=Tablas!$G$19, AR55&lt;Tablas!$G$20), 1,  IF(AND(AR55&gt;=Tablas!$G$20, AR55&lt;Tablas!$G$21), 2,  IF(AND(AR55&gt;=Tablas!$G$21, AR55&lt;=Tablas!$G$22), 3,  ""))))</f>
        <v/>
      </c>
      <c r="AV55" s="85" t="str">
        <f t="shared" si="40"/>
        <v/>
      </c>
      <c r="AW55" s="92" t="str">
        <f t="shared" si="41"/>
        <v/>
      </c>
      <c r="AX55" s="177"/>
      <c r="AY55" s="169"/>
      <c r="AZ55" s="158"/>
      <c r="BA55" s="169"/>
      <c r="BB55" s="169"/>
      <c r="BC55" s="169"/>
      <c r="BD55" s="215"/>
      <c r="BE55" s="215"/>
      <c r="BF55" s="177"/>
      <c r="BG55" s="169"/>
      <c r="BH55" s="50"/>
      <c r="BL55" s="73"/>
    </row>
    <row r="56" spans="1:64" s="51" customFormat="1" ht="15.75" customHeight="1" thickBot="1" x14ac:dyDescent="0.3">
      <c r="A56" s="149"/>
      <c r="B56" s="221"/>
      <c r="C56" s="161"/>
      <c r="D56" s="160"/>
      <c r="E56" s="161"/>
      <c r="F56" s="165"/>
      <c r="G56" s="149"/>
      <c r="H56" s="149"/>
      <c r="I56" s="149"/>
      <c r="J56" s="149"/>
      <c r="K56" s="149"/>
      <c r="L56" s="166"/>
      <c r="M56" s="166"/>
      <c r="N56" s="166"/>
      <c r="O56" s="166"/>
      <c r="P56" s="166"/>
      <c r="Q56" s="166"/>
      <c r="R56" s="177"/>
      <c r="S56" s="149"/>
      <c r="T56" s="149"/>
      <c r="U56" s="149"/>
      <c r="V56" s="149"/>
      <c r="W56" s="149"/>
      <c r="X56" s="165"/>
      <c r="Y56" s="165"/>
      <c r="Z56" s="173"/>
      <c r="AA56" s="189"/>
      <c r="AB56" s="173"/>
      <c r="AC56" s="173"/>
      <c r="AD56" s="175"/>
      <c r="AE56" s="75" t="s">
        <v>154</v>
      </c>
      <c r="AF56" s="136"/>
      <c r="AG56" s="68"/>
      <c r="AH56" s="76"/>
      <c r="AI56" s="76"/>
      <c r="AJ56" s="76"/>
      <c r="AK56" s="76"/>
      <c r="AL56" s="76"/>
      <c r="AM56" s="83" t="str">
        <f>IFERROR((Tablas!$C$1*VLOOKUP(AH56, tipo_control, 2, 0)+Tablas!$E$1*VLOOKUP(AI56, nat_control, 2, 0)+Tablas!$G$1*VLOOKUP(AJ56, ev_control, 2, 0)+Tablas!$I$1*VLOOKUP(AK56, frec_control, 2, 0)+Tablas!$K$1*VLOOKUP(AL56, doc_control, 2, 0))*0.1*peso_dis, "")</f>
        <v/>
      </c>
      <c r="AN56" s="76"/>
      <c r="AO56" s="76"/>
      <c r="AP56" s="76"/>
      <c r="AQ56" s="83" t="str">
        <f>IFERROR((Tablas!$C$9*VLOOKUP(AN56, amb_control, 2, 0)+Tablas!$E$9*VLOOKUP(AO56, ejec_control, 2, 0)+Tablas!$G$9*VLOOKUP(AP56, cub_control, 2, 0))*0.1*peso_ejec, "")</f>
        <v/>
      </c>
      <c r="AR56" s="99" t="str">
        <f t="shared" si="37"/>
        <v/>
      </c>
      <c r="AS56" s="86" t="str">
        <f t="shared" si="38"/>
        <v/>
      </c>
      <c r="AT56" s="86" t="str">
        <f t="shared" si="39"/>
        <v/>
      </c>
      <c r="AU56" s="86" t="str">
        <f>IF(AR56&lt;Tablas!$G$19, 0, IF(AND(AR56&gt;=Tablas!$G$19, AR56&lt;Tablas!$G$20), 1,  IF(AND(AR56&gt;=Tablas!$G$20, AR56&lt;Tablas!$G$21), 2,  IF(AND(AR56&gt;=Tablas!$G$21, AR56&lt;=Tablas!$G$22), 3,  ""))))</f>
        <v/>
      </c>
      <c r="AV56" s="86" t="str">
        <f t="shared" si="40"/>
        <v/>
      </c>
      <c r="AW56" s="88" t="str">
        <f t="shared" si="41"/>
        <v/>
      </c>
      <c r="AX56" s="157"/>
      <c r="AY56" s="170"/>
      <c r="AZ56" s="179"/>
      <c r="BA56" s="170"/>
      <c r="BB56" s="169"/>
      <c r="BC56" s="169"/>
      <c r="BD56" s="215"/>
      <c r="BE56" s="215"/>
      <c r="BF56" s="177"/>
      <c r="BG56" s="169"/>
      <c r="BH56" s="50"/>
      <c r="BL56" s="73"/>
    </row>
    <row r="57" spans="1:64" ht="15" customHeight="1" x14ac:dyDescent="0.25">
      <c r="A57" s="148" t="s">
        <v>184</v>
      </c>
      <c r="B57" s="219" t="s">
        <v>233</v>
      </c>
      <c r="C57" s="161" t="s">
        <v>14</v>
      </c>
      <c r="D57" s="160" t="s">
        <v>247</v>
      </c>
      <c r="E57" s="149" t="s">
        <v>50</v>
      </c>
      <c r="F57" s="163">
        <f t="shared" si="0"/>
        <v>2</v>
      </c>
      <c r="G57" s="148" t="s">
        <v>55</v>
      </c>
      <c r="H57" s="148" t="s">
        <v>54</v>
      </c>
      <c r="I57" s="148" t="s">
        <v>55</v>
      </c>
      <c r="J57" s="148" t="s">
        <v>54</v>
      </c>
      <c r="K57" s="148" t="s">
        <v>55</v>
      </c>
      <c r="L57" s="165">
        <f>IFERROR(VLOOKUP(G57, tabla02, 2, 0), "")</f>
        <v>3</v>
      </c>
      <c r="M57" s="165">
        <f>IFERROR(VLOOKUP(H57, tabla02, 2, 0), "")</f>
        <v>2</v>
      </c>
      <c r="N57" s="165">
        <f>IFERROR(VLOOKUP(I57, tabla02, 2, 0), "")</f>
        <v>3</v>
      </c>
      <c r="O57" s="165">
        <f>IFERROR(VLOOKUP(J57, tabla02, 2, 0), "")</f>
        <v>2</v>
      </c>
      <c r="P57" s="165">
        <f>IFERROR(VLOOKUP(K57, tabla02, 2, 0), "")</f>
        <v>3</v>
      </c>
      <c r="Q57" s="165">
        <f t="shared" ref="Q57" si="77">IF(SUM(L57:P57)=0, "", MAX(L57:P57))</f>
        <v>3</v>
      </c>
      <c r="R57" s="159" t="str">
        <f>IFERROR(VLOOKUP(Q57, tabla04, 3, 0), "")</f>
        <v>Moderado</v>
      </c>
      <c r="S57" s="148"/>
      <c r="T57" s="148"/>
      <c r="U57" s="148" t="s">
        <v>236</v>
      </c>
      <c r="V57" s="148"/>
      <c r="W57" s="148"/>
      <c r="X57" s="164" t="str">
        <f>IFERROR(VLOOKUP(CONCATENATE(F57, "-", Q57), cuadrante_sev, 3, 0), "")</f>
        <v>Moderada</v>
      </c>
      <c r="Y57" s="163">
        <f>IFERROR(IF(X57="Baja", 1, IF(X57="Moderada", 2, IF(X57="Alta", 3, IF(X57="Extrema", 4, "")))), "")</f>
        <v>2</v>
      </c>
      <c r="Z57" s="171">
        <f t="shared" ref="Z57" si="78">MAX(F57:F106)</f>
        <v>2</v>
      </c>
      <c r="AA57" s="187">
        <f t="shared" ref="AA57" si="79">MAX(Q57:Q106)</f>
        <v>3</v>
      </c>
      <c r="AB57" s="171" t="str">
        <f>IFERROR(VLOOKUP(Z57, tabla04, 2, 0), "")</f>
        <v>Baja</v>
      </c>
      <c r="AC57" s="171" t="str">
        <f>IFERROR(VLOOKUP(AA57, tabla04, 3, 0), "")</f>
        <v>Moderado</v>
      </c>
      <c r="AD57" s="174" t="str">
        <f>IFERROR(VLOOKUP(CONCATENATE(Z57, "-", AA57), cuadrante_sev, 3, 0), "")</f>
        <v>Moderada</v>
      </c>
      <c r="AE57" s="59" t="s">
        <v>113</v>
      </c>
      <c r="AF57" s="132" t="s">
        <v>248</v>
      </c>
      <c r="AG57" s="60"/>
      <c r="AH57" s="61" t="s">
        <v>69</v>
      </c>
      <c r="AI57" s="61" t="s">
        <v>72</v>
      </c>
      <c r="AJ57" s="61" t="s">
        <v>74</v>
      </c>
      <c r="AK57" s="61" t="s">
        <v>127</v>
      </c>
      <c r="AL57" s="61" t="s">
        <v>130</v>
      </c>
      <c r="AM57" s="79">
        <f>IFERROR((Tablas!$C$1*VLOOKUP(AH57, tipo_control, 2, 0)+Tablas!$E$1*VLOOKUP(AI57, nat_control, 2, 0)+Tablas!$G$1*VLOOKUP(AJ57, ev_control, 2, 0)+Tablas!$I$1*VLOOKUP(AK57, frec_control, 2, 0)+Tablas!$K$1*VLOOKUP(AL57, doc_control, 2, 0))*0.1*peso_dis, "")</f>
        <v>0.4</v>
      </c>
      <c r="AN57" s="61" t="s">
        <v>138</v>
      </c>
      <c r="AO57" s="61" t="s">
        <v>143</v>
      </c>
      <c r="AP57" s="61" t="s">
        <v>147</v>
      </c>
      <c r="AQ57" s="79">
        <f>IFERROR((Tablas!$C$9*VLOOKUP(AN57, amb_control, 2, 0)+Tablas!$E$9*VLOOKUP(AO57, ejec_control, 2, 0)+Tablas!$G$9*VLOOKUP(AP57, cub_control, 2, 0))*0.1*peso_ejec, "")</f>
        <v>0.54</v>
      </c>
      <c r="AR57" s="89">
        <f>IFERROR(AM57+AQ57, "")</f>
        <v>0.94000000000000006</v>
      </c>
      <c r="AS57" s="87" t="str">
        <f t="shared" si="38"/>
        <v>Sí</v>
      </c>
      <c r="AT57" s="87" t="str">
        <f t="shared" si="39"/>
        <v>No</v>
      </c>
      <c r="AU57" s="87">
        <f>IF(AR57&lt;Tablas!$G$19, 0, IF(AND(AR57&gt;=Tablas!$G$19, AR57&lt;Tablas!$G$20), 1,  IF(AND(AR57&gt;=Tablas!$G$20, AR57&lt;Tablas!$G$21), 2,  IF(AND(AR57&gt;=Tablas!$G$21, AR57&lt;=Tablas!$G$22), 3,  ""))))</f>
        <v>3</v>
      </c>
      <c r="AV57" s="87">
        <f>IF(AS57="Sí",AU57,"")</f>
        <v>3</v>
      </c>
      <c r="AW57" s="100" t="str">
        <f>IF(AT57="Sí",AU57,"")</f>
        <v/>
      </c>
      <c r="AX57" s="176" t="str">
        <f>IFERROR(VLOOKUP(AY57, tabla04, 2, 0), "")</f>
        <v>Muy Baja</v>
      </c>
      <c r="AY57" s="168">
        <f>IF(F57="", "", IF((F57-MAX(AV57:AV61))&lt;=0, 1, F57-MAX(AV57:AV61)))</f>
        <v>1</v>
      </c>
      <c r="AZ57" s="178" t="str">
        <f>IFERROR(VLOOKUP(BA57, tabla04, 3, 0), "")</f>
        <v>Moderado</v>
      </c>
      <c r="BA57" s="168">
        <f>IF(Q57="", "", IF((Q57-MAX(AW57:AW61))&lt;=0, 1, Q57-MAX(AW57:AW61)))</f>
        <v>3</v>
      </c>
      <c r="BB57" s="182">
        <f>IFERROR(MAX(AY57:AY106), "")</f>
        <v>1</v>
      </c>
      <c r="BC57" s="182">
        <f>IFERROR(MAX(BA57:BA106), "")</f>
        <v>3</v>
      </c>
      <c r="BD57" s="185" t="str">
        <f>IFERROR(VLOOKUP(BB57, tabla04, 2, 0), "")</f>
        <v>Muy Baja</v>
      </c>
      <c r="BE57" s="185" t="str">
        <f>IFERROR(VLOOKUP(BC57, tabla04, 3, 0), "")</f>
        <v>Moderado</v>
      </c>
      <c r="BF57" s="158" t="str">
        <f>IFERROR(VLOOKUP(CONCATENATE(AY57, "-", BA57), cuadrante_sev, 3, 0), "")</f>
        <v>Moderada</v>
      </c>
      <c r="BG57" s="191" t="str">
        <f>IFERROR(VLOOKUP(CONCATENATE(BB57, "-", BC57), cuadrante_sev, 3, 0), "")</f>
        <v>Moderada</v>
      </c>
      <c r="BH57" s="53"/>
    </row>
    <row r="58" spans="1:64" x14ac:dyDescent="0.25">
      <c r="A58" s="167"/>
      <c r="B58" s="220"/>
      <c r="C58" s="161"/>
      <c r="D58" s="160"/>
      <c r="E58" s="161"/>
      <c r="F58" s="164"/>
      <c r="G58" s="167"/>
      <c r="H58" s="167"/>
      <c r="I58" s="167"/>
      <c r="J58" s="167"/>
      <c r="K58" s="167"/>
      <c r="L58" s="166"/>
      <c r="M58" s="166"/>
      <c r="N58" s="166"/>
      <c r="O58" s="166"/>
      <c r="P58" s="166"/>
      <c r="Q58" s="166"/>
      <c r="R58" s="177"/>
      <c r="S58" s="167"/>
      <c r="T58" s="167"/>
      <c r="U58" s="167"/>
      <c r="V58" s="167"/>
      <c r="W58" s="167"/>
      <c r="X58" s="164"/>
      <c r="Y58" s="164"/>
      <c r="Z58" s="172"/>
      <c r="AA58" s="188"/>
      <c r="AB58" s="172"/>
      <c r="AC58" s="172"/>
      <c r="AD58" s="175"/>
      <c r="AE58" s="62" t="s">
        <v>114</v>
      </c>
      <c r="AF58" s="133"/>
      <c r="AG58" s="63"/>
      <c r="AH58" s="64"/>
      <c r="AI58" s="64"/>
      <c r="AJ58" s="64"/>
      <c r="AK58" s="64"/>
      <c r="AL58" s="64"/>
      <c r="AM58" s="80" t="str">
        <f>IFERROR((Tablas!$C$1*VLOOKUP(AH58, tipo_control, 2, 0)+Tablas!$E$1*VLOOKUP(AI58, nat_control, 2, 0)+Tablas!$G$1*VLOOKUP(AJ58, ev_control, 2, 0)+Tablas!$I$1*VLOOKUP(AK58, frec_control, 2, 0)+Tablas!$K$1*VLOOKUP(AL58, doc_control, 2, 0))*0.1*peso_dis, "")</f>
        <v/>
      </c>
      <c r="AN58" s="64"/>
      <c r="AO58" s="64"/>
      <c r="AP58" s="64"/>
      <c r="AQ58" s="80" t="str">
        <f>IFERROR((Tablas!$C$9*VLOOKUP(AN58, amb_control, 2, 0)+Tablas!$E$9*VLOOKUP(AO58, ejec_control, 2, 0)+Tablas!$G$9*VLOOKUP(AP58, cub_control, 2, 0))*0.1*peso_ejec, "")</f>
        <v/>
      </c>
      <c r="AR58" s="91" t="str">
        <f t="shared" ref="AR58:AR106" si="80">IFERROR(AM58+AQ58, "")</f>
        <v/>
      </c>
      <c r="AS58" s="87" t="str">
        <f t="shared" si="38"/>
        <v/>
      </c>
      <c r="AT58" s="85" t="str">
        <f t="shared" si="39"/>
        <v/>
      </c>
      <c r="AU58" s="85" t="str">
        <f>IF(AR58&lt;Tablas!$G$19, 0, IF(AND(AR58&gt;=Tablas!$G$19, AR58&lt;Tablas!$G$20), 1,  IF(AND(AR58&gt;=Tablas!$G$20, AR58&lt;Tablas!$G$21), 2,  IF(AND(AR58&gt;=Tablas!$G$21, AR58&lt;=Tablas!$G$22), 3,  ""))))</f>
        <v/>
      </c>
      <c r="AV58" s="85" t="str">
        <f t="shared" ref="AV58:AV106" si="81">IF(AS58="Sí",AU58,"")</f>
        <v/>
      </c>
      <c r="AW58" s="101" t="str">
        <f t="shared" ref="AW58:AW106" si="82">IF(AT58="Sí",AU58,"")</f>
        <v/>
      </c>
      <c r="AX58" s="177"/>
      <c r="AY58" s="169"/>
      <c r="AZ58" s="158"/>
      <c r="BA58" s="169"/>
      <c r="BB58" s="182"/>
      <c r="BC58" s="182"/>
      <c r="BD58" s="185"/>
      <c r="BE58" s="185"/>
      <c r="BF58" s="158"/>
      <c r="BG58" s="191"/>
    </row>
    <row r="59" spans="1:64" ht="15" customHeight="1" x14ac:dyDescent="0.25">
      <c r="A59" s="167"/>
      <c r="B59" s="220"/>
      <c r="C59" s="161"/>
      <c r="D59" s="160"/>
      <c r="E59" s="161"/>
      <c r="F59" s="164"/>
      <c r="G59" s="167"/>
      <c r="H59" s="167"/>
      <c r="I59" s="167"/>
      <c r="J59" s="167"/>
      <c r="K59" s="167"/>
      <c r="L59" s="166"/>
      <c r="M59" s="166"/>
      <c r="N59" s="166"/>
      <c r="O59" s="166"/>
      <c r="P59" s="166"/>
      <c r="Q59" s="166"/>
      <c r="R59" s="177"/>
      <c r="S59" s="167"/>
      <c r="T59" s="167"/>
      <c r="U59" s="167"/>
      <c r="V59" s="167"/>
      <c r="W59" s="167"/>
      <c r="X59" s="164"/>
      <c r="Y59" s="164"/>
      <c r="Z59" s="172"/>
      <c r="AA59" s="188"/>
      <c r="AB59" s="172"/>
      <c r="AC59" s="172"/>
      <c r="AD59" s="175"/>
      <c r="AE59" s="62" t="s">
        <v>115</v>
      </c>
      <c r="AF59" s="133"/>
      <c r="AG59" s="63"/>
      <c r="AH59" s="64"/>
      <c r="AI59" s="64"/>
      <c r="AJ59" s="64"/>
      <c r="AK59" s="64"/>
      <c r="AL59" s="64"/>
      <c r="AM59" s="80" t="str">
        <f>IFERROR((Tablas!$C$1*VLOOKUP(AH59, tipo_control, 2, 0)+Tablas!$E$1*VLOOKUP(AI59, nat_control, 2, 0)+Tablas!$G$1*VLOOKUP(AJ59, ev_control, 2, 0)+Tablas!$I$1*VLOOKUP(AK59, frec_control, 2, 0)+Tablas!$K$1*VLOOKUP(AL59, doc_control, 2, 0))*0.1*peso_dis, "")</f>
        <v/>
      </c>
      <c r="AN59" s="64"/>
      <c r="AO59" s="64"/>
      <c r="AP59" s="64"/>
      <c r="AQ59" s="80" t="str">
        <f>IFERROR((Tablas!$C$9*VLOOKUP(AN59, amb_control, 2, 0)+Tablas!$E$9*VLOOKUP(AO59, ejec_control, 2, 0)+Tablas!$G$9*VLOOKUP(AP59, cub_control, 2, 0))*0.1*peso_ejec, "")</f>
        <v/>
      </c>
      <c r="AR59" s="91" t="str">
        <f t="shared" si="80"/>
        <v/>
      </c>
      <c r="AS59" s="87" t="str">
        <f t="shared" si="38"/>
        <v/>
      </c>
      <c r="AT59" s="85" t="str">
        <f t="shared" si="39"/>
        <v/>
      </c>
      <c r="AU59" s="85" t="str">
        <f>IF(AR59&lt;Tablas!$G$19, 0, IF(AND(AR59&gt;=Tablas!$G$19, AR59&lt;Tablas!$G$20), 1,  IF(AND(AR59&gt;=Tablas!$G$20, AR59&lt;Tablas!$G$21), 2,  IF(AND(AR59&gt;=Tablas!$G$21, AR59&lt;=Tablas!$G$22), 3,  ""))))</f>
        <v/>
      </c>
      <c r="AV59" s="85" t="str">
        <f t="shared" si="81"/>
        <v/>
      </c>
      <c r="AW59" s="101" t="str">
        <f t="shared" si="82"/>
        <v/>
      </c>
      <c r="AX59" s="177"/>
      <c r="AY59" s="169"/>
      <c r="AZ59" s="158"/>
      <c r="BA59" s="169"/>
      <c r="BB59" s="182"/>
      <c r="BC59" s="182"/>
      <c r="BD59" s="185"/>
      <c r="BE59" s="185"/>
      <c r="BF59" s="158"/>
      <c r="BG59" s="191"/>
    </row>
    <row r="60" spans="1:64" ht="15" customHeight="1" x14ac:dyDescent="0.25">
      <c r="A60" s="167"/>
      <c r="B60" s="220"/>
      <c r="C60" s="161"/>
      <c r="D60" s="160"/>
      <c r="E60" s="161"/>
      <c r="F60" s="164"/>
      <c r="G60" s="167"/>
      <c r="H60" s="167"/>
      <c r="I60" s="167"/>
      <c r="J60" s="167"/>
      <c r="K60" s="167"/>
      <c r="L60" s="166"/>
      <c r="M60" s="166"/>
      <c r="N60" s="166"/>
      <c r="O60" s="166"/>
      <c r="P60" s="166"/>
      <c r="Q60" s="166"/>
      <c r="R60" s="177"/>
      <c r="S60" s="167"/>
      <c r="T60" s="167"/>
      <c r="U60" s="167"/>
      <c r="V60" s="167"/>
      <c r="W60" s="167"/>
      <c r="X60" s="164"/>
      <c r="Y60" s="164"/>
      <c r="Z60" s="172"/>
      <c r="AA60" s="188"/>
      <c r="AB60" s="172"/>
      <c r="AC60" s="172"/>
      <c r="AD60" s="175"/>
      <c r="AE60" s="62" t="s">
        <v>153</v>
      </c>
      <c r="AF60" s="133"/>
      <c r="AG60" s="63"/>
      <c r="AH60" s="64"/>
      <c r="AI60" s="64"/>
      <c r="AJ60" s="64"/>
      <c r="AK60" s="64"/>
      <c r="AL60" s="64"/>
      <c r="AM60" s="80" t="str">
        <f>IFERROR((Tablas!$C$1*VLOOKUP(AH60, tipo_control, 2, 0)+Tablas!$E$1*VLOOKUP(AI60, nat_control, 2, 0)+Tablas!$G$1*VLOOKUP(AJ60, ev_control, 2, 0)+Tablas!$I$1*VLOOKUP(AK60, frec_control, 2, 0)+Tablas!$K$1*VLOOKUP(AL60, doc_control, 2, 0))*0.1*peso_dis, "")</f>
        <v/>
      </c>
      <c r="AN60" s="64"/>
      <c r="AO60" s="64"/>
      <c r="AP60" s="64"/>
      <c r="AQ60" s="80" t="str">
        <f>IFERROR((Tablas!$C$9*VLOOKUP(AN60, amb_control, 2, 0)+Tablas!$E$9*VLOOKUP(AO60, ejec_control, 2, 0)+Tablas!$G$9*VLOOKUP(AP60, cub_control, 2, 0))*0.1*peso_ejec, "")</f>
        <v/>
      </c>
      <c r="AR60" s="91" t="str">
        <f t="shared" si="80"/>
        <v/>
      </c>
      <c r="AS60" s="87" t="str">
        <f t="shared" si="38"/>
        <v/>
      </c>
      <c r="AT60" s="85" t="str">
        <f t="shared" si="39"/>
        <v/>
      </c>
      <c r="AU60" s="85" t="str">
        <f>IF(AR60&lt;Tablas!$G$19, 0, IF(AND(AR60&gt;=Tablas!$G$19, AR60&lt;Tablas!$G$20), 1,  IF(AND(AR60&gt;=Tablas!$G$20, AR60&lt;Tablas!$G$21), 2,  IF(AND(AR60&gt;=Tablas!$G$21, AR60&lt;=Tablas!$G$22), 3,  ""))))</f>
        <v/>
      </c>
      <c r="AV60" s="85" t="str">
        <f t="shared" si="81"/>
        <v/>
      </c>
      <c r="AW60" s="101" t="str">
        <f t="shared" si="82"/>
        <v/>
      </c>
      <c r="AX60" s="177"/>
      <c r="AY60" s="169"/>
      <c r="AZ60" s="158"/>
      <c r="BA60" s="169"/>
      <c r="BB60" s="182"/>
      <c r="BC60" s="182"/>
      <c r="BD60" s="185"/>
      <c r="BE60" s="185"/>
      <c r="BF60" s="158"/>
      <c r="BG60" s="191"/>
    </row>
    <row r="61" spans="1:64" ht="15" customHeight="1" thickBot="1" x14ac:dyDescent="0.3">
      <c r="A61" s="167"/>
      <c r="B61" s="220"/>
      <c r="C61" s="161"/>
      <c r="D61" s="160"/>
      <c r="E61" s="161"/>
      <c r="F61" s="165"/>
      <c r="G61" s="149"/>
      <c r="H61" s="149"/>
      <c r="I61" s="149"/>
      <c r="J61" s="149"/>
      <c r="K61" s="149"/>
      <c r="L61" s="166"/>
      <c r="M61" s="166"/>
      <c r="N61" s="166"/>
      <c r="O61" s="166"/>
      <c r="P61" s="166"/>
      <c r="Q61" s="166"/>
      <c r="R61" s="177"/>
      <c r="S61" s="149"/>
      <c r="T61" s="149"/>
      <c r="U61" s="149"/>
      <c r="V61" s="149"/>
      <c r="W61" s="149"/>
      <c r="X61" s="165"/>
      <c r="Y61" s="165"/>
      <c r="Z61" s="172"/>
      <c r="AA61" s="188"/>
      <c r="AB61" s="172"/>
      <c r="AC61" s="172"/>
      <c r="AD61" s="175"/>
      <c r="AE61" s="66" t="s">
        <v>154</v>
      </c>
      <c r="AF61" s="134"/>
      <c r="AG61" s="67"/>
      <c r="AH61" s="69"/>
      <c r="AI61" s="69"/>
      <c r="AJ61" s="69"/>
      <c r="AK61" s="69"/>
      <c r="AL61" s="69"/>
      <c r="AM61" s="81" t="str">
        <f>IFERROR((Tablas!$C$1*VLOOKUP(AH61, tipo_control, 2, 0)+Tablas!$E$1*VLOOKUP(AI61, nat_control, 2, 0)+Tablas!$G$1*VLOOKUP(AJ61, ev_control, 2, 0)+Tablas!$I$1*VLOOKUP(AK61, frec_control, 2, 0)+Tablas!$K$1*VLOOKUP(AL61, doc_control, 2, 0))*0.1*peso_dis, "")</f>
        <v/>
      </c>
      <c r="AN61" s="69"/>
      <c r="AO61" s="69"/>
      <c r="AP61" s="69"/>
      <c r="AQ61" s="81" t="str">
        <f>IFERROR((Tablas!$C$9*VLOOKUP(AN61, amb_control, 2, 0)+Tablas!$E$9*VLOOKUP(AO61, ejec_control, 2, 0)+Tablas!$G$9*VLOOKUP(AP61, cub_control, 2, 0))*0.1*peso_ejec, "")</f>
        <v/>
      </c>
      <c r="AR61" s="93" t="str">
        <f t="shared" si="80"/>
        <v/>
      </c>
      <c r="AS61" s="87" t="str">
        <f t="shared" si="38"/>
        <v/>
      </c>
      <c r="AT61" s="94" t="str">
        <f t="shared" si="39"/>
        <v/>
      </c>
      <c r="AU61" s="94" t="str">
        <f>IF(AR61&lt;Tablas!$G$19, 0, IF(AND(AR61&gt;=Tablas!$G$19, AR61&lt;Tablas!$G$20), 1,  IF(AND(AR61&gt;=Tablas!$G$20, AR61&lt;Tablas!$G$21), 2,  IF(AND(AR61&gt;=Tablas!$G$21, AR61&lt;=Tablas!$G$22), 3,  ""))))</f>
        <v/>
      </c>
      <c r="AV61" s="94" t="str">
        <f t="shared" si="81"/>
        <v/>
      </c>
      <c r="AW61" s="102" t="str">
        <f t="shared" si="82"/>
        <v/>
      </c>
      <c r="AX61" s="157"/>
      <c r="AY61" s="170"/>
      <c r="AZ61" s="179"/>
      <c r="BA61" s="170"/>
      <c r="BB61" s="182"/>
      <c r="BC61" s="182"/>
      <c r="BD61" s="185"/>
      <c r="BE61" s="185"/>
      <c r="BF61" s="159"/>
      <c r="BG61" s="191"/>
    </row>
    <row r="62" spans="1:64" ht="15" customHeight="1" x14ac:dyDescent="0.25">
      <c r="A62" s="167"/>
      <c r="B62" s="220"/>
      <c r="C62" s="161" t="s">
        <v>15</v>
      </c>
      <c r="D62" s="160" t="s">
        <v>256</v>
      </c>
      <c r="E62" s="149" t="s">
        <v>50</v>
      </c>
      <c r="F62" s="163">
        <f t="shared" si="0"/>
        <v>2</v>
      </c>
      <c r="G62" s="148" t="s">
        <v>55</v>
      </c>
      <c r="H62" s="148" t="s">
        <v>54</v>
      </c>
      <c r="I62" s="148" t="s">
        <v>54</v>
      </c>
      <c r="J62" s="148" t="s">
        <v>54</v>
      </c>
      <c r="K62" s="148" t="s">
        <v>54</v>
      </c>
      <c r="L62" s="165">
        <f>IFERROR(VLOOKUP(G62, tabla02, 2, 0), "")</f>
        <v>3</v>
      </c>
      <c r="M62" s="165">
        <f>IFERROR(VLOOKUP(H62, tabla02, 2, 0), "")</f>
        <v>2</v>
      </c>
      <c r="N62" s="165">
        <f>IFERROR(VLOOKUP(I62, tabla02, 2, 0), "")</f>
        <v>2</v>
      </c>
      <c r="O62" s="165">
        <f>IFERROR(VLOOKUP(J62, tabla02, 2, 0), "")</f>
        <v>2</v>
      </c>
      <c r="P62" s="165">
        <f>IFERROR(VLOOKUP(K62, tabla02, 2, 0), "")</f>
        <v>2</v>
      </c>
      <c r="Q62" s="165">
        <f t="shared" ref="Q62" si="83">IF(SUM(L62:P62)=0, "", MAX(L62:P62))</f>
        <v>3</v>
      </c>
      <c r="R62" s="159" t="str">
        <f>IFERROR(VLOOKUP(Q62, tabla04, 3, 0), "")</f>
        <v>Moderado</v>
      </c>
      <c r="S62" s="148"/>
      <c r="T62" s="148"/>
      <c r="U62" s="148" t="s">
        <v>236</v>
      </c>
      <c r="V62" s="148"/>
      <c r="W62" s="148"/>
      <c r="X62" s="163" t="str">
        <f>IFERROR(VLOOKUP(CONCATENATE(F62, "-", Q62), cuadrante_sev, 3, 0), "")</f>
        <v>Moderada</v>
      </c>
      <c r="Y62" s="163">
        <f t="shared" ref="Y62" si="84">IFERROR(IF(X62="Baja", 1, IF(X62="Moderada", 2, IF(X62="Alta", 3, IF(X62="Extrema", 4, "")))), "")</f>
        <v>2</v>
      </c>
      <c r="Z62" s="172"/>
      <c r="AA62" s="188"/>
      <c r="AB62" s="172"/>
      <c r="AC62" s="172"/>
      <c r="AD62" s="175"/>
      <c r="AE62" s="70" t="s">
        <v>113</v>
      </c>
      <c r="AF62" s="135" t="s">
        <v>257</v>
      </c>
      <c r="AG62" s="71"/>
      <c r="AH62" s="72" t="s">
        <v>69</v>
      </c>
      <c r="AI62" s="72" t="s">
        <v>71</v>
      </c>
      <c r="AJ62" s="72" t="s">
        <v>74</v>
      </c>
      <c r="AK62" s="72" t="s">
        <v>125</v>
      </c>
      <c r="AL62" s="72" t="s">
        <v>130</v>
      </c>
      <c r="AM62" s="82">
        <f>IFERROR((Tablas!$C$1*VLOOKUP(AH62, tipo_control, 2, 0)+Tablas!$E$1*VLOOKUP(AI62, nat_control, 2, 0)+Tablas!$G$1*VLOOKUP(AJ62, ev_control, 2, 0)+Tablas!$I$1*VLOOKUP(AK62, frec_control, 2, 0)+Tablas!$K$1*VLOOKUP(AL62, doc_control, 2, 0))*0.1*peso_dis, "")</f>
        <v>0.30000000000000004</v>
      </c>
      <c r="AN62" s="72" t="s">
        <v>138</v>
      </c>
      <c r="AO62" s="72" t="s">
        <v>142</v>
      </c>
      <c r="AP62" s="72" t="s">
        <v>146</v>
      </c>
      <c r="AQ62" s="82">
        <f>IFERROR((Tablas!$C$9*VLOOKUP(AN62, amb_control, 2, 0)+Tablas!$E$9*VLOOKUP(AO62, ejec_control, 2, 0)+Tablas!$G$9*VLOOKUP(AP62, cub_control, 2, 0))*0.1*peso_ejec, "")</f>
        <v>0.3</v>
      </c>
      <c r="AR62" s="96">
        <f t="shared" si="80"/>
        <v>0.60000000000000009</v>
      </c>
      <c r="AS62" s="97" t="str">
        <f t="shared" si="38"/>
        <v>Sí</v>
      </c>
      <c r="AT62" s="87" t="str">
        <f t="shared" si="39"/>
        <v>No</v>
      </c>
      <c r="AU62" s="97">
        <f>IF(AR62&lt;Tablas!$G$19, 0, IF(AND(AR62&gt;=Tablas!$G$19, AR62&lt;Tablas!$G$20), 1,  IF(AND(AR62&gt;=Tablas!$G$20, AR62&lt;Tablas!$G$21), 2,  IF(AND(AR62&gt;=Tablas!$G$21, AR62&lt;=Tablas!$G$22), 3,  ""))))</f>
        <v>2</v>
      </c>
      <c r="AV62" s="97">
        <f t="shared" si="81"/>
        <v>2</v>
      </c>
      <c r="AW62" s="103" t="str">
        <f t="shared" si="82"/>
        <v/>
      </c>
      <c r="AX62" s="176" t="str">
        <f t="shared" ref="AX62" si="85">IFERROR(VLOOKUP(AY62, tabla04, 2, 0), "")</f>
        <v>Muy Baja</v>
      </c>
      <c r="AY62" s="168">
        <f>IF(F62="", "", IF((F62-MAX(AV62:AV66))&lt;=0, 1, F62-MAX(AV62:AV66)))</f>
        <v>1</v>
      </c>
      <c r="AZ62" s="178" t="str">
        <f t="shared" ref="AZ62" si="86">IFERROR(VLOOKUP(BA62, tabla04, 3, 0), "")</f>
        <v>Moderado</v>
      </c>
      <c r="BA62" s="168">
        <f>IF(Q62="", "", IF((Q62-MAX(AW62:AW66))&lt;=0, 1, Q62-MAX(AW62:AW66)))</f>
        <v>3</v>
      </c>
      <c r="BB62" s="182"/>
      <c r="BC62" s="182"/>
      <c r="BD62" s="185"/>
      <c r="BE62" s="185"/>
      <c r="BF62" s="158" t="str">
        <f t="shared" ref="BF62:BF64" si="87">IFERROR(VLOOKUP(CONCATENATE(AY62, "-", BA62), cuadrante_sev, 3, 0), "")</f>
        <v>Moderada</v>
      </c>
      <c r="BG62" s="191"/>
    </row>
    <row r="63" spans="1:64" ht="15" customHeight="1" x14ac:dyDescent="0.25">
      <c r="A63" s="167"/>
      <c r="B63" s="220"/>
      <c r="C63" s="161"/>
      <c r="D63" s="160"/>
      <c r="E63" s="161"/>
      <c r="F63" s="164"/>
      <c r="G63" s="167"/>
      <c r="H63" s="167"/>
      <c r="I63" s="167"/>
      <c r="J63" s="167"/>
      <c r="K63" s="167"/>
      <c r="L63" s="166"/>
      <c r="M63" s="166"/>
      <c r="N63" s="166"/>
      <c r="O63" s="166"/>
      <c r="P63" s="166"/>
      <c r="Q63" s="166"/>
      <c r="R63" s="177"/>
      <c r="S63" s="167"/>
      <c r="T63" s="167"/>
      <c r="U63" s="167"/>
      <c r="V63" s="167"/>
      <c r="W63" s="167"/>
      <c r="X63" s="164"/>
      <c r="Y63" s="164"/>
      <c r="Z63" s="172"/>
      <c r="AA63" s="188"/>
      <c r="AB63" s="172"/>
      <c r="AC63" s="172"/>
      <c r="AD63" s="175"/>
      <c r="AE63" s="62" t="s">
        <v>114</v>
      </c>
      <c r="AF63" s="133"/>
      <c r="AG63" s="63"/>
      <c r="AH63" s="64"/>
      <c r="AI63" s="64"/>
      <c r="AJ63" s="64"/>
      <c r="AK63" s="64"/>
      <c r="AL63" s="64"/>
      <c r="AM63" s="80" t="str">
        <f>IFERROR((Tablas!$C$1*VLOOKUP(AH63, tipo_control, 2, 0)+Tablas!$E$1*VLOOKUP(AI63, nat_control, 2, 0)+Tablas!$G$1*VLOOKUP(AJ63, ev_control, 2, 0)+Tablas!$I$1*VLOOKUP(AK63, frec_control, 2, 0)+Tablas!$K$1*VLOOKUP(AL63, doc_control, 2, 0))*0.1*peso_dis, "")</f>
        <v/>
      </c>
      <c r="AN63" s="64"/>
      <c r="AO63" s="64"/>
      <c r="AP63" s="64"/>
      <c r="AQ63" s="80" t="str">
        <f>IFERROR((Tablas!$C$9*VLOOKUP(AN63, amb_control, 2, 0)+Tablas!$E$9*VLOOKUP(AO63, ejec_control, 2, 0)+Tablas!$G$9*VLOOKUP(AP63, cub_control, 2, 0))*0.1*peso_ejec, "")</f>
        <v/>
      </c>
      <c r="AR63" s="91" t="str">
        <f t="shared" si="80"/>
        <v/>
      </c>
      <c r="AS63" s="85" t="str">
        <f t="shared" si="38"/>
        <v/>
      </c>
      <c r="AT63" s="85" t="str">
        <f t="shared" si="39"/>
        <v/>
      </c>
      <c r="AU63" s="85" t="str">
        <f>IF(AR63&lt;Tablas!$G$19, 0, IF(AND(AR63&gt;=Tablas!$G$19, AR63&lt;Tablas!$G$20), 1,  IF(AND(AR63&gt;=Tablas!$G$20, AR63&lt;Tablas!$G$21), 2,  IF(AND(AR63&gt;=Tablas!$G$21, AR63&lt;=Tablas!$G$22), 3,  ""))))</f>
        <v/>
      </c>
      <c r="AV63" s="85" t="str">
        <f t="shared" si="81"/>
        <v/>
      </c>
      <c r="AW63" s="101" t="str">
        <f t="shared" si="82"/>
        <v/>
      </c>
      <c r="AX63" s="177"/>
      <c r="AY63" s="169"/>
      <c r="AZ63" s="158"/>
      <c r="BA63" s="169"/>
      <c r="BB63" s="182"/>
      <c r="BC63" s="182"/>
      <c r="BD63" s="185"/>
      <c r="BE63" s="185"/>
      <c r="BF63" s="158" t="str">
        <f t="shared" si="87"/>
        <v/>
      </c>
      <c r="BG63" s="191"/>
    </row>
    <row r="64" spans="1:64" ht="15" customHeight="1" x14ac:dyDescent="0.25">
      <c r="A64" s="167"/>
      <c r="B64" s="220"/>
      <c r="C64" s="161"/>
      <c r="D64" s="160"/>
      <c r="E64" s="161"/>
      <c r="F64" s="164"/>
      <c r="G64" s="167"/>
      <c r="H64" s="167"/>
      <c r="I64" s="167"/>
      <c r="J64" s="167"/>
      <c r="K64" s="167"/>
      <c r="L64" s="166"/>
      <c r="M64" s="166"/>
      <c r="N64" s="166"/>
      <c r="O64" s="166"/>
      <c r="P64" s="166"/>
      <c r="Q64" s="166"/>
      <c r="R64" s="177"/>
      <c r="S64" s="167"/>
      <c r="T64" s="167"/>
      <c r="U64" s="167"/>
      <c r="V64" s="167"/>
      <c r="W64" s="167"/>
      <c r="X64" s="164"/>
      <c r="Y64" s="164"/>
      <c r="Z64" s="172"/>
      <c r="AA64" s="188"/>
      <c r="AB64" s="172"/>
      <c r="AC64" s="172"/>
      <c r="AD64" s="175"/>
      <c r="AE64" s="62" t="s">
        <v>115</v>
      </c>
      <c r="AF64" s="133"/>
      <c r="AG64" s="65"/>
      <c r="AH64" s="64"/>
      <c r="AI64" s="64"/>
      <c r="AJ64" s="64"/>
      <c r="AK64" s="64"/>
      <c r="AL64" s="64"/>
      <c r="AM64" s="80" t="str">
        <f>IFERROR((Tablas!$C$1*VLOOKUP(AH64, tipo_control, 2, 0)+Tablas!$E$1*VLOOKUP(AI64, nat_control, 2, 0)+Tablas!$G$1*VLOOKUP(AJ64, ev_control, 2, 0)+Tablas!$I$1*VLOOKUP(AK64, frec_control, 2, 0)+Tablas!$K$1*VLOOKUP(AL64, doc_control, 2, 0))*0.1*peso_dis, "")</f>
        <v/>
      </c>
      <c r="AN64" s="64"/>
      <c r="AO64" s="64"/>
      <c r="AP64" s="64"/>
      <c r="AQ64" s="80" t="str">
        <f>IFERROR((Tablas!$C$9*VLOOKUP(AN64, amb_control, 2, 0)+Tablas!$E$9*VLOOKUP(AO64, ejec_control, 2, 0)+Tablas!$G$9*VLOOKUP(AP64, cub_control, 2, 0))*0.1*peso_ejec, "")</f>
        <v/>
      </c>
      <c r="AR64" s="91" t="str">
        <f t="shared" si="80"/>
        <v/>
      </c>
      <c r="AS64" s="85" t="str">
        <f t="shared" si="38"/>
        <v/>
      </c>
      <c r="AT64" s="85" t="str">
        <f t="shared" si="39"/>
        <v/>
      </c>
      <c r="AU64" s="85" t="str">
        <f>IF(AR64&lt;Tablas!$G$19, 0, IF(AND(AR64&gt;=Tablas!$G$19, AR64&lt;Tablas!$G$20), 1,  IF(AND(AR64&gt;=Tablas!$G$20, AR64&lt;Tablas!$G$21), 2,  IF(AND(AR64&gt;=Tablas!$G$21, AR64&lt;=Tablas!$G$22), 3,  ""))))</f>
        <v/>
      </c>
      <c r="AV64" s="85" t="str">
        <f t="shared" si="81"/>
        <v/>
      </c>
      <c r="AW64" s="101" t="str">
        <f t="shared" si="82"/>
        <v/>
      </c>
      <c r="AX64" s="177"/>
      <c r="AY64" s="169"/>
      <c r="AZ64" s="158"/>
      <c r="BA64" s="169"/>
      <c r="BB64" s="182"/>
      <c r="BC64" s="182"/>
      <c r="BD64" s="185"/>
      <c r="BE64" s="185"/>
      <c r="BF64" s="158" t="str">
        <f t="shared" si="87"/>
        <v/>
      </c>
      <c r="BG64" s="191"/>
    </row>
    <row r="65" spans="1:59" ht="15" customHeight="1" x14ac:dyDescent="0.25">
      <c r="A65" s="167"/>
      <c r="B65" s="220"/>
      <c r="C65" s="161"/>
      <c r="D65" s="160"/>
      <c r="E65" s="161"/>
      <c r="F65" s="164"/>
      <c r="G65" s="167"/>
      <c r="H65" s="167"/>
      <c r="I65" s="167"/>
      <c r="J65" s="167"/>
      <c r="K65" s="167"/>
      <c r="L65" s="166"/>
      <c r="M65" s="166"/>
      <c r="N65" s="166"/>
      <c r="O65" s="166"/>
      <c r="P65" s="166"/>
      <c r="Q65" s="166"/>
      <c r="R65" s="177"/>
      <c r="S65" s="167"/>
      <c r="T65" s="167"/>
      <c r="U65" s="167"/>
      <c r="V65" s="167"/>
      <c r="W65" s="167"/>
      <c r="X65" s="164"/>
      <c r="Y65" s="164"/>
      <c r="Z65" s="172"/>
      <c r="AA65" s="188"/>
      <c r="AB65" s="172"/>
      <c r="AC65" s="172"/>
      <c r="AD65" s="175"/>
      <c r="AE65" s="62" t="s">
        <v>153</v>
      </c>
      <c r="AF65" s="133"/>
      <c r="AG65" s="65"/>
      <c r="AH65" s="64"/>
      <c r="AI65" s="64"/>
      <c r="AJ65" s="64"/>
      <c r="AK65" s="64"/>
      <c r="AL65" s="64"/>
      <c r="AM65" s="80" t="str">
        <f>IFERROR((Tablas!$C$1*VLOOKUP(AH65, tipo_control, 2, 0)+Tablas!$E$1*VLOOKUP(AI65, nat_control, 2, 0)+Tablas!$G$1*VLOOKUP(AJ65, ev_control, 2, 0)+Tablas!$I$1*VLOOKUP(AK65, frec_control, 2, 0)+Tablas!$K$1*VLOOKUP(AL65, doc_control, 2, 0))*0.1*peso_dis, "")</f>
        <v/>
      </c>
      <c r="AN65" s="64"/>
      <c r="AO65" s="64"/>
      <c r="AP65" s="64"/>
      <c r="AQ65" s="80" t="str">
        <f>IFERROR((Tablas!$C$9*VLOOKUP(AN65, amb_control, 2, 0)+Tablas!$E$9*VLOOKUP(AO65, ejec_control, 2, 0)+Tablas!$G$9*VLOOKUP(AP65, cub_control, 2, 0))*0.1*peso_ejec, "")</f>
        <v/>
      </c>
      <c r="AR65" s="91" t="str">
        <f t="shared" si="80"/>
        <v/>
      </c>
      <c r="AS65" s="85" t="str">
        <f t="shared" si="38"/>
        <v/>
      </c>
      <c r="AT65" s="85" t="str">
        <f t="shared" si="39"/>
        <v/>
      </c>
      <c r="AU65" s="85" t="str">
        <f>IF(AR65&lt;Tablas!$G$19, 0, IF(AND(AR65&gt;=Tablas!$G$19, AR65&lt;Tablas!$G$20), 1,  IF(AND(AR65&gt;=Tablas!$G$20, AR65&lt;Tablas!$G$21), 2,  IF(AND(AR65&gt;=Tablas!$G$21, AR65&lt;=Tablas!$G$22), 3,  ""))))</f>
        <v/>
      </c>
      <c r="AV65" s="85" t="str">
        <f t="shared" si="81"/>
        <v/>
      </c>
      <c r="AW65" s="101" t="str">
        <f t="shared" si="82"/>
        <v/>
      </c>
      <c r="AX65" s="177"/>
      <c r="AY65" s="169"/>
      <c r="AZ65" s="158"/>
      <c r="BA65" s="169"/>
      <c r="BB65" s="182"/>
      <c r="BC65" s="182"/>
      <c r="BD65" s="185"/>
      <c r="BE65" s="185"/>
      <c r="BF65" s="158"/>
      <c r="BG65" s="191"/>
    </row>
    <row r="66" spans="1:59" ht="15" customHeight="1" thickBot="1" x14ac:dyDescent="0.3">
      <c r="A66" s="167"/>
      <c r="B66" s="220"/>
      <c r="C66" s="161"/>
      <c r="D66" s="160"/>
      <c r="E66" s="161"/>
      <c r="F66" s="165"/>
      <c r="G66" s="149"/>
      <c r="H66" s="149"/>
      <c r="I66" s="149"/>
      <c r="J66" s="149"/>
      <c r="K66" s="149"/>
      <c r="L66" s="166"/>
      <c r="M66" s="166"/>
      <c r="N66" s="166"/>
      <c r="O66" s="166"/>
      <c r="P66" s="166"/>
      <c r="Q66" s="166"/>
      <c r="R66" s="177"/>
      <c r="S66" s="149"/>
      <c r="T66" s="149"/>
      <c r="U66" s="149"/>
      <c r="V66" s="149"/>
      <c r="W66" s="149"/>
      <c r="X66" s="165"/>
      <c r="Y66" s="165"/>
      <c r="Z66" s="172"/>
      <c r="AA66" s="188"/>
      <c r="AB66" s="172"/>
      <c r="AC66" s="172"/>
      <c r="AD66" s="175"/>
      <c r="AE66" s="66" t="s">
        <v>154</v>
      </c>
      <c r="AF66" s="134"/>
      <c r="AG66" s="67"/>
      <c r="AH66" s="69"/>
      <c r="AI66" s="69"/>
      <c r="AJ66" s="69"/>
      <c r="AK66" s="69"/>
      <c r="AL66" s="69"/>
      <c r="AM66" s="81" t="str">
        <f>IFERROR((Tablas!$C$1*VLOOKUP(AH66, tipo_control, 2, 0)+Tablas!$E$1*VLOOKUP(AI66, nat_control, 2, 0)+Tablas!$G$1*VLOOKUP(AJ66, ev_control, 2, 0)+Tablas!$I$1*VLOOKUP(AK66, frec_control, 2, 0)+Tablas!$K$1*VLOOKUP(AL66, doc_control, 2, 0))*0.1*peso_dis, "")</f>
        <v/>
      </c>
      <c r="AN66" s="69"/>
      <c r="AO66" s="69"/>
      <c r="AP66" s="69"/>
      <c r="AQ66" s="81" t="str">
        <f>IFERROR((Tablas!$C$9*VLOOKUP(AN66, amb_control, 2, 0)+Tablas!$E$9*VLOOKUP(AO66, ejec_control, 2, 0)+Tablas!$G$9*VLOOKUP(AP66, cub_control, 2, 0))*0.1*peso_ejec, "")</f>
        <v/>
      </c>
      <c r="AR66" s="93" t="str">
        <f t="shared" si="80"/>
        <v/>
      </c>
      <c r="AS66" s="94" t="str">
        <f t="shared" si="38"/>
        <v/>
      </c>
      <c r="AT66" s="94" t="str">
        <f t="shared" si="39"/>
        <v/>
      </c>
      <c r="AU66" s="94" t="str">
        <f>IF(AR66&lt;Tablas!$G$19, 0, IF(AND(AR66&gt;=Tablas!$G$19, AR66&lt;Tablas!$G$20), 1,  IF(AND(AR66&gt;=Tablas!$G$20, AR66&lt;Tablas!$G$21), 2,  IF(AND(AR66&gt;=Tablas!$G$21, AR66&lt;=Tablas!$G$22), 3,  ""))))</f>
        <v/>
      </c>
      <c r="AV66" s="94" t="str">
        <f t="shared" si="81"/>
        <v/>
      </c>
      <c r="AW66" s="102" t="str">
        <f t="shared" si="82"/>
        <v/>
      </c>
      <c r="AX66" s="157"/>
      <c r="AY66" s="170"/>
      <c r="AZ66" s="179"/>
      <c r="BA66" s="170"/>
      <c r="BB66" s="182"/>
      <c r="BC66" s="182"/>
      <c r="BD66" s="185"/>
      <c r="BE66" s="185"/>
      <c r="BF66" s="159"/>
      <c r="BG66" s="191"/>
    </row>
    <row r="67" spans="1:59" ht="15" customHeight="1" x14ac:dyDescent="0.25">
      <c r="A67" s="167"/>
      <c r="B67" s="220"/>
      <c r="C67" s="161" t="s">
        <v>16</v>
      </c>
      <c r="D67" s="160"/>
      <c r="E67" s="149"/>
      <c r="F67" s="163" t="str">
        <f t="shared" si="0"/>
        <v/>
      </c>
      <c r="G67" s="148"/>
      <c r="H67" s="148"/>
      <c r="I67" s="148"/>
      <c r="J67" s="148"/>
      <c r="K67" s="148"/>
      <c r="L67" s="165" t="str">
        <f>IFERROR(VLOOKUP(G67, tabla02, 2, 0), "")</f>
        <v/>
      </c>
      <c r="M67" s="165" t="str">
        <f>IFERROR(VLOOKUP(H67, tabla02, 2, 0), "")</f>
        <v/>
      </c>
      <c r="N67" s="165" t="str">
        <f>IFERROR(VLOOKUP(I67, tabla02, 2, 0), "")</f>
        <v/>
      </c>
      <c r="O67" s="165" t="str">
        <f>IFERROR(VLOOKUP(J67, tabla02, 2, 0), "")</f>
        <v/>
      </c>
      <c r="P67" s="165" t="str">
        <f>IFERROR(VLOOKUP(K67, tabla02, 2, 0), "")</f>
        <v/>
      </c>
      <c r="Q67" s="165" t="str">
        <f t="shared" ref="Q67" si="88">IF(SUM(L67:P67)=0, "", MAX(L67:P67))</f>
        <v/>
      </c>
      <c r="R67" s="159" t="str">
        <f>IFERROR(VLOOKUP(Q67, tabla04, 3, 0), "")</f>
        <v/>
      </c>
      <c r="S67" s="148"/>
      <c r="T67" s="148"/>
      <c r="U67" s="148"/>
      <c r="V67" s="148"/>
      <c r="W67" s="148"/>
      <c r="X67" s="163" t="str">
        <f>IFERROR(VLOOKUP(CONCATENATE(F67, "-", Q67), cuadrante_sev, 3, 0), "")</f>
        <v/>
      </c>
      <c r="Y67" s="163" t="str">
        <f t="shared" ref="Y67" si="89">IFERROR(IF(X67="Baja", 1, IF(X67="Moderada", 2, IF(X67="Alta", 3, IF(X67="Extrema", 4, "")))), "")</f>
        <v/>
      </c>
      <c r="Z67" s="172"/>
      <c r="AA67" s="188"/>
      <c r="AB67" s="172"/>
      <c r="AC67" s="172"/>
      <c r="AD67" s="175"/>
      <c r="AE67" s="70" t="s">
        <v>113</v>
      </c>
      <c r="AF67" s="135"/>
      <c r="AG67" s="60"/>
      <c r="AH67" s="61"/>
      <c r="AI67" s="61"/>
      <c r="AJ67" s="61"/>
      <c r="AK67" s="61"/>
      <c r="AL67" s="61"/>
      <c r="AM67" s="82" t="str">
        <f>IFERROR((Tablas!$C$1*VLOOKUP(AH67, tipo_control, 2, 0)+Tablas!$E$1*VLOOKUP(AI67, nat_control, 2, 0)+Tablas!$G$1*VLOOKUP(AJ67, ev_control, 2, 0)+Tablas!$I$1*VLOOKUP(AK67, frec_control, 2, 0)+Tablas!$K$1*VLOOKUP(AL67, doc_control, 2, 0))*0.1*peso_dis, "")</f>
        <v/>
      </c>
      <c r="AN67" s="61"/>
      <c r="AO67" s="61"/>
      <c r="AP67" s="61"/>
      <c r="AQ67" s="82" t="str">
        <f>IFERROR((Tablas!$C$9*VLOOKUP(AN67, amb_control, 2, 0)+Tablas!$E$9*VLOOKUP(AO67, ejec_control, 2, 0)+Tablas!$G$9*VLOOKUP(AP67, cub_control, 2, 0))*0.1*peso_ejec, "")</f>
        <v/>
      </c>
      <c r="AR67" s="96" t="str">
        <f t="shared" si="80"/>
        <v/>
      </c>
      <c r="AS67" s="97" t="str">
        <f t="shared" si="38"/>
        <v/>
      </c>
      <c r="AT67" s="87" t="str">
        <f t="shared" si="39"/>
        <v/>
      </c>
      <c r="AU67" s="97" t="str">
        <f>IF(AR67&lt;Tablas!$G$19, 0, IF(AND(AR67&gt;=Tablas!$G$19, AR67&lt;Tablas!$G$20), 1,  IF(AND(AR67&gt;=Tablas!$G$20, AR67&lt;Tablas!$G$21), 2,  IF(AND(AR67&gt;=Tablas!$G$21, AR67&lt;=Tablas!$G$22), 3,  ""))))</f>
        <v/>
      </c>
      <c r="AV67" s="97" t="str">
        <f t="shared" si="81"/>
        <v/>
      </c>
      <c r="AW67" s="103" t="str">
        <f t="shared" si="82"/>
        <v/>
      </c>
      <c r="AX67" s="176" t="str">
        <f t="shared" ref="AX67" si="90">IFERROR(VLOOKUP(AY67, tabla04, 2, 0), "")</f>
        <v/>
      </c>
      <c r="AY67" s="168" t="str">
        <f>IF(F67="", "", IF((F67-MAX(AV67:AV71))&lt;=0, 1, F67-MAX(AV67:AV71)))</f>
        <v/>
      </c>
      <c r="AZ67" s="178" t="str">
        <f t="shared" ref="AZ67" si="91">IFERROR(VLOOKUP(BA67, tabla04, 3, 0), "")</f>
        <v/>
      </c>
      <c r="BA67" s="168" t="str">
        <f>IF(Q67="", "", IF((Q67-MAX(AW67:AW71))&lt;=0, 1, Q67-MAX(AW67:AW71)))</f>
        <v/>
      </c>
      <c r="BB67" s="182"/>
      <c r="BC67" s="182"/>
      <c r="BD67" s="185"/>
      <c r="BE67" s="185"/>
      <c r="BF67" s="158" t="str">
        <f t="shared" ref="BF67:BF69" si="92">IFERROR(VLOOKUP(CONCATENATE(AY67, "-", BA67), cuadrante_sev, 3, 0), "")</f>
        <v/>
      </c>
      <c r="BG67" s="191"/>
    </row>
    <row r="68" spans="1:59" ht="15" customHeight="1" x14ac:dyDescent="0.25">
      <c r="A68" s="167"/>
      <c r="B68" s="220"/>
      <c r="C68" s="161"/>
      <c r="D68" s="160"/>
      <c r="E68" s="161"/>
      <c r="F68" s="164"/>
      <c r="G68" s="167"/>
      <c r="H68" s="167"/>
      <c r="I68" s="167"/>
      <c r="J68" s="167"/>
      <c r="K68" s="167"/>
      <c r="L68" s="166"/>
      <c r="M68" s="166"/>
      <c r="N68" s="166"/>
      <c r="O68" s="166"/>
      <c r="P68" s="166"/>
      <c r="Q68" s="166"/>
      <c r="R68" s="177"/>
      <c r="S68" s="167"/>
      <c r="T68" s="167"/>
      <c r="U68" s="167"/>
      <c r="V68" s="167"/>
      <c r="W68" s="167"/>
      <c r="X68" s="164"/>
      <c r="Y68" s="164"/>
      <c r="Z68" s="172"/>
      <c r="AA68" s="188"/>
      <c r="AB68" s="172"/>
      <c r="AC68" s="172"/>
      <c r="AD68" s="175"/>
      <c r="AE68" s="62" t="s">
        <v>114</v>
      </c>
      <c r="AF68" s="133"/>
      <c r="AG68" s="63"/>
      <c r="AH68" s="64"/>
      <c r="AI68" s="64"/>
      <c r="AJ68" s="64"/>
      <c r="AK68" s="64"/>
      <c r="AL68" s="64"/>
      <c r="AM68" s="80" t="str">
        <f>IFERROR((Tablas!$C$1*VLOOKUP(AH68, tipo_control, 2, 0)+Tablas!$E$1*VLOOKUP(AI68, nat_control, 2, 0)+Tablas!$G$1*VLOOKUP(AJ68, ev_control, 2, 0)+Tablas!$I$1*VLOOKUP(AK68, frec_control, 2, 0)+Tablas!$K$1*VLOOKUP(AL68, doc_control, 2, 0))*0.1*peso_dis, "")</f>
        <v/>
      </c>
      <c r="AN68" s="64"/>
      <c r="AO68" s="64"/>
      <c r="AP68" s="64"/>
      <c r="AQ68" s="80" t="str">
        <f>IFERROR((Tablas!$C$9*VLOOKUP(AN68, amb_control, 2, 0)+Tablas!$E$9*VLOOKUP(AO68, ejec_control, 2, 0)+Tablas!$G$9*VLOOKUP(AP68, cub_control, 2, 0))*0.1*peso_ejec, "")</f>
        <v/>
      </c>
      <c r="AR68" s="91" t="str">
        <f t="shared" si="80"/>
        <v/>
      </c>
      <c r="AS68" s="85" t="str">
        <f t="shared" si="38"/>
        <v/>
      </c>
      <c r="AT68" s="85" t="str">
        <f t="shared" si="39"/>
        <v/>
      </c>
      <c r="AU68" s="85" t="str">
        <f>IF(AR68&lt;Tablas!$G$19, 0, IF(AND(AR68&gt;=Tablas!$G$19, AR68&lt;Tablas!$G$20), 1,  IF(AND(AR68&gt;=Tablas!$G$20, AR68&lt;Tablas!$G$21), 2,  IF(AND(AR68&gt;=Tablas!$G$21, AR68&lt;=Tablas!$G$22), 3,  ""))))</f>
        <v/>
      </c>
      <c r="AV68" s="85" t="str">
        <f t="shared" si="81"/>
        <v/>
      </c>
      <c r="AW68" s="101" t="str">
        <f t="shared" si="82"/>
        <v/>
      </c>
      <c r="AX68" s="177"/>
      <c r="AY68" s="169"/>
      <c r="AZ68" s="158"/>
      <c r="BA68" s="169"/>
      <c r="BB68" s="182"/>
      <c r="BC68" s="182"/>
      <c r="BD68" s="185"/>
      <c r="BE68" s="185"/>
      <c r="BF68" s="158" t="str">
        <f t="shared" si="92"/>
        <v/>
      </c>
      <c r="BG68" s="191"/>
    </row>
    <row r="69" spans="1:59" ht="15" customHeight="1" x14ac:dyDescent="0.25">
      <c r="A69" s="167"/>
      <c r="B69" s="220"/>
      <c r="C69" s="161"/>
      <c r="D69" s="160"/>
      <c r="E69" s="161"/>
      <c r="F69" s="164"/>
      <c r="G69" s="167"/>
      <c r="H69" s="167"/>
      <c r="I69" s="167"/>
      <c r="J69" s="167"/>
      <c r="K69" s="167"/>
      <c r="L69" s="166"/>
      <c r="M69" s="166"/>
      <c r="N69" s="166"/>
      <c r="O69" s="166"/>
      <c r="P69" s="166"/>
      <c r="Q69" s="166"/>
      <c r="R69" s="177"/>
      <c r="S69" s="167"/>
      <c r="T69" s="167"/>
      <c r="U69" s="167"/>
      <c r="V69" s="167"/>
      <c r="W69" s="167"/>
      <c r="X69" s="164"/>
      <c r="Y69" s="164"/>
      <c r="Z69" s="172"/>
      <c r="AA69" s="188"/>
      <c r="AB69" s="172"/>
      <c r="AC69" s="172"/>
      <c r="AD69" s="175"/>
      <c r="AE69" s="62" t="s">
        <v>115</v>
      </c>
      <c r="AF69" s="133"/>
      <c r="AG69" s="65"/>
      <c r="AH69" s="64"/>
      <c r="AI69" s="64"/>
      <c r="AJ69" s="64"/>
      <c r="AK69" s="64"/>
      <c r="AL69" s="64"/>
      <c r="AM69" s="80" t="str">
        <f>IFERROR((Tablas!$C$1*VLOOKUP(AH69, tipo_control, 2, 0)+Tablas!$E$1*VLOOKUP(AI69, nat_control, 2, 0)+Tablas!$G$1*VLOOKUP(AJ69, ev_control, 2, 0)+Tablas!$I$1*VLOOKUP(AK69, frec_control, 2, 0)+Tablas!$K$1*VLOOKUP(AL69, doc_control, 2, 0))*0.1*peso_dis, "")</f>
        <v/>
      </c>
      <c r="AN69" s="64"/>
      <c r="AO69" s="64"/>
      <c r="AP69" s="64"/>
      <c r="AQ69" s="80" t="str">
        <f>IFERROR((Tablas!$C$9*VLOOKUP(AN69, amb_control, 2, 0)+Tablas!$E$9*VLOOKUP(AO69, ejec_control, 2, 0)+Tablas!$G$9*VLOOKUP(AP69, cub_control, 2, 0))*0.1*peso_ejec, "")</f>
        <v/>
      </c>
      <c r="AR69" s="91" t="str">
        <f t="shared" si="80"/>
        <v/>
      </c>
      <c r="AS69" s="85" t="str">
        <f t="shared" si="38"/>
        <v/>
      </c>
      <c r="AT69" s="85" t="str">
        <f t="shared" si="39"/>
        <v/>
      </c>
      <c r="AU69" s="85" t="str">
        <f>IF(AR69&lt;Tablas!$G$19, 0, IF(AND(AR69&gt;=Tablas!$G$19, AR69&lt;Tablas!$G$20), 1,  IF(AND(AR69&gt;=Tablas!$G$20, AR69&lt;Tablas!$G$21), 2,  IF(AND(AR69&gt;=Tablas!$G$21, AR69&lt;=Tablas!$G$22), 3,  ""))))</f>
        <v/>
      </c>
      <c r="AV69" s="85" t="str">
        <f t="shared" si="81"/>
        <v/>
      </c>
      <c r="AW69" s="101" t="str">
        <f t="shared" si="82"/>
        <v/>
      </c>
      <c r="AX69" s="177"/>
      <c r="AY69" s="169"/>
      <c r="AZ69" s="158"/>
      <c r="BA69" s="169"/>
      <c r="BB69" s="182"/>
      <c r="BC69" s="182"/>
      <c r="BD69" s="185"/>
      <c r="BE69" s="185"/>
      <c r="BF69" s="158" t="str">
        <f t="shared" si="92"/>
        <v/>
      </c>
      <c r="BG69" s="191"/>
    </row>
    <row r="70" spans="1:59" ht="15" customHeight="1" x14ac:dyDescent="0.25">
      <c r="A70" s="167"/>
      <c r="B70" s="220"/>
      <c r="C70" s="161"/>
      <c r="D70" s="160"/>
      <c r="E70" s="161"/>
      <c r="F70" s="164"/>
      <c r="G70" s="167"/>
      <c r="H70" s="167"/>
      <c r="I70" s="167"/>
      <c r="J70" s="167"/>
      <c r="K70" s="167"/>
      <c r="L70" s="166"/>
      <c r="M70" s="166"/>
      <c r="N70" s="166"/>
      <c r="O70" s="166"/>
      <c r="P70" s="166"/>
      <c r="Q70" s="166"/>
      <c r="R70" s="177"/>
      <c r="S70" s="167"/>
      <c r="T70" s="167"/>
      <c r="U70" s="167"/>
      <c r="V70" s="167"/>
      <c r="W70" s="167"/>
      <c r="X70" s="164"/>
      <c r="Y70" s="164"/>
      <c r="Z70" s="172"/>
      <c r="AA70" s="188"/>
      <c r="AB70" s="172"/>
      <c r="AC70" s="172"/>
      <c r="AD70" s="175"/>
      <c r="AE70" s="62" t="s">
        <v>153</v>
      </c>
      <c r="AF70" s="133"/>
      <c r="AG70" s="65"/>
      <c r="AH70" s="64"/>
      <c r="AI70" s="64"/>
      <c r="AJ70" s="64"/>
      <c r="AK70" s="64"/>
      <c r="AL70" s="64"/>
      <c r="AM70" s="80" t="str">
        <f>IFERROR((Tablas!$C$1*VLOOKUP(AH70, tipo_control, 2, 0)+Tablas!$E$1*VLOOKUP(AI70, nat_control, 2, 0)+Tablas!$G$1*VLOOKUP(AJ70, ev_control, 2, 0)+Tablas!$I$1*VLOOKUP(AK70, frec_control, 2, 0)+Tablas!$K$1*VLOOKUP(AL70, doc_control, 2, 0))*0.1*peso_dis, "")</f>
        <v/>
      </c>
      <c r="AN70" s="64"/>
      <c r="AO70" s="64"/>
      <c r="AP70" s="64"/>
      <c r="AQ70" s="80" t="str">
        <f>IFERROR((Tablas!$C$9*VLOOKUP(AN70, amb_control, 2, 0)+Tablas!$E$9*VLOOKUP(AO70, ejec_control, 2, 0)+Tablas!$G$9*VLOOKUP(AP70, cub_control, 2, 0))*0.1*peso_ejec, "")</f>
        <v/>
      </c>
      <c r="AR70" s="91" t="str">
        <f t="shared" si="80"/>
        <v/>
      </c>
      <c r="AS70" s="85" t="str">
        <f t="shared" si="38"/>
        <v/>
      </c>
      <c r="AT70" s="85" t="str">
        <f t="shared" si="39"/>
        <v/>
      </c>
      <c r="AU70" s="85" t="str">
        <f>IF(AR70&lt;Tablas!$G$19, 0, IF(AND(AR70&gt;=Tablas!$G$19, AR70&lt;Tablas!$G$20), 1,  IF(AND(AR70&gt;=Tablas!$G$20, AR70&lt;Tablas!$G$21), 2,  IF(AND(AR70&gt;=Tablas!$G$21, AR70&lt;=Tablas!$G$22), 3,  ""))))</f>
        <v/>
      </c>
      <c r="AV70" s="85" t="str">
        <f t="shared" si="81"/>
        <v/>
      </c>
      <c r="AW70" s="101" t="str">
        <f t="shared" si="82"/>
        <v/>
      </c>
      <c r="AX70" s="177"/>
      <c r="AY70" s="169"/>
      <c r="AZ70" s="158"/>
      <c r="BA70" s="169"/>
      <c r="BB70" s="182"/>
      <c r="BC70" s="182"/>
      <c r="BD70" s="185"/>
      <c r="BE70" s="185"/>
      <c r="BF70" s="158"/>
      <c r="BG70" s="191"/>
    </row>
    <row r="71" spans="1:59" ht="15" customHeight="1" thickBot="1" x14ac:dyDescent="0.3">
      <c r="A71" s="167"/>
      <c r="B71" s="220"/>
      <c r="C71" s="161"/>
      <c r="D71" s="160"/>
      <c r="E71" s="161"/>
      <c r="F71" s="165"/>
      <c r="G71" s="149"/>
      <c r="H71" s="149"/>
      <c r="I71" s="149"/>
      <c r="J71" s="149"/>
      <c r="K71" s="149"/>
      <c r="L71" s="166"/>
      <c r="M71" s="166"/>
      <c r="N71" s="166"/>
      <c r="O71" s="166"/>
      <c r="P71" s="166"/>
      <c r="Q71" s="166"/>
      <c r="R71" s="177"/>
      <c r="S71" s="149"/>
      <c r="T71" s="149"/>
      <c r="U71" s="149"/>
      <c r="V71" s="149"/>
      <c r="W71" s="149"/>
      <c r="X71" s="165"/>
      <c r="Y71" s="165"/>
      <c r="Z71" s="172"/>
      <c r="AA71" s="188"/>
      <c r="AB71" s="172"/>
      <c r="AC71" s="172"/>
      <c r="AD71" s="175"/>
      <c r="AE71" s="66" t="s">
        <v>154</v>
      </c>
      <c r="AF71" s="134"/>
      <c r="AG71" s="67"/>
      <c r="AH71" s="69"/>
      <c r="AI71" s="69"/>
      <c r="AJ71" s="69"/>
      <c r="AK71" s="69"/>
      <c r="AL71" s="69"/>
      <c r="AM71" s="81" t="str">
        <f>IFERROR((Tablas!$C$1*VLOOKUP(AH71, tipo_control, 2, 0)+Tablas!$E$1*VLOOKUP(AI71, nat_control, 2, 0)+Tablas!$G$1*VLOOKUP(AJ71, ev_control, 2, 0)+Tablas!$I$1*VLOOKUP(AK71, frec_control, 2, 0)+Tablas!$K$1*VLOOKUP(AL71, doc_control, 2, 0))*0.1*peso_dis, "")</f>
        <v/>
      </c>
      <c r="AN71" s="69"/>
      <c r="AO71" s="69"/>
      <c r="AP71" s="69"/>
      <c r="AQ71" s="81" t="str">
        <f>IFERROR((Tablas!$C$9*VLOOKUP(AN71, amb_control, 2, 0)+Tablas!$E$9*VLOOKUP(AO71, ejec_control, 2, 0)+Tablas!$G$9*VLOOKUP(AP71, cub_control, 2, 0))*0.1*peso_ejec, "")</f>
        <v/>
      </c>
      <c r="AR71" s="93" t="str">
        <f t="shared" si="80"/>
        <v/>
      </c>
      <c r="AS71" s="94" t="str">
        <f t="shared" si="38"/>
        <v/>
      </c>
      <c r="AT71" s="94" t="str">
        <f t="shared" si="39"/>
        <v/>
      </c>
      <c r="AU71" s="94" t="str">
        <f>IF(AR71&lt;Tablas!$G$19, 0, IF(AND(AR71&gt;=Tablas!$G$19, AR71&lt;Tablas!$G$20), 1,  IF(AND(AR71&gt;=Tablas!$G$20, AR71&lt;Tablas!$G$21), 2,  IF(AND(AR71&gt;=Tablas!$G$21, AR71&lt;=Tablas!$G$22), 3,  ""))))</f>
        <v/>
      </c>
      <c r="AV71" s="94" t="str">
        <f t="shared" si="81"/>
        <v/>
      </c>
      <c r="AW71" s="102" t="str">
        <f t="shared" si="82"/>
        <v/>
      </c>
      <c r="AX71" s="157"/>
      <c r="AY71" s="170"/>
      <c r="AZ71" s="179"/>
      <c r="BA71" s="170"/>
      <c r="BB71" s="182"/>
      <c r="BC71" s="182"/>
      <c r="BD71" s="185"/>
      <c r="BE71" s="185"/>
      <c r="BF71" s="159"/>
      <c r="BG71" s="191"/>
    </row>
    <row r="72" spans="1:59" ht="15" customHeight="1" x14ac:dyDescent="0.25">
      <c r="A72" s="167"/>
      <c r="B72" s="220"/>
      <c r="C72" s="161" t="s">
        <v>18</v>
      </c>
      <c r="D72" s="160"/>
      <c r="E72" s="149"/>
      <c r="F72" s="163" t="str">
        <f t="shared" ref="F72:F132" si="93">IFERROR(VLOOKUP(E72, tabla01, 3, 0), "")</f>
        <v/>
      </c>
      <c r="G72" s="148"/>
      <c r="H72" s="148"/>
      <c r="I72" s="148"/>
      <c r="J72" s="148"/>
      <c r="K72" s="148"/>
      <c r="L72" s="165" t="str">
        <f t="shared" ref="L72" si="94">IFERROR(VLOOKUP(G72, tabla02, 2, 0), "")</f>
        <v/>
      </c>
      <c r="M72" s="165" t="str">
        <f t="shared" ref="M72" si="95">IFERROR(VLOOKUP(H72, tabla02, 2, 0), "")</f>
        <v/>
      </c>
      <c r="N72" s="165" t="str">
        <f t="shared" ref="N72" si="96">IFERROR(VLOOKUP(I72, tabla02, 2, 0), "")</f>
        <v/>
      </c>
      <c r="O72" s="165" t="str">
        <f t="shared" ref="O72" si="97">IFERROR(VLOOKUP(J72, tabla02, 2, 0), "")</f>
        <v/>
      </c>
      <c r="P72" s="165" t="str">
        <f t="shared" ref="P72" si="98">IFERROR(VLOOKUP(K72, tabla02, 2, 0), "")</f>
        <v/>
      </c>
      <c r="Q72" s="165" t="str">
        <f t="shared" ref="Q72" si="99">IF(SUM(L72:P72)=0, "", MAX(L72:P72))</f>
        <v/>
      </c>
      <c r="R72" s="159" t="str">
        <f>IFERROR(VLOOKUP(Q72, tabla04, 3, 0), "")</f>
        <v/>
      </c>
      <c r="S72" s="148"/>
      <c r="T72" s="148"/>
      <c r="U72" s="148"/>
      <c r="V72" s="148"/>
      <c r="W72" s="148"/>
      <c r="X72" s="163" t="str">
        <f>IFERROR(VLOOKUP(CONCATENATE(F72, "-", Q72), cuadrante_sev, 3, 0), "")</f>
        <v/>
      </c>
      <c r="Y72" s="163" t="str">
        <f t="shared" ref="Y72" si="100">IFERROR(IF(X72="Baja", 1, IF(X72="Moderada", 2, IF(X72="Alta", 3, IF(X72="Extrema", 4, "")))), "")</f>
        <v/>
      </c>
      <c r="Z72" s="172"/>
      <c r="AA72" s="188"/>
      <c r="AB72" s="172"/>
      <c r="AC72" s="172"/>
      <c r="AD72" s="175"/>
      <c r="AE72" s="70" t="s">
        <v>113</v>
      </c>
      <c r="AF72" s="135"/>
      <c r="AG72" s="60"/>
      <c r="AH72" s="61"/>
      <c r="AI72" s="61"/>
      <c r="AJ72" s="61"/>
      <c r="AK72" s="61"/>
      <c r="AL72" s="61"/>
      <c r="AM72" s="82" t="str">
        <f>IFERROR((Tablas!$C$1*VLOOKUP(AH72, tipo_control, 2, 0)+Tablas!$E$1*VLOOKUP(AI72, nat_control, 2, 0)+Tablas!$G$1*VLOOKUP(AJ72, ev_control, 2, 0)+Tablas!$I$1*VLOOKUP(AK72, frec_control, 2, 0)+Tablas!$K$1*VLOOKUP(AL72, doc_control, 2, 0))*0.1*peso_dis, "")</f>
        <v/>
      </c>
      <c r="AN72" s="61"/>
      <c r="AO72" s="61"/>
      <c r="AP72" s="61"/>
      <c r="AQ72" s="82" t="str">
        <f>IFERROR((Tablas!$C$9*VLOOKUP(AN72, amb_control, 2, 0)+Tablas!$E$9*VLOOKUP(AO72, ejec_control, 2, 0)+Tablas!$G$9*VLOOKUP(AP72, cub_control, 2, 0))*0.1*peso_ejec, "")</f>
        <v/>
      </c>
      <c r="AR72" s="96" t="str">
        <f t="shared" si="80"/>
        <v/>
      </c>
      <c r="AS72" s="97" t="str">
        <f t="shared" si="38"/>
        <v/>
      </c>
      <c r="AT72" s="87" t="str">
        <f t="shared" si="39"/>
        <v/>
      </c>
      <c r="AU72" s="97" t="str">
        <f>IF(AR72&lt;Tablas!$G$19, 0, IF(AND(AR72&gt;=Tablas!$G$19, AR72&lt;Tablas!$G$20), 1,  IF(AND(AR72&gt;=Tablas!$G$20, AR72&lt;Tablas!$G$21), 2,  IF(AND(AR72&gt;=Tablas!$G$21, AR72&lt;=Tablas!$G$22), 3,  ""))))</f>
        <v/>
      </c>
      <c r="AV72" s="97" t="str">
        <f t="shared" si="81"/>
        <v/>
      </c>
      <c r="AW72" s="103" t="str">
        <f t="shared" si="82"/>
        <v/>
      </c>
      <c r="AX72" s="176" t="str">
        <f t="shared" ref="AX72" si="101">IFERROR(VLOOKUP(AY72, tabla04, 2, 0), "")</f>
        <v/>
      </c>
      <c r="AY72" s="168" t="str">
        <f>IF(F72="", "", IF((F72-MAX(AV72:AV76))&lt;=0, 1, F72-MAX(AV72:AV76)))</f>
        <v/>
      </c>
      <c r="AZ72" s="178" t="str">
        <f t="shared" ref="AZ72" si="102">IFERROR(VLOOKUP(BA72, tabla04, 3, 0), "")</f>
        <v/>
      </c>
      <c r="BA72" s="168" t="str">
        <f>IF(Q72="", "", IF((Q72-MAX(AW72:AW76))&lt;=0, 1, Q72-MAX(AW72:AW76)))</f>
        <v/>
      </c>
      <c r="BB72" s="182"/>
      <c r="BC72" s="182"/>
      <c r="BD72" s="185"/>
      <c r="BE72" s="185"/>
      <c r="BF72" s="158" t="str">
        <f t="shared" ref="BF72:BF74" si="103">IFERROR(VLOOKUP(CONCATENATE(AY72, "-", BA72), cuadrante_sev, 3, 0), "")</f>
        <v/>
      </c>
      <c r="BG72" s="191"/>
    </row>
    <row r="73" spans="1:59" ht="15" customHeight="1" x14ac:dyDescent="0.25">
      <c r="A73" s="167"/>
      <c r="B73" s="220"/>
      <c r="C73" s="161"/>
      <c r="D73" s="160"/>
      <c r="E73" s="161"/>
      <c r="F73" s="164"/>
      <c r="G73" s="167"/>
      <c r="H73" s="167"/>
      <c r="I73" s="167"/>
      <c r="J73" s="167"/>
      <c r="K73" s="167"/>
      <c r="L73" s="166"/>
      <c r="M73" s="166"/>
      <c r="N73" s="166"/>
      <c r="O73" s="166"/>
      <c r="P73" s="166"/>
      <c r="Q73" s="166"/>
      <c r="R73" s="177"/>
      <c r="S73" s="167"/>
      <c r="T73" s="167"/>
      <c r="U73" s="167"/>
      <c r="V73" s="167"/>
      <c r="W73" s="167"/>
      <c r="X73" s="164"/>
      <c r="Y73" s="164"/>
      <c r="Z73" s="172"/>
      <c r="AA73" s="188"/>
      <c r="AB73" s="172"/>
      <c r="AC73" s="172"/>
      <c r="AD73" s="175"/>
      <c r="AE73" s="62" t="s">
        <v>114</v>
      </c>
      <c r="AF73" s="133"/>
      <c r="AG73" s="63"/>
      <c r="AH73" s="64"/>
      <c r="AI73" s="64"/>
      <c r="AJ73" s="64"/>
      <c r="AK73" s="64"/>
      <c r="AL73" s="64"/>
      <c r="AM73" s="80" t="str">
        <f>IFERROR((Tablas!$C$1*VLOOKUP(AH73, tipo_control, 2, 0)+Tablas!$E$1*VLOOKUP(AI73, nat_control, 2, 0)+Tablas!$G$1*VLOOKUP(AJ73, ev_control, 2, 0)+Tablas!$I$1*VLOOKUP(AK73, frec_control, 2, 0)+Tablas!$K$1*VLOOKUP(AL73, doc_control, 2, 0))*0.1*peso_dis, "")</f>
        <v/>
      </c>
      <c r="AN73" s="64"/>
      <c r="AO73" s="64"/>
      <c r="AP73" s="64"/>
      <c r="AQ73" s="80" t="str">
        <f>IFERROR((Tablas!$C$9*VLOOKUP(AN73, amb_control, 2, 0)+Tablas!$E$9*VLOOKUP(AO73, ejec_control, 2, 0)+Tablas!$G$9*VLOOKUP(AP73, cub_control, 2, 0))*0.1*peso_ejec, "")</f>
        <v/>
      </c>
      <c r="AR73" s="91" t="str">
        <f t="shared" si="80"/>
        <v/>
      </c>
      <c r="AS73" s="85" t="str">
        <f t="shared" si="38"/>
        <v/>
      </c>
      <c r="AT73" s="85" t="str">
        <f t="shared" si="39"/>
        <v/>
      </c>
      <c r="AU73" s="85" t="str">
        <f>IF(AR73&lt;Tablas!$G$19, 0, IF(AND(AR73&gt;=Tablas!$G$19, AR73&lt;Tablas!$G$20), 1,  IF(AND(AR73&gt;=Tablas!$G$20, AR73&lt;Tablas!$G$21), 2,  IF(AND(AR73&gt;=Tablas!$G$21, AR73&lt;=Tablas!$G$22), 3,  ""))))</f>
        <v/>
      </c>
      <c r="AV73" s="85" t="str">
        <f t="shared" si="81"/>
        <v/>
      </c>
      <c r="AW73" s="101" t="str">
        <f t="shared" si="82"/>
        <v/>
      </c>
      <c r="AX73" s="177"/>
      <c r="AY73" s="169"/>
      <c r="AZ73" s="158"/>
      <c r="BA73" s="169"/>
      <c r="BB73" s="182"/>
      <c r="BC73" s="182"/>
      <c r="BD73" s="185"/>
      <c r="BE73" s="185"/>
      <c r="BF73" s="158" t="str">
        <f t="shared" si="103"/>
        <v/>
      </c>
      <c r="BG73" s="191"/>
    </row>
    <row r="74" spans="1:59" ht="15" customHeight="1" x14ac:dyDescent="0.25">
      <c r="A74" s="167"/>
      <c r="B74" s="220"/>
      <c r="C74" s="161"/>
      <c r="D74" s="160"/>
      <c r="E74" s="161"/>
      <c r="F74" s="164"/>
      <c r="G74" s="167"/>
      <c r="H74" s="167"/>
      <c r="I74" s="167"/>
      <c r="J74" s="167"/>
      <c r="K74" s="167"/>
      <c r="L74" s="166"/>
      <c r="M74" s="166"/>
      <c r="N74" s="166"/>
      <c r="O74" s="166"/>
      <c r="P74" s="166"/>
      <c r="Q74" s="166"/>
      <c r="R74" s="177"/>
      <c r="S74" s="167"/>
      <c r="T74" s="167"/>
      <c r="U74" s="167"/>
      <c r="V74" s="167"/>
      <c r="W74" s="167"/>
      <c r="X74" s="164"/>
      <c r="Y74" s="164"/>
      <c r="Z74" s="172"/>
      <c r="AA74" s="188"/>
      <c r="AB74" s="172"/>
      <c r="AC74" s="172"/>
      <c r="AD74" s="175"/>
      <c r="AE74" s="62" t="s">
        <v>115</v>
      </c>
      <c r="AF74" s="133"/>
      <c r="AG74" s="63"/>
      <c r="AH74" s="64"/>
      <c r="AI74" s="64"/>
      <c r="AJ74" s="64"/>
      <c r="AK74" s="64"/>
      <c r="AL74" s="64"/>
      <c r="AM74" s="80" t="str">
        <f>IFERROR((Tablas!$C$1*VLOOKUP(AH74, tipo_control, 2, 0)+Tablas!$E$1*VLOOKUP(AI74, nat_control, 2, 0)+Tablas!$G$1*VLOOKUP(AJ74, ev_control, 2, 0)+Tablas!$I$1*VLOOKUP(AK74, frec_control, 2, 0)+Tablas!$K$1*VLOOKUP(AL74, doc_control, 2, 0))*0.1*peso_dis, "")</f>
        <v/>
      </c>
      <c r="AN74" s="64"/>
      <c r="AO74" s="64"/>
      <c r="AP74" s="64"/>
      <c r="AQ74" s="80" t="str">
        <f>IFERROR((Tablas!$C$9*VLOOKUP(AN74, amb_control, 2, 0)+Tablas!$E$9*VLOOKUP(AO74, ejec_control, 2, 0)+Tablas!$G$9*VLOOKUP(AP74, cub_control, 2, 0))*0.1*peso_ejec, "")</f>
        <v/>
      </c>
      <c r="AR74" s="91" t="str">
        <f t="shared" si="80"/>
        <v/>
      </c>
      <c r="AS74" s="85" t="str">
        <f t="shared" si="38"/>
        <v/>
      </c>
      <c r="AT74" s="85" t="str">
        <f t="shared" si="39"/>
        <v/>
      </c>
      <c r="AU74" s="85" t="str">
        <f>IF(AR74&lt;Tablas!$G$19, 0, IF(AND(AR74&gt;=Tablas!$G$19, AR74&lt;Tablas!$G$20), 1,  IF(AND(AR74&gt;=Tablas!$G$20, AR74&lt;Tablas!$G$21), 2,  IF(AND(AR74&gt;=Tablas!$G$21, AR74&lt;=Tablas!$G$22), 3,  ""))))</f>
        <v/>
      </c>
      <c r="AV74" s="85" t="str">
        <f t="shared" si="81"/>
        <v/>
      </c>
      <c r="AW74" s="101" t="str">
        <f t="shared" si="82"/>
        <v/>
      </c>
      <c r="AX74" s="177"/>
      <c r="AY74" s="169"/>
      <c r="AZ74" s="158"/>
      <c r="BA74" s="169"/>
      <c r="BB74" s="182"/>
      <c r="BC74" s="182"/>
      <c r="BD74" s="185"/>
      <c r="BE74" s="185"/>
      <c r="BF74" s="158" t="str">
        <f t="shared" si="103"/>
        <v/>
      </c>
      <c r="BG74" s="191"/>
    </row>
    <row r="75" spans="1:59" ht="15" customHeight="1" x14ac:dyDescent="0.25">
      <c r="A75" s="167"/>
      <c r="B75" s="220"/>
      <c r="C75" s="161"/>
      <c r="D75" s="160"/>
      <c r="E75" s="161"/>
      <c r="F75" s="164"/>
      <c r="G75" s="167"/>
      <c r="H75" s="167"/>
      <c r="I75" s="167"/>
      <c r="J75" s="167"/>
      <c r="K75" s="167"/>
      <c r="L75" s="166"/>
      <c r="M75" s="166"/>
      <c r="N75" s="166"/>
      <c r="O75" s="166"/>
      <c r="P75" s="166"/>
      <c r="Q75" s="166"/>
      <c r="R75" s="177"/>
      <c r="S75" s="167"/>
      <c r="T75" s="167"/>
      <c r="U75" s="167"/>
      <c r="V75" s="167"/>
      <c r="W75" s="167"/>
      <c r="X75" s="164"/>
      <c r="Y75" s="164"/>
      <c r="Z75" s="172"/>
      <c r="AA75" s="188"/>
      <c r="AB75" s="172"/>
      <c r="AC75" s="172"/>
      <c r="AD75" s="175"/>
      <c r="AE75" s="62" t="s">
        <v>153</v>
      </c>
      <c r="AF75" s="133"/>
      <c r="AG75" s="65"/>
      <c r="AH75" s="64"/>
      <c r="AI75" s="64"/>
      <c r="AJ75" s="64"/>
      <c r="AK75" s="64"/>
      <c r="AL75" s="64"/>
      <c r="AM75" s="80" t="str">
        <f>IFERROR((Tablas!$C$1*VLOOKUP(AH75, tipo_control, 2, 0)+Tablas!$E$1*VLOOKUP(AI75, nat_control, 2, 0)+Tablas!$G$1*VLOOKUP(AJ75, ev_control, 2, 0)+Tablas!$I$1*VLOOKUP(AK75, frec_control, 2, 0)+Tablas!$K$1*VLOOKUP(AL75, doc_control, 2, 0))*0.1*peso_dis, "")</f>
        <v/>
      </c>
      <c r="AN75" s="64"/>
      <c r="AO75" s="64"/>
      <c r="AP75" s="64"/>
      <c r="AQ75" s="80" t="str">
        <f>IFERROR((Tablas!$C$9*VLOOKUP(AN75, amb_control, 2, 0)+Tablas!$E$9*VLOOKUP(AO75, ejec_control, 2, 0)+Tablas!$G$9*VLOOKUP(AP75, cub_control, 2, 0))*0.1*peso_ejec, "")</f>
        <v/>
      </c>
      <c r="AR75" s="91" t="str">
        <f t="shared" si="80"/>
        <v/>
      </c>
      <c r="AS75" s="85" t="str">
        <f t="shared" si="38"/>
        <v/>
      </c>
      <c r="AT75" s="85" t="str">
        <f t="shared" si="39"/>
        <v/>
      </c>
      <c r="AU75" s="85" t="str">
        <f>IF(AR75&lt;Tablas!$G$19, 0, IF(AND(AR75&gt;=Tablas!$G$19, AR75&lt;Tablas!$G$20), 1,  IF(AND(AR75&gt;=Tablas!$G$20, AR75&lt;Tablas!$G$21), 2,  IF(AND(AR75&gt;=Tablas!$G$21, AR75&lt;=Tablas!$G$22), 3,  ""))))</f>
        <v/>
      </c>
      <c r="AV75" s="85" t="str">
        <f t="shared" si="81"/>
        <v/>
      </c>
      <c r="AW75" s="101" t="str">
        <f t="shared" si="82"/>
        <v/>
      </c>
      <c r="AX75" s="177"/>
      <c r="AY75" s="169"/>
      <c r="AZ75" s="158"/>
      <c r="BA75" s="169"/>
      <c r="BB75" s="182"/>
      <c r="BC75" s="182"/>
      <c r="BD75" s="185"/>
      <c r="BE75" s="185"/>
      <c r="BF75" s="158"/>
      <c r="BG75" s="191"/>
    </row>
    <row r="76" spans="1:59" ht="15" customHeight="1" thickBot="1" x14ac:dyDescent="0.3">
      <c r="A76" s="167"/>
      <c r="B76" s="220"/>
      <c r="C76" s="161"/>
      <c r="D76" s="160"/>
      <c r="E76" s="161"/>
      <c r="F76" s="165"/>
      <c r="G76" s="149"/>
      <c r="H76" s="149"/>
      <c r="I76" s="149"/>
      <c r="J76" s="149"/>
      <c r="K76" s="149"/>
      <c r="L76" s="166"/>
      <c r="M76" s="166"/>
      <c r="N76" s="166"/>
      <c r="O76" s="166"/>
      <c r="P76" s="166"/>
      <c r="Q76" s="166"/>
      <c r="R76" s="177"/>
      <c r="S76" s="149"/>
      <c r="T76" s="149"/>
      <c r="U76" s="149"/>
      <c r="V76" s="149"/>
      <c r="W76" s="149"/>
      <c r="X76" s="165"/>
      <c r="Y76" s="165"/>
      <c r="Z76" s="172"/>
      <c r="AA76" s="188"/>
      <c r="AB76" s="172"/>
      <c r="AC76" s="172"/>
      <c r="AD76" s="175"/>
      <c r="AE76" s="66" t="s">
        <v>154</v>
      </c>
      <c r="AF76" s="134"/>
      <c r="AG76" s="67"/>
      <c r="AH76" s="69"/>
      <c r="AI76" s="69"/>
      <c r="AJ76" s="69"/>
      <c r="AK76" s="69"/>
      <c r="AL76" s="69"/>
      <c r="AM76" s="81" t="str">
        <f>IFERROR((Tablas!$C$1*VLOOKUP(AH76, tipo_control, 2, 0)+Tablas!$E$1*VLOOKUP(AI76, nat_control, 2, 0)+Tablas!$G$1*VLOOKUP(AJ76, ev_control, 2, 0)+Tablas!$I$1*VLOOKUP(AK76, frec_control, 2, 0)+Tablas!$K$1*VLOOKUP(AL76, doc_control, 2, 0))*0.1*peso_dis, "")</f>
        <v/>
      </c>
      <c r="AN76" s="69"/>
      <c r="AO76" s="69"/>
      <c r="AP76" s="69"/>
      <c r="AQ76" s="81" t="str">
        <f>IFERROR((Tablas!$C$9*VLOOKUP(AN76, amb_control, 2, 0)+Tablas!$E$9*VLOOKUP(AO76, ejec_control, 2, 0)+Tablas!$G$9*VLOOKUP(AP76, cub_control, 2, 0))*0.1*peso_ejec, "")</f>
        <v/>
      </c>
      <c r="AR76" s="93" t="str">
        <f t="shared" si="80"/>
        <v/>
      </c>
      <c r="AS76" s="94" t="str">
        <f t="shared" si="38"/>
        <v/>
      </c>
      <c r="AT76" s="94" t="str">
        <f t="shared" si="39"/>
        <v/>
      </c>
      <c r="AU76" s="94" t="str">
        <f>IF(AR76&lt;Tablas!$G$19, 0, IF(AND(AR76&gt;=Tablas!$G$19, AR76&lt;Tablas!$G$20), 1,  IF(AND(AR76&gt;=Tablas!$G$20, AR76&lt;Tablas!$G$21), 2,  IF(AND(AR76&gt;=Tablas!$G$21, AR76&lt;=Tablas!$G$22), 3,  ""))))</f>
        <v/>
      </c>
      <c r="AV76" s="94" t="str">
        <f t="shared" si="81"/>
        <v/>
      </c>
      <c r="AW76" s="102" t="str">
        <f t="shared" si="82"/>
        <v/>
      </c>
      <c r="AX76" s="157"/>
      <c r="AY76" s="170"/>
      <c r="AZ76" s="179"/>
      <c r="BA76" s="170"/>
      <c r="BB76" s="182"/>
      <c r="BC76" s="182"/>
      <c r="BD76" s="185"/>
      <c r="BE76" s="185"/>
      <c r="BF76" s="159"/>
      <c r="BG76" s="191"/>
    </row>
    <row r="77" spans="1:59" ht="15" customHeight="1" x14ac:dyDescent="0.25">
      <c r="A77" s="167"/>
      <c r="B77" s="220"/>
      <c r="C77" s="161" t="s">
        <v>19</v>
      </c>
      <c r="D77" s="160"/>
      <c r="E77" s="149"/>
      <c r="F77" s="163" t="str">
        <f t="shared" si="93"/>
        <v/>
      </c>
      <c r="G77" s="148"/>
      <c r="H77" s="148"/>
      <c r="I77" s="148"/>
      <c r="J77" s="148"/>
      <c r="K77" s="148"/>
      <c r="L77" s="165" t="str">
        <f t="shared" ref="L77" si="104">IFERROR(VLOOKUP(G77, tabla02, 2, 0), "")</f>
        <v/>
      </c>
      <c r="M77" s="165" t="str">
        <f t="shared" ref="M77" si="105">IFERROR(VLOOKUP(H77, tabla02, 2, 0), "")</f>
        <v/>
      </c>
      <c r="N77" s="165" t="str">
        <f t="shared" ref="N77" si="106">IFERROR(VLOOKUP(I77, tabla02, 2, 0), "")</f>
        <v/>
      </c>
      <c r="O77" s="165" t="str">
        <f t="shared" ref="O77" si="107">IFERROR(VLOOKUP(J77, tabla02, 2, 0), "")</f>
        <v/>
      </c>
      <c r="P77" s="165" t="str">
        <f t="shared" ref="P77" si="108">IFERROR(VLOOKUP(K77, tabla02, 2, 0), "")</f>
        <v/>
      </c>
      <c r="Q77" s="165" t="str">
        <f t="shared" ref="Q77" si="109">IF(SUM(L77:P77)=0, "", MAX(L77:P77))</f>
        <v/>
      </c>
      <c r="R77" s="159" t="str">
        <f>IFERROR(VLOOKUP(Q77, tabla04, 3, 0), "")</f>
        <v/>
      </c>
      <c r="S77" s="148"/>
      <c r="T77" s="148"/>
      <c r="U77" s="148"/>
      <c r="V77" s="148"/>
      <c r="W77" s="148"/>
      <c r="X77" s="163" t="str">
        <f>IFERROR(VLOOKUP(CONCATENATE(F77, "-", Q77), cuadrante_sev, 3, 0), "")</f>
        <v/>
      </c>
      <c r="Y77" s="163" t="str">
        <f t="shared" ref="Y77" si="110">IFERROR(IF(X77="Baja", 1, IF(X77="Moderada", 2, IF(X77="Alta", 3, IF(X77="Extrema", 4, "")))), "")</f>
        <v/>
      </c>
      <c r="Z77" s="172"/>
      <c r="AA77" s="188"/>
      <c r="AB77" s="172"/>
      <c r="AC77" s="172"/>
      <c r="AD77" s="175"/>
      <c r="AE77" s="70" t="s">
        <v>113</v>
      </c>
      <c r="AF77" s="135"/>
      <c r="AG77" s="71"/>
      <c r="AH77" s="72"/>
      <c r="AI77" s="72"/>
      <c r="AJ77" s="72"/>
      <c r="AK77" s="72"/>
      <c r="AL77" s="72"/>
      <c r="AM77" s="82" t="str">
        <f>IFERROR((Tablas!$C$1*VLOOKUP(AH77, tipo_control, 2, 0)+Tablas!$E$1*VLOOKUP(AI77, nat_control, 2, 0)+Tablas!$G$1*VLOOKUP(AJ77, ev_control, 2, 0)+Tablas!$I$1*VLOOKUP(AK77, frec_control, 2, 0)+Tablas!$K$1*VLOOKUP(AL77, doc_control, 2, 0))*0.1*peso_dis, "")</f>
        <v/>
      </c>
      <c r="AN77" s="72"/>
      <c r="AO77" s="72"/>
      <c r="AP77" s="72"/>
      <c r="AQ77" s="82" t="str">
        <f>IFERROR((Tablas!$C$9*VLOOKUP(AN77, amb_control, 2, 0)+Tablas!$E$9*VLOOKUP(AO77, ejec_control, 2, 0)+Tablas!$G$9*VLOOKUP(AP77, cub_control, 2, 0))*0.1*peso_ejec, "")</f>
        <v/>
      </c>
      <c r="AR77" s="96" t="str">
        <f t="shared" si="80"/>
        <v/>
      </c>
      <c r="AS77" s="97" t="str">
        <f t="shared" si="38"/>
        <v/>
      </c>
      <c r="AT77" s="87" t="str">
        <f t="shared" si="39"/>
        <v/>
      </c>
      <c r="AU77" s="97" t="str">
        <f>IF(AR77&lt;Tablas!$G$19, 0, IF(AND(AR77&gt;=Tablas!$G$19, AR77&lt;Tablas!$G$20), 1,  IF(AND(AR77&gt;=Tablas!$G$20, AR77&lt;Tablas!$G$21), 2,  IF(AND(AR77&gt;=Tablas!$G$21, AR77&lt;=Tablas!$G$22), 3,  ""))))</f>
        <v/>
      </c>
      <c r="AV77" s="97" t="str">
        <f t="shared" si="81"/>
        <v/>
      </c>
      <c r="AW77" s="103" t="str">
        <f t="shared" si="82"/>
        <v/>
      </c>
      <c r="AX77" s="176" t="str">
        <f t="shared" ref="AX77" si="111">IFERROR(VLOOKUP(AY77, tabla04, 2, 0), "")</f>
        <v/>
      </c>
      <c r="AY77" s="168" t="str">
        <f>IF(F77="", "", IF((F77-MAX(AV77:AV81))&lt;=0, 1, F77-MAX(AV77:AV81)))</f>
        <v/>
      </c>
      <c r="AZ77" s="178" t="str">
        <f t="shared" ref="AZ77" si="112">IFERROR(VLOOKUP(BA77, tabla04, 3, 0), "")</f>
        <v/>
      </c>
      <c r="BA77" s="168" t="str">
        <f>IF(Q77="", "", IF((Q77-MAX(AW77:AW81))&lt;=0, 1, Q77-MAX(AW77:AW81)))</f>
        <v/>
      </c>
      <c r="BB77" s="182"/>
      <c r="BC77" s="182"/>
      <c r="BD77" s="185"/>
      <c r="BE77" s="185"/>
      <c r="BF77" s="158" t="str">
        <f t="shared" ref="BF77:BF79" si="113">IFERROR(VLOOKUP(CONCATENATE(AY77, "-", BA77), cuadrante_sev, 3, 0), "")</f>
        <v/>
      </c>
      <c r="BG77" s="191"/>
    </row>
    <row r="78" spans="1:59" ht="15" customHeight="1" x14ac:dyDescent="0.25">
      <c r="A78" s="167"/>
      <c r="B78" s="220"/>
      <c r="C78" s="161"/>
      <c r="D78" s="160"/>
      <c r="E78" s="161"/>
      <c r="F78" s="164"/>
      <c r="G78" s="167"/>
      <c r="H78" s="167"/>
      <c r="I78" s="167"/>
      <c r="J78" s="167"/>
      <c r="K78" s="167"/>
      <c r="L78" s="166"/>
      <c r="M78" s="166"/>
      <c r="N78" s="166"/>
      <c r="O78" s="166"/>
      <c r="P78" s="166"/>
      <c r="Q78" s="166"/>
      <c r="R78" s="177"/>
      <c r="S78" s="167"/>
      <c r="T78" s="167"/>
      <c r="U78" s="167"/>
      <c r="V78" s="167"/>
      <c r="W78" s="167"/>
      <c r="X78" s="164"/>
      <c r="Y78" s="164"/>
      <c r="Z78" s="172"/>
      <c r="AA78" s="188"/>
      <c r="AB78" s="172"/>
      <c r="AC78" s="172"/>
      <c r="AD78" s="175"/>
      <c r="AE78" s="62" t="s">
        <v>114</v>
      </c>
      <c r="AF78" s="133"/>
      <c r="AG78" s="63"/>
      <c r="AH78" s="64"/>
      <c r="AI78" s="64"/>
      <c r="AJ78" s="64"/>
      <c r="AK78" s="64"/>
      <c r="AL78" s="64"/>
      <c r="AM78" s="80" t="str">
        <f>IFERROR((Tablas!$C$1*VLOOKUP(AH78, tipo_control, 2, 0)+Tablas!$E$1*VLOOKUP(AI78, nat_control, 2, 0)+Tablas!$G$1*VLOOKUP(AJ78, ev_control, 2, 0)+Tablas!$I$1*VLOOKUP(AK78, frec_control, 2, 0)+Tablas!$K$1*VLOOKUP(AL78, doc_control, 2, 0))*0.1*peso_dis, "")</f>
        <v/>
      </c>
      <c r="AN78" s="64"/>
      <c r="AO78" s="64"/>
      <c r="AP78" s="64"/>
      <c r="AQ78" s="80" t="str">
        <f>IFERROR((Tablas!$C$9*VLOOKUP(AN78, amb_control, 2, 0)+Tablas!$E$9*VLOOKUP(AO78, ejec_control, 2, 0)+Tablas!$G$9*VLOOKUP(AP78, cub_control, 2, 0))*0.1*peso_ejec, "")</f>
        <v/>
      </c>
      <c r="AR78" s="91" t="str">
        <f t="shared" si="80"/>
        <v/>
      </c>
      <c r="AS78" s="85" t="str">
        <f t="shared" si="38"/>
        <v/>
      </c>
      <c r="AT78" s="85" t="str">
        <f t="shared" si="39"/>
        <v/>
      </c>
      <c r="AU78" s="85" t="str">
        <f>IF(AR78&lt;Tablas!$G$19, 0, IF(AND(AR78&gt;=Tablas!$G$19, AR78&lt;Tablas!$G$20), 1,  IF(AND(AR78&gt;=Tablas!$G$20, AR78&lt;Tablas!$G$21), 2,  IF(AND(AR78&gt;=Tablas!$G$21, AR78&lt;=Tablas!$G$22), 3,  ""))))</f>
        <v/>
      </c>
      <c r="AV78" s="85" t="str">
        <f t="shared" si="81"/>
        <v/>
      </c>
      <c r="AW78" s="101" t="str">
        <f t="shared" si="82"/>
        <v/>
      </c>
      <c r="AX78" s="177"/>
      <c r="AY78" s="169"/>
      <c r="AZ78" s="158"/>
      <c r="BA78" s="169"/>
      <c r="BB78" s="182"/>
      <c r="BC78" s="182"/>
      <c r="BD78" s="185"/>
      <c r="BE78" s="185"/>
      <c r="BF78" s="158" t="str">
        <f t="shared" si="113"/>
        <v/>
      </c>
      <c r="BG78" s="191"/>
    </row>
    <row r="79" spans="1:59" ht="15" customHeight="1" x14ac:dyDescent="0.25">
      <c r="A79" s="167"/>
      <c r="B79" s="220"/>
      <c r="C79" s="161"/>
      <c r="D79" s="160"/>
      <c r="E79" s="161"/>
      <c r="F79" s="164"/>
      <c r="G79" s="167"/>
      <c r="H79" s="167"/>
      <c r="I79" s="167"/>
      <c r="J79" s="167"/>
      <c r="K79" s="167"/>
      <c r="L79" s="166"/>
      <c r="M79" s="166"/>
      <c r="N79" s="166"/>
      <c r="O79" s="166"/>
      <c r="P79" s="166"/>
      <c r="Q79" s="166"/>
      <c r="R79" s="177"/>
      <c r="S79" s="167"/>
      <c r="T79" s="167"/>
      <c r="U79" s="167"/>
      <c r="V79" s="167"/>
      <c r="W79" s="167"/>
      <c r="X79" s="164"/>
      <c r="Y79" s="164"/>
      <c r="Z79" s="172"/>
      <c r="AA79" s="188"/>
      <c r="AB79" s="172"/>
      <c r="AC79" s="172"/>
      <c r="AD79" s="175"/>
      <c r="AE79" s="62" t="s">
        <v>115</v>
      </c>
      <c r="AF79" s="133"/>
      <c r="AG79" s="65"/>
      <c r="AH79" s="64"/>
      <c r="AI79" s="64"/>
      <c r="AJ79" s="64"/>
      <c r="AK79" s="64"/>
      <c r="AL79" s="64"/>
      <c r="AM79" s="80" t="str">
        <f>IFERROR((Tablas!$C$1*VLOOKUP(AH79, tipo_control, 2, 0)+Tablas!$E$1*VLOOKUP(AI79, nat_control, 2, 0)+Tablas!$G$1*VLOOKUP(AJ79, ev_control, 2, 0)+Tablas!$I$1*VLOOKUP(AK79, frec_control, 2, 0)+Tablas!$K$1*VLOOKUP(AL79, doc_control, 2, 0))*0.1*peso_dis, "")</f>
        <v/>
      </c>
      <c r="AN79" s="64"/>
      <c r="AO79" s="64"/>
      <c r="AP79" s="64"/>
      <c r="AQ79" s="80" t="str">
        <f>IFERROR((Tablas!$C$9*VLOOKUP(AN79, amb_control, 2, 0)+Tablas!$E$9*VLOOKUP(AO79, ejec_control, 2, 0)+Tablas!$G$9*VLOOKUP(AP79, cub_control, 2, 0))*0.1*peso_ejec, "")</f>
        <v/>
      </c>
      <c r="AR79" s="91" t="str">
        <f t="shared" si="80"/>
        <v/>
      </c>
      <c r="AS79" s="85" t="str">
        <f t="shared" si="38"/>
        <v/>
      </c>
      <c r="AT79" s="85" t="str">
        <f t="shared" si="39"/>
        <v/>
      </c>
      <c r="AU79" s="85" t="str">
        <f>IF(AR79&lt;Tablas!$G$19, 0, IF(AND(AR79&gt;=Tablas!$G$19, AR79&lt;Tablas!$G$20), 1,  IF(AND(AR79&gt;=Tablas!$G$20, AR79&lt;Tablas!$G$21), 2,  IF(AND(AR79&gt;=Tablas!$G$21, AR79&lt;=Tablas!$G$22), 3,  ""))))</f>
        <v/>
      </c>
      <c r="AV79" s="85" t="str">
        <f t="shared" si="81"/>
        <v/>
      </c>
      <c r="AW79" s="101" t="str">
        <f t="shared" si="82"/>
        <v/>
      </c>
      <c r="AX79" s="177"/>
      <c r="AY79" s="169"/>
      <c r="AZ79" s="158"/>
      <c r="BA79" s="169"/>
      <c r="BB79" s="182"/>
      <c r="BC79" s="182"/>
      <c r="BD79" s="185"/>
      <c r="BE79" s="185"/>
      <c r="BF79" s="158" t="str">
        <f t="shared" si="113"/>
        <v/>
      </c>
      <c r="BG79" s="191"/>
    </row>
    <row r="80" spans="1:59" ht="15" customHeight="1" x14ac:dyDescent="0.25">
      <c r="A80" s="167"/>
      <c r="B80" s="220"/>
      <c r="C80" s="161"/>
      <c r="D80" s="160"/>
      <c r="E80" s="161"/>
      <c r="F80" s="164"/>
      <c r="G80" s="167"/>
      <c r="H80" s="167"/>
      <c r="I80" s="167"/>
      <c r="J80" s="167"/>
      <c r="K80" s="167"/>
      <c r="L80" s="166"/>
      <c r="M80" s="166"/>
      <c r="N80" s="166"/>
      <c r="O80" s="166"/>
      <c r="P80" s="166"/>
      <c r="Q80" s="166"/>
      <c r="R80" s="177"/>
      <c r="S80" s="167"/>
      <c r="T80" s="167"/>
      <c r="U80" s="167"/>
      <c r="V80" s="167"/>
      <c r="W80" s="167"/>
      <c r="X80" s="164"/>
      <c r="Y80" s="164"/>
      <c r="Z80" s="172"/>
      <c r="AA80" s="188"/>
      <c r="AB80" s="172"/>
      <c r="AC80" s="172"/>
      <c r="AD80" s="175"/>
      <c r="AE80" s="62" t="s">
        <v>153</v>
      </c>
      <c r="AF80" s="133"/>
      <c r="AG80" s="65"/>
      <c r="AH80" s="64"/>
      <c r="AI80" s="64"/>
      <c r="AJ80" s="64"/>
      <c r="AK80" s="64"/>
      <c r="AL80" s="64"/>
      <c r="AM80" s="80" t="str">
        <f>IFERROR((Tablas!$C$1*VLOOKUP(AH80, tipo_control, 2, 0)+Tablas!$E$1*VLOOKUP(AI80, nat_control, 2, 0)+Tablas!$G$1*VLOOKUP(AJ80, ev_control, 2, 0)+Tablas!$I$1*VLOOKUP(AK80, frec_control, 2, 0)+Tablas!$K$1*VLOOKUP(AL80, doc_control, 2, 0))*0.1*peso_dis, "")</f>
        <v/>
      </c>
      <c r="AN80" s="64"/>
      <c r="AO80" s="64"/>
      <c r="AP80" s="64"/>
      <c r="AQ80" s="80" t="str">
        <f>IFERROR((Tablas!$C$9*VLOOKUP(AN80, amb_control, 2, 0)+Tablas!$E$9*VLOOKUP(AO80, ejec_control, 2, 0)+Tablas!$G$9*VLOOKUP(AP80, cub_control, 2, 0))*0.1*peso_ejec, "")</f>
        <v/>
      </c>
      <c r="AR80" s="91" t="str">
        <f t="shared" si="80"/>
        <v/>
      </c>
      <c r="AS80" s="85" t="str">
        <f t="shared" si="38"/>
        <v/>
      </c>
      <c r="AT80" s="85" t="str">
        <f t="shared" si="39"/>
        <v/>
      </c>
      <c r="AU80" s="85" t="str">
        <f>IF(AR80&lt;Tablas!$G$19, 0, IF(AND(AR80&gt;=Tablas!$G$19, AR80&lt;Tablas!$G$20), 1,  IF(AND(AR80&gt;=Tablas!$G$20, AR80&lt;Tablas!$G$21), 2,  IF(AND(AR80&gt;=Tablas!$G$21, AR80&lt;=Tablas!$G$22), 3,  ""))))</f>
        <v/>
      </c>
      <c r="AV80" s="85" t="str">
        <f t="shared" si="81"/>
        <v/>
      </c>
      <c r="AW80" s="101" t="str">
        <f t="shared" si="82"/>
        <v/>
      </c>
      <c r="AX80" s="177"/>
      <c r="AY80" s="169"/>
      <c r="AZ80" s="158"/>
      <c r="BA80" s="169"/>
      <c r="BB80" s="182"/>
      <c r="BC80" s="182"/>
      <c r="BD80" s="185"/>
      <c r="BE80" s="185"/>
      <c r="BF80" s="158"/>
      <c r="BG80" s="191"/>
    </row>
    <row r="81" spans="1:59" ht="15" customHeight="1" thickBot="1" x14ac:dyDescent="0.3">
      <c r="A81" s="167"/>
      <c r="B81" s="220"/>
      <c r="C81" s="161"/>
      <c r="D81" s="160"/>
      <c r="E81" s="161"/>
      <c r="F81" s="165"/>
      <c r="G81" s="149"/>
      <c r="H81" s="149"/>
      <c r="I81" s="149"/>
      <c r="J81" s="149"/>
      <c r="K81" s="149"/>
      <c r="L81" s="166"/>
      <c r="M81" s="166"/>
      <c r="N81" s="166"/>
      <c r="O81" s="166"/>
      <c r="P81" s="166"/>
      <c r="Q81" s="166"/>
      <c r="R81" s="177"/>
      <c r="S81" s="149"/>
      <c r="T81" s="149"/>
      <c r="U81" s="149"/>
      <c r="V81" s="149"/>
      <c r="W81" s="149"/>
      <c r="X81" s="165"/>
      <c r="Y81" s="165"/>
      <c r="Z81" s="172"/>
      <c r="AA81" s="188"/>
      <c r="AB81" s="172"/>
      <c r="AC81" s="172"/>
      <c r="AD81" s="175"/>
      <c r="AE81" s="66" t="s">
        <v>154</v>
      </c>
      <c r="AF81" s="134"/>
      <c r="AG81" s="67"/>
      <c r="AH81" s="69"/>
      <c r="AI81" s="69"/>
      <c r="AJ81" s="69"/>
      <c r="AK81" s="69"/>
      <c r="AL81" s="69"/>
      <c r="AM81" s="81" t="str">
        <f>IFERROR((Tablas!$C$1*VLOOKUP(AH81, tipo_control, 2, 0)+Tablas!$E$1*VLOOKUP(AI81, nat_control, 2, 0)+Tablas!$G$1*VLOOKUP(AJ81, ev_control, 2, 0)+Tablas!$I$1*VLOOKUP(AK81, frec_control, 2, 0)+Tablas!$K$1*VLOOKUP(AL81, doc_control, 2, 0))*0.1*peso_dis, "")</f>
        <v/>
      </c>
      <c r="AN81" s="69"/>
      <c r="AO81" s="69"/>
      <c r="AP81" s="69"/>
      <c r="AQ81" s="81" t="str">
        <f>IFERROR((Tablas!$C$9*VLOOKUP(AN81, amb_control, 2, 0)+Tablas!$E$9*VLOOKUP(AO81, ejec_control, 2, 0)+Tablas!$G$9*VLOOKUP(AP81, cub_control, 2, 0))*0.1*peso_ejec, "")</f>
        <v/>
      </c>
      <c r="AR81" s="93" t="str">
        <f t="shared" si="80"/>
        <v/>
      </c>
      <c r="AS81" s="94" t="str">
        <f t="shared" si="38"/>
        <v/>
      </c>
      <c r="AT81" s="94" t="str">
        <f t="shared" si="39"/>
        <v/>
      </c>
      <c r="AU81" s="94" t="str">
        <f>IF(AR81&lt;Tablas!$G$19, 0, IF(AND(AR81&gt;=Tablas!$G$19, AR81&lt;Tablas!$G$20), 1,  IF(AND(AR81&gt;=Tablas!$G$20, AR81&lt;Tablas!$G$21), 2,  IF(AND(AR81&gt;=Tablas!$G$21, AR81&lt;=Tablas!$G$22), 3,  ""))))</f>
        <v/>
      </c>
      <c r="AV81" s="94" t="str">
        <f t="shared" si="81"/>
        <v/>
      </c>
      <c r="AW81" s="102" t="str">
        <f t="shared" si="82"/>
        <v/>
      </c>
      <c r="AX81" s="157"/>
      <c r="AY81" s="170"/>
      <c r="AZ81" s="179"/>
      <c r="BA81" s="170"/>
      <c r="BB81" s="182"/>
      <c r="BC81" s="182"/>
      <c r="BD81" s="185"/>
      <c r="BE81" s="185"/>
      <c r="BF81" s="159"/>
      <c r="BG81" s="191"/>
    </row>
    <row r="82" spans="1:59" ht="15" customHeight="1" x14ac:dyDescent="0.25">
      <c r="A82" s="167"/>
      <c r="B82" s="220"/>
      <c r="C82" s="161" t="s">
        <v>20</v>
      </c>
      <c r="D82" s="160"/>
      <c r="E82" s="149"/>
      <c r="F82" s="163" t="str">
        <f t="shared" si="93"/>
        <v/>
      </c>
      <c r="G82" s="148"/>
      <c r="H82" s="148"/>
      <c r="I82" s="148"/>
      <c r="J82" s="148"/>
      <c r="K82" s="148"/>
      <c r="L82" s="165" t="str">
        <f t="shared" ref="L82" si="114">IFERROR(VLOOKUP(G82, tabla02, 2, 0), "")</f>
        <v/>
      </c>
      <c r="M82" s="165" t="str">
        <f t="shared" ref="M82" si="115">IFERROR(VLOOKUP(H82, tabla02, 2, 0), "")</f>
        <v/>
      </c>
      <c r="N82" s="165" t="str">
        <f t="shared" ref="N82" si="116">IFERROR(VLOOKUP(I82, tabla02, 2, 0), "")</f>
        <v/>
      </c>
      <c r="O82" s="165" t="str">
        <f t="shared" ref="O82" si="117">IFERROR(VLOOKUP(J82, tabla02, 2, 0), "")</f>
        <v/>
      </c>
      <c r="P82" s="165" t="str">
        <f t="shared" ref="P82" si="118">IFERROR(VLOOKUP(K82, tabla02, 2, 0), "")</f>
        <v/>
      </c>
      <c r="Q82" s="165" t="str">
        <f t="shared" ref="Q82" si="119">IF(SUM(L82:P82)=0, "", MAX(L82:P82))</f>
        <v/>
      </c>
      <c r="R82" s="159" t="str">
        <f>IFERROR(VLOOKUP(Q82, tabla04, 3, 0), "")</f>
        <v/>
      </c>
      <c r="S82" s="148"/>
      <c r="T82" s="148"/>
      <c r="U82" s="148"/>
      <c r="V82" s="148"/>
      <c r="W82" s="148"/>
      <c r="X82" s="163" t="str">
        <f>IFERROR(VLOOKUP(CONCATENATE(F82, "-", Q82), cuadrante_sev, 3, 0), "")</f>
        <v/>
      </c>
      <c r="Y82" s="163" t="str">
        <f t="shared" ref="Y82" si="120">IFERROR(IF(X82="Baja", 1, IF(X82="Moderada", 2, IF(X82="Alta", 3, IF(X82="Extrema", 4, "")))), "")</f>
        <v/>
      </c>
      <c r="Z82" s="172"/>
      <c r="AA82" s="188"/>
      <c r="AB82" s="172"/>
      <c r="AC82" s="172"/>
      <c r="AD82" s="175"/>
      <c r="AE82" s="70" t="s">
        <v>113</v>
      </c>
      <c r="AF82" s="135"/>
      <c r="AG82" s="71"/>
      <c r="AH82" s="72"/>
      <c r="AI82" s="72"/>
      <c r="AJ82" s="72"/>
      <c r="AK82" s="72"/>
      <c r="AL82" s="72"/>
      <c r="AM82" s="82" t="str">
        <f>IFERROR((Tablas!$C$1*VLOOKUP(AH82, tipo_control, 2, 0)+Tablas!$E$1*VLOOKUP(AI82, nat_control, 2, 0)+Tablas!$G$1*VLOOKUP(AJ82, ev_control, 2, 0)+Tablas!$I$1*VLOOKUP(AK82, frec_control, 2, 0)+Tablas!$K$1*VLOOKUP(AL82, doc_control, 2, 0))*0.1*peso_dis, "")</f>
        <v/>
      </c>
      <c r="AN82" s="72"/>
      <c r="AO82" s="72"/>
      <c r="AP82" s="72"/>
      <c r="AQ82" s="82" t="str">
        <f>IFERROR((Tablas!$C$9*VLOOKUP(AN82, amb_control, 2, 0)+Tablas!$E$9*VLOOKUP(AO82, ejec_control, 2, 0)+Tablas!$G$9*VLOOKUP(AP82, cub_control, 2, 0))*0.1*peso_ejec, "")</f>
        <v/>
      </c>
      <c r="AR82" s="96" t="str">
        <f t="shared" si="80"/>
        <v/>
      </c>
      <c r="AS82" s="97" t="str">
        <f t="shared" ref="AS82:AS145" si="121">IFERROR(VLOOKUP(AH82, tabla03, 12, 0), "")</f>
        <v/>
      </c>
      <c r="AT82" s="87" t="str">
        <f t="shared" ref="AT82:AT145" si="122">IFERROR(VLOOKUP(AH82, tabla03, 13, 0), "")</f>
        <v/>
      </c>
      <c r="AU82" s="97" t="str">
        <f>IF(AR82&lt;Tablas!$G$19, 0, IF(AND(AR82&gt;=Tablas!$G$19, AR82&lt;Tablas!$G$20), 1,  IF(AND(AR82&gt;=Tablas!$G$20, AR82&lt;Tablas!$G$21), 2,  IF(AND(AR82&gt;=Tablas!$G$21, AR82&lt;=Tablas!$G$22), 3,  ""))))</f>
        <v/>
      </c>
      <c r="AV82" s="97" t="str">
        <f t="shared" si="81"/>
        <v/>
      </c>
      <c r="AW82" s="103" t="str">
        <f t="shared" si="82"/>
        <v/>
      </c>
      <c r="AX82" s="176" t="str">
        <f t="shared" ref="AX82" si="123">IFERROR(VLOOKUP(AY82, tabla04, 2, 0), "")</f>
        <v/>
      </c>
      <c r="AY82" s="168" t="str">
        <f>IF(F82="", "", IF((F82-MAX(AV82:AV86))&lt;=0, 1, F82-MAX(AV82:AV86)))</f>
        <v/>
      </c>
      <c r="AZ82" s="178" t="str">
        <f t="shared" ref="AZ82" si="124">IFERROR(VLOOKUP(BA82, tabla04, 3, 0), "")</f>
        <v/>
      </c>
      <c r="BA82" s="168" t="str">
        <f>IF(Q82="", "", IF((Q82-MAX(AW82:AW86))&lt;=0, 1, Q82-MAX(AW82:AW86)))</f>
        <v/>
      </c>
      <c r="BB82" s="182"/>
      <c r="BC82" s="182"/>
      <c r="BD82" s="185"/>
      <c r="BE82" s="185"/>
      <c r="BF82" s="158" t="str">
        <f t="shared" ref="BF82:BF84" si="125">IFERROR(VLOOKUP(CONCATENATE(AY82, "-", BA82), cuadrante_sev, 3, 0), "")</f>
        <v/>
      </c>
      <c r="BG82" s="191"/>
    </row>
    <row r="83" spans="1:59" ht="15" customHeight="1" x14ac:dyDescent="0.25">
      <c r="A83" s="167"/>
      <c r="B83" s="220"/>
      <c r="C83" s="161"/>
      <c r="D83" s="160"/>
      <c r="E83" s="161"/>
      <c r="F83" s="164"/>
      <c r="G83" s="167"/>
      <c r="H83" s="167"/>
      <c r="I83" s="167"/>
      <c r="J83" s="167"/>
      <c r="K83" s="167"/>
      <c r="L83" s="166"/>
      <c r="M83" s="166"/>
      <c r="N83" s="166"/>
      <c r="O83" s="166"/>
      <c r="P83" s="166"/>
      <c r="Q83" s="166"/>
      <c r="R83" s="177"/>
      <c r="S83" s="167"/>
      <c r="T83" s="167"/>
      <c r="U83" s="167"/>
      <c r="V83" s="167"/>
      <c r="W83" s="167"/>
      <c r="X83" s="164"/>
      <c r="Y83" s="164"/>
      <c r="Z83" s="172"/>
      <c r="AA83" s="188"/>
      <c r="AB83" s="172"/>
      <c r="AC83" s="172"/>
      <c r="AD83" s="175"/>
      <c r="AE83" s="62" t="s">
        <v>114</v>
      </c>
      <c r="AF83" s="133"/>
      <c r="AG83" s="63"/>
      <c r="AH83" s="64"/>
      <c r="AI83" s="64"/>
      <c r="AJ83" s="64"/>
      <c r="AK83" s="64"/>
      <c r="AL83" s="64"/>
      <c r="AM83" s="80" t="str">
        <f>IFERROR((Tablas!$C$1*VLOOKUP(AH83, tipo_control, 2, 0)+Tablas!$E$1*VLOOKUP(AI83, nat_control, 2, 0)+Tablas!$G$1*VLOOKUP(AJ83, ev_control, 2, 0)+Tablas!$I$1*VLOOKUP(AK83, frec_control, 2, 0)+Tablas!$K$1*VLOOKUP(AL83, doc_control, 2, 0))*0.1*peso_dis, "")</f>
        <v/>
      </c>
      <c r="AN83" s="64"/>
      <c r="AO83" s="64"/>
      <c r="AP83" s="64"/>
      <c r="AQ83" s="80" t="str">
        <f>IFERROR((Tablas!$C$9*VLOOKUP(AN83, amb_control, 2, 0)+Tablas!$E$9*VLOOKUP(AO83, ejec_control, 2, 0)+Tablas!$G$9*VLOOKUP(AP83, cub_control, 2, 0))*0.1*peso_ejec, "")</f>
        <v/>
      </c>
      <c r="AR83" s="91" t="str">
        <f t="shared" si="80"/>
        <v/>
      </c>
      <c r="AS83" s="85" t="str">
        <f t="shared" si="121"/>
        <v/>
      </c>
      <c r="AT83" s="85" t="str">
        <f t="shared" si="122"/>
        <v/>
      </c>
      <c r="AU83" s="85" t="str">
        <f>IF(AR83&lt;Tablas!$G$19, 0, IF(AND(AR83&gt;=Tablas!$G$19, AR83&lt;Tablas!$G$20), 1,  IF(AND(AR83&gt;=Tablas!$G$20, AR83&lt;Tablas!$G$21), 2,  IF(AND(AR83&gt;=Tablas!$G$21, AR83&lt;=Tablas!$G$22), 3,  ""))))</f>
        <v/>
      </c>
      <c r="AV83" s="85" t="str">
        <f t="shared" si="81"/>
        <v/>
      </c>
      <c r="AW83" s="101" t="str">
        <f t="shared" si="82"/>
        <v/>
      </c>
      <c r="AX83" s="177"/>
      <c r="AY83" s="169"/>
      <c r="AZ83" s="158"/>
      <c r="BA83" s="169"/>
      <c r="BB83" s="182"/>
      <c r="BC83" s="182"/>
      <c r="BD83" s="185"/>
      <c r="BE83" s="185"/>
      <c r="BF83" s="158" t="str">
        <f t="shared" si="125"/>
        <v/>
      </c>
      <c r="BG83" s="191"/>
    </row>
    <row r="84" spans="1:59" ht="15" customHeight="1" x14ac:dyDescent="0.25">
      <c r="A84" s="167"/>
      <c r="B84" s="220"/>
      <c r="C84" s="161"/>
      <c r="D84" s="160"/>
      <c r="E84" s="161"/>
      <c r="F84" s="164"/>
      <c r="G84" s="167"/>
      <c r="H84" s="167"/>
      <c r="I84" s="167"/>
      <c r="J84" s="167"/>
      <c r="K84" s="167"/>
      <c r="L84" s="166"/>
      <c r="M84" s="166"/>
      <c r="N84" s="166"/>
      <c r="O84" s="166"/>
      <c r="P84" s="166"/>
      <c r="Q84" s="166"/>
      <c r="R84" s="177"/>
      <c r="S84" s="167"/>
      <c r="T84" s="167"/>
      <c r="U84" s="167"/>
      <c r="V84" s="167"/>
      <c r="W84" s="167"/>
      <c r="X84" s="164"/>
      <c r="Y84" s="164"/>
      <c r="Z84" s="172"/>
      <c r="AA84" s="188"/>
      <c r="AB84" s="172"/>
      <c r="AC84" s="172"/>
      <c r="AD84" s="175"/>
      <c r="AE84" s="62" t="s">
        <v>115</v>
      </c>
      <c r="AF84" s="133"/>
      <c r="AG84" s="63"/>
      <c r="AH84" s="64"/>
      <c r="AI84" s="64"/>
      <c r="AJ84" s="64"/>
      <c r="AK84" s="64"/>
      <c r="AL84" s="64"/>
      <c r="AM84" s="80" t="str">
        <f>IFERROR((Tablas!$C$1*VLOOKUP(AH84, tipo_control, 2, 0)+Tablas!$E$1*VLOOKUP(AI84, nat_control, 2, 0)+Tablas!$G$1*VLOOKUP(AJ84, ev_control, 2, 0)+Tablas!$I$1*VLOOKUP(AK84, frec_control, 2, 0)+Tablas!$K$1*VLOOKUP(AL84, doc_control, 2, 0))*0.1*peso_dis, "")</f>
        <v/>
      </c>
      <c r="AN84" s="64"/>
      <c r="AO84" s="64"/>
      <c r="AP84" s="64"/>
      <c r="AQ84" s="80" t="str">
        <f>IFERROR((Tablas!$C$9*VLOOKUP(AN84, amb_control, 2, 0)+Tablas!$E$9*VLOOKUP(AO84, ejec_control, 2, 0)+Tablas!$G$9*VLOOKUP(AP84, cub_control, 2, 0))*0.1*peso_ejec, "")</f>
        <v/>
      </c>
      <c r="AR84" s="91" t="str">
        <f t="shared" si="80"/>
        <v/>
      </c>
      <c r="AS84" s="85" t="str">
        <f t="shared" si="121"/>
        <v/>
      </c>
      <c r="AT84" s="85" t="str">
        <f t="shared" si="122"/>
        <v/>
      </c>
      <c r="AU84" s="85" t="str">
        <f>IF(AR84&lt;Tablas!$G$19, 0, IF(AND(AR84&gt;=Tablas!$G$19, AR84&lt;Tablas!$G$20), 1,  IF(AND(AR84&gt;=Tablas!$G$20, AR84&lt;Tablas!$G$21), 2,  IF(AND(AR84&gt;=Tablas!$G$21, AR84&lt;=Tablas!$G$22), 3,  ""))))</f>
        <v/>
      </c>
      <c r="AV84" s="85" t="str">
        <f t="shared" si="81"/>
        <v/>
      </c>
      <c r="AW84" s="101" t="str">
        <f t="shared" si="82"/>
        <v/>
      </c>
      <c r="AX84" s="177"/>
      <c r="AY84" s="169"/>
      <c r="AZ84" s="158"/>
      <c r="BA84" s="169"/>
      <c r="BB84" s="182"/>
      <c r="BC84" s="182"/>
      <c r="BD84" s="185"/>
      <c r="BE84" s="185"/>
      <c r="BF84" s="158" t="str">
        <f t="shared" si="125"/>
        <v/>
      </c>
      <c r="BG84" s="191"/>
    </row>
    <row r="85" spans="1:59" ht="15" customHeight="1" x14ac:dyDescent="0.25">
      <c r="A85" s="167"/>
      <c r="B85" s="220"/>
      <c r="C85" s="161"/>
      <c r="D85" s="160"/>
      <c r="E85" s="161"/>
      <c r="F85" s="164"/>
      <c r="G85" s="167"/>
      <c r="H85" s="167"/>
      <c r="I85" s="167"/>
      <c r="J85" s="167"/>
      <c r="K85" s="167"/>
      <c r="L85" s="166"/>
      <c r="M85" s="166"/>
      <c r="N85" s="166"/>
      <c r="O85" s="166"/>
      <c r="P85" s="166"/>
      <c r="Q85" s="166"/>
      <c r="R85" s="177"/>
      <c r="S85" s="167"/>
      <c r="T85" s="167"/>
      <c r="U85" s="167"/>
      <c r="V85" s="167"/>
      <c r="W85" s="167"/>
      <c r="X85" s="164"/>
      <c r="Y85" s="164"/>
      <c r="Z85" s="172"/>
      <c r="AA85" s="188"/>
      <c r="AB85" s="172"/>
      <c r="AC85" s="172"/>
      <c r="AD85" s="175"/>
      <c r="AE85" s="62" t="s">
        <v>153</v>
      </c>
      <c r="AF85" s="133"/>
      <c r="AG85" s="65"/>
      <c r="AH85" s="64"/>
      <c r="AI85" s="64"/>
      <c r="AJ85" s="64"/>
      <c r="AK85" s="64"/>
      <c r="AL85" s="64"/>
      <c r="AM85" s="80" t="str">
        <f>IFERROR((Tablas!$C$1*VLOOKUP(AH85, tipo_control, 2, 0)+Tablas!$E$1*VLOOKUP(AI85, nat_control, 2, 0)+Tablas!$G$1*VLOOKUP(AJ85, ev_control, 2, 0)+Tablas!$I$1*VLOOKUP(AK85, frec_control, 2, 0)+Tablas!$K$1*VLOOKUP(AL85, doc_control, 2, 0))*0.1*peso_dis, "")</f>
        <v/>
      </c>
      <c r="AN85" s="64"/>
      <c r="AO85" s="64"/>
      <c r="AP85" s="64"/>
      <c r="AQ85" s="80" t="str">
        <f>IFERROR((Tablas!$C$9*VLOOKUP(AN85, amb_control, 2, 0)+Tablas!$E$9*VLOOKUP(AO85, ejec_control, 2, 0)+Tablas!$G$9*VLOOKUP(AP85, cub_control, 2, 0))*0.1*peso_ejec, "")</f>
        <v/>
      </c>
      <c r="AR85" s="91" t="str">
        <f t="shared" si="80"/>
        <v/>
      </c>
      <c r="AS85" s="85" t="str">
        <f t="shared" si="121"/>
        <v/>
      </c>
      <c r="AT85" s="85" t="str">
        <f t="shared" si="122"/>
        <v/>
      </c>
      <c r="AU85" s="85" t="str">
        <f>IF(AR85&lt;Tablas!$G$19, 0, IF(AND(AR85&gt;=Tablas!$G$19, AR85&lt;Tablas!$G$20), 1,  IF(AND(AR85&gt;=Tablas!$G$20, AR85&lt;Tablas!$G$21), 2,  IF(AND(AR85&gt;=Tablas!$G$21, AR85&lt;=Tablas!$G$22), 3,  ""))))</f>
        <v/>
      </c>
      <c r="AV85" s="85" t="str">
        <f t="shared" si="81"/>
        <v/>
      </c>
      <c r="AW85" s="101" t="str">
        <f t="shared" si="82"/>
        <v/>
      </c>
      <c r="AX85" s="177"/>
      <c r="AY85" s="169"/>
      <c r="AZ85" s="158"/>
      <c r="BA85" s="169"/>
      <c r="BB85" s="182"/>
      <c r="BC85" s="182"/>
      <c r="BD85" s="185"/>
      <c r="BE85" s="185"/>
      <c r="BF85" s="158"/>
      <c r="BG85" s="191"/>
    </row>
    <row r="86" spans="1:59" ht="15" customHeight="1" thickBot="1" x14ac:dyDescent="0.3">
      <c r="A86" s="167"/>
      <c r="B86" s="220"/>
      <c r="C86" s="161"/>
      <c r="D86" s="160"/>
      <c r="E86" s="161"/>
      <c r="F86" s="165"/>
      <c r="G86" s="149"/>
      <c r="H86" s="149"/>
      <c r="I86" s="149"/>
      <c r="J86" s="149"/>
      <c r="K86" s="149"/>
      <c r="L86" s="166"/>
      <c r="M86" s="166"/>
      <c r="N86" s="166"/>
      <c r="O86" s="166"/>
      <c r="P86" s="166"/>
      <c r="Q86" s="166"/>
      <c r="R86" s="177"/>
      <c r="S86" s="149"/>
      <c r="T86" s="149"/>
      <c r="U86" s="149"/>
      <c r="V86" s="149"/>
      <c r="W86" s="149"/>
      <c r="X86" s="165"/>
      <c r="Y86" s="165"/>
      <c r="Z86" s="172"/>
      <c r="AA86" s="188"/>
      <c r="AB86" s="172"/>
      <c r="AC86" s="172"/>
      <c r="AD86" s="175"/>
      <c r="AE86" s="66" t="s">
        <v>154</v>
      </c>
      <c r="AF86" s="134"/>
      <c r="AG86" s="67"/>
      <c r="AH86" s="69"/>
      <c r="AI86" s="69"/>
      <c r="AJ86" s="69"/>
      <c r="AK86" s="69"/>
      <c r="AL86" s="69"/>
      <c r="AM86" s="81" t="str">
        <f>IFERROR((Tablas!$C$1*VLOOKUP(AH86, tipo_control, 2, 0)+Tablas!$E$1*VLOOKUP(AI86, nat_control, 2, 0)+Tablas!$G$1*VLOOKUP(AJ86, ev_control, 2, 0)+Tablas!$I$1*VLOOKUP(AK86, frec_control, 2, 0)+Tablas!$K$1*VLOOKUP(AL86, doc_control, 2, 0))*0.1*peso_dis, "")</f>
        <v/>
      </c>
      <c r="AN86" s="69"/>
      <c r="AO86" s="69"/>
      <c r="AP86" s="69"/>
      <c r="AQ86" s="81" t="str">
        <f>IFERROR((Tablas!$C$9*VLOOKUP(AN86, amb_control, 2, 0)+Tablas!$E$9*VLOOKUP(AO86, ejec_control, 2, 0)+Tablas!$G$9*VLOOKUP(AP86, cub_control, 2, 0))*0.1*peso_ejec, "")</f>
        <v/>
      </c>
      <c r="AR86" s="93" t="str">
        <f t="shared" si="80"/>
        <v/>
      </c>
      <c r="AS86" s="94" t="str">
        <f t="shared" si="121"/>
        <v/>
      </c>
      <c r="AT86" s="94" t="str">
        <f t="shared" si="122"/>
        <v/>
      </c>
      <c r="AU86" s="94" t="str">
        <f>IF(AR86&lt;Tablas!$G$19, 0, IF(AND(AR86&gt;=Tablas!$G$19, AR86&lt;Tablas!$G$20), 1,  IF(AND(AR86&gt;=Tablas!$G$20, AR86&lt;Tablas!$G$21), 2,  IF(AND(AR86&gt;=Tablas!$G$21, AR86&lt;=Tablas!$G$22), 3,  ""))))</f>
        <v/>
      </c>
      <c r="AV86" s="94" t="str">
        <f t="shared" si="81"/>
        <v/>
      </c>
      <c r="AW86" s="102" t="str">
        <f t="shared" si="82"/>
        <v/>
      </c>
      <c r="AX86" s="157"/>
      <c r="AY86" s="170"/>
      <c r="AZ86" s="179"/>
      <c r="BA86" s="170"/>
      <c r="BB86" s="182"/>
      <c r="BC86" s="182"/>
      <c r="BD86" s="185"/>
      <c r="BE86" s="185"/>
      <c r="BF86" s="159"/>
      <c r="BG86" s="191"/>
    </row>
    <row r="87" spans="1:59" ht="15" customHeight="1" x14ac:dyDescent="0.25">
      <c r="A87" s="167"/>
      <c r="B87" s="220"/>
      <c r="C87" s="161" t="s">
        <v>180</v>
      </c>
      <c r="D87" s="160"/>
      <c r="E87" s="149"/>
      <c r="F87" s="163" t="str">
        <f t="shared" si="93"/>
        <v/>
      </c>
      <c r="G87" s="148"/>
      <c r="H87" s="148"/>
      <c r="I87" s="148"/>
      <c r="J87" s="148"/>
      <c r="K87" s="148"/>
      <c r="L87" s="165" t="str">
        <f t="shared" ref="L87" si="126">IFERROR(VLOOKUP(G87, tabla02, 2, 0), "")</f>
        <v/>
      </c>
      <c r="M87" s="165" t="str">
        <f t="shared" ref="M87" si="127">IFERROR(VLOOKUP(H87, tabla02, 2, 0), "")</f>
        <v/>
      </c>
      <c r="N87" s="165" t="str">
        <f t="shared" ref="N87" si="128">IFERROR(VLOOKUP(I87, tabla02, 2, 0), "")</f>
        <v/>
      </c>
      <c r="O87" s="165" t="str">
        <f t="shared" ref="O87" si="129">IFERROR(VLOOKUP(J87, tabla02, 2, 0), "")</f>
        <v/>
      </c>
      <c r="P87" s="165" t="str">
        <f t="shared" ref="P87" si="130">IFERROR(VLOOKUP(K87, tabla02, 2, 0), "")</f>
        <v/>
      </c>
      <c r="Q87" s="165" t="str">
        <f t="shared" ref="Q87" si="131">IF(SUM(L87:P87)=0, "", MAX(L87:P87))</f>
        <v/>
      </c>
      <c r="R87" s="159" t="str">
        <f>IFERROR(VLOOKUP(Q87, tabla04, 3, 0), "")</f>
        <v/>
      </c>
      <c r="S87" s="148"/>
      <c r="T87" s="148"/>
      <c r="U87" s="148"/>
      <c r="V87" s="148"/>
      <c r="W87" s="148"/>
      <c r="X87" s="163" t="str">
        <f>IFERROR(VLOOKUP(CONCATENATE(F87, "-", Q87), cuadrante_sev, 3, 0), "")</f>
        <v/>
      </c>
      <c r="Y87" s="163" t="str">
        <f t="shared" ref="Y87" si="132">IFERROR(IF(X87="Baja", 1, IF(X87="Moderada", 2, IF(X87="Alta", 3, IF(X87="Extrema", 4, "")))), "")</f>
        <v/>
      </c>
      <c r="Z87" s="172"/>
      <c r="AA87" s="188"/>
      <c r="AB87" s="172"/>
      <c r="AC87" s="172"/>
      <c r="AD87" s="175"/>
      <c r="AE87" s="70" t="s">
        <v>113</v>
      </c>
      <c r="AF87" s="135"/>
      <c r="AG87" s="71"/>
      <c r="AH87" s="72"/>
      <c r="AI87" s="72"/>
      <c r="AJ87" s="72"/>
      <c r="AK87" s="72"/>
      <c r="AL87" s="72"/>
      <c r="AM87" s="82" t="str">
        <f>IFERROR((Tablas!$C$1*VLOOKUP(AH87, tipo_control, 2, 0)+Tablas!$E$1*VLOOKUP(AI87, nat_control, 2, 0)+Tablas!$G$1*VLOOKUP(AJ87, ev_control, 2, 0)+Tablas!$I$1*VLOOKUP(AK87, frec_control, 2, 0)+Tablas!$K$1*VLOOKUP(AL87, doc_control, 2, 0))*0.1*peso_dis, "")</f>
        <v/>
      </c>
      <c r="AN87" s="72"/>
      <c r="AO87" s="72"/>
      <c r="AP87" s="72"/>
      <c r="AQ87" s="82" t="str">
        <f>IFERROR((Tablas!$C$9*VLOOKUP(AN87, amb_control, 2, 0)+Tablas!$E$9*VLOOKUP(AO87, ejec_control, 2, 0)+Tablas!$G$9*VLOOKUP(AP87, cub_control, 2, 0))*0.1*peso_ejec, "")</f>
        <v/>
      </c>
      <c r="AR87" s="96" t="str">
        <f t="shared" si="80"/>
        <v/>
      </c>
      <c r="AS87" s="97" t="str">
        <f t="shared" si="121"/>
        <v/>
      </c>
      <c r="AT87" s="87" t="str">
        <f t="shared" si="122"/>
        <v/>
      </c>
      <c r="AU87" s="97" t="str">
        <f>IF(AR87&lt;Tablas!$G$19, 0, IF(AND(AR87&gt;=Tablas!$G$19, AR87&lt;Tablas!$G$20), 1,  IF(AND(AR87&gt;=Tablas!$G$20, AR87&lt;Tablas!$G$21), 2,  IF(AND(AR87&gt;=Tablas!$G$21, AR87&lt;=Tablas!$G$22), 3,  ""))))</f>
        <v/>
      </c>
      <c r="AV87" s="97" t="str">
        <f t="shared" si="81"/>
        <v/>
      </c>
      <c r="AW87" s="103" t="str">
        <f t="shared" si="82"/>
        <v/>
      </c>
      <c r="AX87" s="176" t="str">
        <f t="shared" ref="AX87" si="133">IFERROR(VLOOKUP(AY87, tabla04, 2, 0), "")</f>
        <v/>
      </c>
      <c r="AY87" s="168" t="str">
        <f>IF(F87="", "", IF((F87-MAX(AV87:AV91))&lt;=0, 1, F87-MAX(AV87:AV91)))</f>
        <v/>
      </c>
      <c r="AZ87" s="178" t="str">
        <f t="shared" ref="AZ87" si="134">IFERROR(VLOOKUP(BA87, tabla04, 3, 0), "")</f>
        <v/>
      </c>
      <c r="BA87" s="168" t="str">
        <f>IF(Q87="", "", IF((Q87-MAX(AW87:AW91))&lt;=0, 1, Q87-MAX(AW87:AW91)))</f>
        <v/>
      </c>
      <c r="BB87" s="182"/>
      <c r="BC87" s="182"/>
      <c r="BD87" s="185"/>
      <c r="BE87" s="185"/>
      <c r="BF87" s="158" t="str">
        <f t="shared" ref="BF87:BF89" si="135">IFERROR(VLOOKUP(CONCATENATE(AY87, "-", BA87), cuadrante_sev, 3, 0), "")</f>
        <v/>
      </c>
      <c r="BG87" s="191"/>
    </row>
    <row r="88" spans="1:59" ht="15" customHeight="1" x14ac:dyDescent="0.25">
      <c r="A88" s="167"/>
      <c r="B88" s="220"/>
      <c r="C88" s="161"/>
      <c r="D88" s="160"/>
      <c r="E88" s="161"/>
      <c r="F88" s="164"/>
      <c r="G88" s="167"/>
      <c r="H88" s="167"/>
      <c r="I88" s="167"/>
      <c r="J88" s="167"/>
      <c r="K88" s="167"/>
      <c r="L88" s="166"/>
      <c r="M88" s="166"/>
      <c r="N88" s="166"/>
      <c r="O88" s="166"/>
      <c r="P88" s="166"/>
      <c r="Q88" s="166"/>
      <c r="R88" s="177"/>
      <c r="S88" s="167"/>
      <c r="T88" s="167"/>
      <c r="U88" s="167"/>
      <c r="V88" s="167"/>
      <c r="W88" s="167"/>
      <c r="X88" s="164"/>
      <c r="Y88" s="164"/>
      <c r="Z88" s="172"/>
      <c r="AA88" s="188"/>
      <c r="AB88" s="172"/>
      <c r="AC88" s="172"/>
      <c r="AD88" s="175"/>
      <c r="AE88" s="62" t="s">
        <v>114</v>
      </c>
      <c r="AF88" s="133"/>
      <c r="AG88" s="63"/>
      <c r="AH88" s="64"/>
      <c r="AI88" s="64"/>
      <c r="AJ88" s="64"/>
      <c r="AK88" s="64"/>
      <c r="AL88" s="64"/>
      <c r="AM88" s="80" t="str">
        <f>IFERROR((Tablas!$C$1*VLOOKUP(AH88, tipo_control, 2, 0)+Tablas!$E$1*VLOOKUP(AI88, nat_control, 2, 0)+Tablas!$G$1*VLOOKUP(AJ88, ev_control, 2, 0)+Tablas!$I$1*VLOOKUP(AK88, frec_control, 2, 0)+Tablas!$K$1*VLOOKUP(AL88, doc_control, 2, 0))*0.1*peso_dis, "")</f>
        <v/>
      </c>
      <c r="AN88" s="64"/>
      <c r="AO88" s="64"/>
      <c r="AP88" s="64"/>
      <c r="AQ88" s="80" t="str">
        <f>IFERROR((Tablas!$C$9*VLOOKUP(AN88, amb_control, 2, 0)+Tablas!$E$9*VLOOKUP(AO88, ejec_control, 2, 0)+Tablas!$G$9*VLOOKUP(AP88, cub_control, 2, 0))*0.1*peso_ejec, "")</f>
        <v/>
      </c>
      <c r="AR88" s="91" t="str">
        <f t="shared" si="80"/>
        <v/>
      </c>
      <c r="AS88" s="85" t="str">
        <f t="shared" si="121"/>
        <v/>
      </c>
      <c r="AT88" s="85" t="str">
        <f t="shared" si="122"/>
        <v/>
      </c>
      <c r="AU88" s="85" t="str">
        <f>IF(AR88&lt;Tablas!$G$19, 0, IF(AND(AR88&gt;=Tablas!$G$19, AR88&lt;Tablas!$G$20), 1,  IF(AND(AR88&gt;=Tablas!$G$20, AR88&lt;Tablas!$G$21), 2,  IF(AND(AR88&gt;=Tablas!$G$21, AR88&lt;=Tablas!$G$22), 3,  ""))))</f>
        <v/>
      </c>
      <c r="AV88" s="85" t="str">
        <f t="shared" si="81"/>
        <v/>
      </c>
      <c r="AW88" s="101" t="str">
        <f t="shared" si="82"/>
        <v/>
      </c>
      <c r="AX88" s="177"/>
      <c r="AY88" s="169"/>
      <c r="AZ88" s="158"/>
      <c r="BA88" s="169"/>
      <c r="BB88" s="182"/>
      <c r="BC88" s="182"/>
      <c r="BD88" s="185"/>
      <c r="BE88" s="185"/>
      <c r="BF88" s="158" t="str">
        <f t="shared" si="135"/>
        <v/>
      </c>
      <c r="BG88" s="191"/>
    </row>
    <row r="89" spans="1:59" ht="15" customHeight="1" x14ac:dyDescent="0.25">
      <c r="A89" s="167"/>
      <c r="B89" s="220"/>
      <c r="C89" s="161"/>
      <c r="D89" s="160"/>
      <c r="E89" s="161"/>
      <c r="F89" s="164"/>
      <c r="G89" s="167"/>
      <c r="H89" s="167"/>
      <c r="I89" s="167"/>
      <c r="J89" s="167"/>
      <c r="K89" s="167"/>
      <c r="L89" s="166"/>
      <c r="M89" s="166"/>
      <c r="N89" s="166"/>
      <c r="O89" s="166"/>
      <c r="P89" s="166"/>
      <c r="Q89" s="166"/>
      <c r="R89" s="177"/>
      <c r="S89" s="167"/>
      <c r="T89" s="167"/>
      <c r="U89" s="167"/>
      <c r="V89" s="167"/>
      <c r="W89" s="167"/>
      <c r="X89" s="164"/>
      <c r="Y89" s="164"/>
      <c r="Z89" s="172"/>
      <c r="AA89" s="188"/>
      <c r="AB89" s="172"/>
      <c r="AC89" s="172"/>
      <c r="AD89" s="175"/>
      <c r="AE89" s="62" t="s">
        <v>115</v>
      </c>
      <c r="AF89" s="133"/>
      <c r="AG89" s="65"/>
      <c r="AH89" s="64"/>
      <c r="AI89" s="64"/>
      <c r="AJ89" s="64"/>
      <c r="AK89" s="64"/>
      <c r="AL89" s="64"/>
      <c r="AM89" s="80" t="str">
        <f>IFERROR((Tablas!$C$1*VLOOKUP(AH89, tipo_control, 2, 0)+Tablas!$E$1*VLOOKUP(AI89, nat_control, 2, 0)+Tablas!$G$1*VLOOKUP(AJ89, ev_control, 2, 0)+Tablas!$I$1*VLOOKUP(AK89, frec_control, 2, 0)+Tablas!$K$1*VLOOKUP(AL89, doc_control, 2, 0))*0.1*peso_dis, "")</f>
        <v/>
      </c>
      <c r="AN89" s="64"/>
      <c r="AO89" s="64"/>
      <c r="AP89" s="64"/>
      <c r="AQ89" s="80" t="str">
        <f>IFERROR((Tablas!$C$9*VLOOKUP(AN89, amb_control, 2, 0)+Tablas!$E$9*VLOOKUP(AO89, ejec_control, 2, 0)+Tablas!$G$9*VLOOKUP(AP89, cub_control, 2, 0))*0.1*peso_ejec, "")</f>
        <v/>
      </c>
      <c r="AR89" s="91" t="str">
        <f t="shared" si="80"/>
        <v/>
      </c>
      <c r="AS89" s="85" t="str">
        <f t="shared" si="121"/>
        <v/>
      </c>
      <c r="AT89" s="85" t="str">
        <f t="shared" si="122"/>
        <v/>
      </c>
      <c r="AU89" s="85" t="str">
        <f>IF(AR89&lt;Tablas!$G$19, 0, IF(AND(AR89&gt;=Tablas!$G$19, AR89&lt;Tablas!$G$20), 1,  IF(AND(AR89&gt;=Tablas!$G$20, AR89&lt;Tablas!$G$21), 2,  IF(AND(AR89&gt;=Tablas!$G$21, AR89&lt;=Tablas!$G$22), 3,  ""))))</f>
        <v/>
      </c>
      <c r="AV89" s="85" t="str">
        <f t="shared" si="81"/>
        <v/>
      </c>
      <c r="AW89" s="101" t="str">
        <f t="shared" si="82"/>
        <v/>
      </c>
      <c r="AX89" s="177"/>
      <c r="AY89" s="169"/>
      <c r="AZ89" s="158"/>
      <c r="BA89" s="169"/>
      <c r="BB89" s="182"/>
      <c r="BC89" s="182"/>
      <c r="BD89" s="185"/>
      <c r="BE89" s="185"/>
      <c r="BF89" s="158" t="str">
        <f t="shared" si="135"/>
        <v/>
      </c>
      <c r="BG89" s="191"/>
    </row>
    <row r="90" spans="1:59" ht="15" customHeight="1" x14ac:dyDescent="0.25">
      <c r="A90" s="167"/>
      <c r="B90" s="220"/>
      <c r="C90" s="161"/>
      <c r="D90" s="160"/>
      <c r="E90" s="161"/>
      <c r="F90" s="164"/>
      <c r="G90" s="167"/>
      <c r="H90" s="167"/>
      <c r="I90" s="167"/>
      <c r="J90" s="167"/>
      <c r="K90" s="167"/>
      <c r="L90" s="166"/>
      <c r="M90" s="166"/>
      <c r="N90" s="166"/>
      <c r="O90" s="166"/>
      <c r="P90" s="166"/>
      <c r="Q90" s="166"/>
      <c r="R90" s="177"/>
      <c r="S90" s="167"/>
      <c r="T90" s="167"/>
      <c r="U90" s="167"/>
      <c r="V90" s="167"/>
      <c r="W90" s="167"/>
      <c r="X90" s="164"/>
      <c r="Y90" s="164"/>
      <c r="Z90" s="172"/>
      <c r="AA90" s="188"/>
      <c r="AB90" s="172"/>
      <c r="AC90" s="172"/>
      <c r="AD90" s="175"/>
      <c r="AE90" s="62" t="s">
        <v>153</v>
      </c>
      <c r="AF90" s="133"/>
      <c r="AG90" s="65"/>
      <c r="AH90" s="64"/>
      <c r="AI90" s="64"/>
      <c r="AJ90" s="64"/>
      <c r="AK90" s="64"/>
      <c r="AL90" s="64"/>
      <c r="AM90" s="80" t="str">
        <f>IFERROR((Tablas!$C$1*VLOOKUP(AH90, tipo_control, 2, 0)+Tablas!$E$1*VLOOKUP(AI90, nat_control, 2, 0)+Tablas!$G$1*VLOOKUP(AJ90, ev_control, 2, 0)+Tablas!$I$1*VLOOKUP(AK90, frec_control, 2, 0)+Tablas!$K$1*VLOOKUP(AL90, doc_control, 2, 0))*0.1*peso_dis, "")</f>
        <v/>
      </c>
      <c r="AN90" s="64"/>
      <c r="AO90" s="64"/>
      <c r="AP90" s="64"/>
      <c r="AQ90" s="80" t="str">
        <f>IFERROR((Tablas!$C$9*VLOOKUP(AN90, amb_control, 2, 0)+Tablas!$E$9*VLOOKUP(AO90, ejec_control, 2, 0)+Tablas!$G$9*VLOOKUP(AP90, cub_control, 2, 0))*0.1*peso_ejec, "")</f>
        <v/>
      </c>
      <c r="AR90" s="91" t="str">
        <f t="shared" si="80"/>
        <v/>
      </c>
      <c r="AS90" s="85" t="str">
        <f t="shared" si="121"/>
        <v/>
      </c>
      <c r="AT90" s="85" t="str">
        <f t="shared" si="122"/>
        <v/>
      </c>
      <c r="AU90" s="85" t="str">
        <f>IF(AR90&lt;Tablas!$G$19, 0, IF(AND(AR90&gt;=Tablas!$G$19, AR90&lt;Tablas!$G$20), 1,  IF(AND(AR90&gt;=Tablas!$G$20, AR90&lt;Tablas!$G$21), 2,  IF(AND(AR90&gt;=Tablas!$G$21, AR90&lt;=Tablas!$G$22), 3,  ""))))</f>
        <v/>
      </c>
      <c r="AV90" s="85" t="str">
        <f t="shared" si="81"/>
        <v/>
      </c>
      <c r="AW90" s="101" t="str">
        <f t="shared" si="82"/>
        <v/>
      </c>
      <c r="AX90" s="177"/>
      <c r="AY90" s="169"/>
      <c r="AZ90" s="158"/>
      <c r="BA90" s="169"/>
      <c r="BB90" s="182"/>
      <c r="BC90" s="182"/>
      <c r="BD90" s="185"/>
      <c r="BE90" s="185"/>
      <c r="BF90" s="158"/>
      <c r="BG90" s="191"/>
    </row>
    <row r="91" spans="1:59" ht="15" customHeight="1" thickBot="1" x14ac:dyDescent="0.3">
      <c r="A91" s="167"/>
      <c r="B91" s="220"/>
      <c r="C91" s="161"/>
      <c r="D91" s="160"/>
      <c r="E91" s="161"/>
      <c r="F91" s="165"/>
      <c r="G91" s="149"/>
      <c r="H91" s="149"/>
      <c r="I91" s="149"/>
      <c r="J91" s="149"/>
      <c r="K91" s="149"/>
      <c r="L91" s="166"/>
      <c r="M91" s="166"/>
      <c r="N91" s="166"/>
      <c r="O91" s="166"/>
      <c r="P91" s="166"/>
      <c r="Q91" s="166"/>
      <c r="R91" s="177"/>
      <c r="S91" s="149"/>
      <c r="T91" s="149"/>
      <c r="U91" s="149"/>
      <c r="V91" s="149"/>
      <c r="W91" s="149"/>
      <c r="X91" s="165"/>
      <c r="Y91" s="165"/>
      <c r="Z91" s="172"/>
      <c r="AA91" s="188"/>
      <c r="AB91" s="172"/>
      <c r="AC91" s="172"/>
      <c r="AD91" s="175"/>
      <c r="AE91" s="66" t="s">
        <v>154</v>
      </c>
      <c r="AF91" s="134"/>
      <c r="AG91" s="67"/>
      <c r="AH91" s="69"/>
      <c r="AI91" s="69"/>
      <c r="AJ91" s="69"/>
      <c r="AK91" s="69"/>
      <c r="AL91" s="69"/>
      <c r="AM91" s="81" t="str">
        <f>IFERROR((Tablas!$C$1*VLOOKUP(AH91, tipo_control, 2, 0)+Tablas!$E$1*VLOOKUP(AI91, nat_control, 2, 0)+Tablas!$G$1*VLOOKUP(AJ91, ev_control, 2, 0)+Tablas!$I$1*VLOOKUP(AK91, frec_control, 2, 0)+Tablas!$K$1*VLOOKUP(AL91, doc_control, 2, 0))*0.1*peso_dis, "")</f>
        <v/>
      </c>
      <c r="AN91" s="69"/>
      <c r="AO91" s="69"/>
      <c r="AP91" s="69"/>
      <c r="AQ91" s="81" t="str">
        <f>IFERROR((Tablas!$C$9*VLOOKUP(AN91, amb_control, 2, 0)+Tablas!$E$9*VLOOKUP(AO91, ejec_control, 2, 0)+Tablas!$G$9*VLOOKUP(AP91, cub_control, 2, 0))*0.1*peso_ejec, "")</f>
        <v/>
      </c>
      <c r="AR91" s="93" t="str">
        <f t="shared" si="80"/>
        <v/>
      </c>
      <c r="AS91" s="94" t="str">
        <f t="shared" si="121"/>
        <v/>
      </c>
      <c r="AT91" s="94" t="str">
        <f t="shared" si="122"/>
        <v/>
      </c>
      <c r="AU91" s="94" t="str">
        <f>IF(AR91&lt;Tablas!$G$19, 0, IF(AND(AR91&gt;=Tablas!$G$19, AR91&lt;Tablas!$G$20), 1,  IF(AND(AR91&gt;=Tablas!$G$20, AR91&lt;Tablas!$G$21), 2,  IF(AND(AR91&gt;=Tablas!$G$21, AR91&lt;=Tablas!$G$22), 3,  ""))))</f>
        <v/>
      </c>
      <c r="AV91" s="94" t="str">
        <f t="shared" si="81"/>
        <v/>
      </c>
      <c r="AW91" s="102" t="str">
        <f t="shared" si="82"/>
        <v/>
      </c>
      <c r="AX91" s="157"/>
      <c r="AY91" s="170"/>
      <c r="AZ91" s="179"/>
      <c r="BA91" s="170"/>
      <c r="BB91" s="182"/>
      <c r="BC91" s="182"/>
      <c r="BD91" s="185"/>
      <c r="BE91" s="185"/>
      <c r="BF91" s="159"/>
      <c r="BG91" s="191"/>
    </row>
    <row r="92" spans="1:59" ht="15" customHeight="1" x14ac:dyDescent="0.25">
      <c r="A92" s="167"/>
      <c r="B92" s="220"/>
      <c r="C92" s="161" t="s">
        <v>181</v>
      </c>
      <c r="D92" s="160"/>
      <c r="E92" s="149"/>
      <c r="F92" s="163" t="str">
        <f t="shared" si="93"/>
        <v/>
      </c>
      <c r="G92" s="148"/>
      <c r="H92" s="148"/>
      <c r="I92" s="148"/>
      <c r="J92" s="148"/>
      <c r="K92" s="148"/>
      <c r="L92" s="165" t="str">
        <f t="shared" ref="L92" si="136">IFERROR(VLOOKUP(G92, tabla02, 2, 0), "")</f>
        <v/>
      </c>
      <c r="M92" s="165" t="str">
        <f t="shared" ref="M92" si="137">IFERROR(VLOOKUP(H92, tabla02, 2, 0), "")</f>
        <v/>
      </c>
      <c r="N92" s="165" t="str">
        <f t="shared" ref="N92" si="138">IFERROR(VLOOKUP(I92, tabla02, 2, 0), "")</f>
        <v/>
      </c>
      <c r="O92" s="165" t="str">
        <f t="shared" ref="O92" si="139">IFERROR(VLOOKUP(J92, tabla02, 2, 0), "")</f>
        <v/>
      </c>
      <c r="P92" s="165" t="str">
        <f t="shared" ref="P92" si="140">IFERROR(VLOOKUP(K92, tabla02, 2, 0), "")</f>
        <v/>
      </c>
      <c r="Q92" s="165" t="str">
        <f t="shared" ref="Q92" si="141">IF(SUM(L92:P92)=0, "", MAX(L92:P92))</f>
        <v/>
      </c>
      <c r="R92" s="159" t="str">
        <f>IFERROR(VLOOKUP(Q92, tabla04, 3, 0), "")</f>
        <v/>
      </c>
      <c r="S92" s="148"/>
      <c r="T92" s="148"/>
      <c r="U92" s="148"/>
      <c r="V92" s="148"/>
      <c r="W92" s="148"/>
      <c r="X92" s="163" t="str">
        <f>IFERROR(VLOOKUP(CONCATENATE(F92, "-", Q92), cuadrante_sev, 3, 0), "")</f>
        <v/>
      </c>
      <c r="Y92" s="163" t="str">
        <f t="shared" ref="Y92" si="142">IFERROR(IF(X92="Baja", 1, IF(X92="Moderada", 2, IF(X92="Alta", 3, IF(X92="Extrema", 4, "")))), "")</f>
        <v/>
      </c>
      <c r="Z92" s="172"/>
      <c r="AA92" s="188"/>
      <c r="AB92" s="172"/>
      <c r="AC92" s="172"/>
      <c r="AD92" s="175"/>
      <c r="AE92" s="70" t="s">
        <v>113</v>
      </c>
      <c r="AF92" s="135"/>
      <c r="AG92" s="71"/>
      <c r="AH92" s="72"/>
      <c r="AI92" s="72"/>
      <c r="AJ92" s="72"/>
      <c r="AK92" s="72"/>
      <c r="AL92" s="72"/>
      <c r="AM92" s="82" t="str">
        <f>IFERROR((Tablas!$C$1*VLOOKUP(AH92, tipo_control, 2, 0)+Tablas!$E$1*VLOOKUP(AI92, nat_control, 2, 0)+Tablas!$G$1*VLOOKUP(AJ92, ev_control, 2, 0)+Tablas!$I$1*VLOOKUP(AK92, frec_control, 2, 0)+Tablas!$K$1*VLOOKUP(AL92, doc_control, 2, 0))*0.1*peso_dis, "")</f>
        <v/>
      </c>
      <c r="AN92" s="72"/>
      <c r="AO92" s="72"/>
      <c r="AP92" s="72"/>
      <c r="AQ92" s="82" t="str">
        <f>IFERROR((Tablas!$C$9*VLOOKUP(AN92, amb_control, 2, 0)+Tablas!$E$9*VLOOKUP(AO92, ejec_control, 2, 0)+Tablas!$G$9*VLOOKUP(AP92, cub_control, 2, 0))*0.1*peso_ejec, "")</f>
        <v/>
      </c>
      <c r="AR92" s="96" t="str">
        <f t="shared" si="80"/>
        <v/>
      </c>
      <c r="AS92" s="97" t="str">
        <f t="shared" si="121"/>
        <v/>
      </c>
      <c r="AT92" s="87" t="str">
        <f t="shared" si="122"/>
        <v/>
      </c>
      <c r="AU92" s="97" t="str">
        <f>IF(AR92&lt;Tablas!$G$19, 0, IF(AND(AR92&gt;=Tablas!$G$19, AR92&lt;Tablas!$G$20), 1,  IF(AND(AR92&gt;=Tablas!$G$20, AR92&lt;Tablas!$G$21), 2,  IF(AND(AR92&gt;=Tablas!$G$21, AR92&lt;=Tablas!$G$22), 3,  ""))))</f>
        <v/>
      </c>
      <c r="AV92" s="97" t="str">
        <f t="shared" si="81"/>
        <v/>
      </c>
      <c r="AW92" s="103" t="str">
        <f t="shared" si="82"/>
        <v/>
      </c>
      <c r="AX92" s="176" t="str">
        <f t="shared" ref="AX92" si="143">IFERROR(VLOOKUP(AY92, tabla04, 2, 0), "")</f>
        <v/>
      </c>
      <c r="AY92" s="168" t="str">
        <f>IF(F92="", "", IF((F92-MAX(AV92:AV96))&lt;=0, 1, F92-MAX(AV92:AV96)))</f>
        <v/>
      </c>
      <c r="AZ92" s="178" t="str">
        <f t="shared" ref="AZ92" si="144">IFERROR(VLOOKUP(BA92, tabla04, 3, 0), "")</f>
        <v/>
      </c>
      <c r="BA92" s="168" t="str">
        <f>IF(Q92="", "", IF((Q92-MAX(AW92:AW96))&lt;=0, 1, Q92-MAX(AW92:AW96)))</f>
        <v/>
      </c>
      <c r="BB92" s="182"/>
      <c r="BC92" s="182"/>
      <c r="BD92" s="185"/>
      <c r="BE92" s="185"/>
      <c r="BF92" s="158" t="str">
        <f t="shared" ref="BF92:BF94" si="145">IFERROR(VLOOKUP(CONCATENATE(AY92, "-", BA92), cuadrante_sev, 3, 0), "")</f>
        <v/>
      </c>
      <c r="BG92" s="191"/>
    </row>
    <row r="93" spans="1:59" ht="15" customHeight="1" x14ac:dyDescent="0.25">
      <c r="A93" s="167"/>
      <c r="B93" s="220"/>
      <c r="C93" s="161"/>
      <c r="D93" s="160"/>
      <c r="E93" s="161"/>
      <c r="F93" s="164"/>
      <c r="G93" s="167"/>
      <c r="H93" s="167"/>
      <c r="I93" s="167"/>
      <c r="J93" s="167"/>
      <c r="K93" s="167"/>
      <c r="L93" s="166"/>
      <c r="M93" s="166"/>
      <c r="N93" s="166"/>
      <c r="O93" s="166"/>
      <c r="P93" s="166"/>
      <c r="Q93" s="166"/>
      <c r="R93" s="177"/>
      <c r="S93" s="167"/>
      <c r="T93" s="167"/>
      <c r="U93" s="167"/>
      <c r="V93" s="167"/>
      <c r="W93" s="167"/>
      <c r="X93" s="164"/>
      <c r="Y93" s="164"/>
      <c r="Z93" s="172"/>
      <c r="AA93" s="188"/>
      <c r="AB93" s="172"/>
      <c r="AC93" s="172"/>
      <c r="AD93" s="175"/>
      <c r="AE93" s="62" t="s">
        <v>114</v>
      </c>
      <c r="AF93" s="133"/>
      <c r="AG93" s="65"/>
      <c r="AH93" s="64"/>
      <c r="AI93" s="64"/>
      <c r="AJ93" s="64"/>
      <c r="AK93" s="64"/>
      <c r="AL93" s="64"/>
      <c r="AM93" s="80" t="str">
        <f>IFERROR((Tablas!$C$1*VLOOKUP(AH93, tipo_control, 2, 0)+Tablas!$E$1*VLOOKUP(AI93, nat_control, 2, 0)+Tablas!$G$1*VLOOKUP(AJ93, ev_control, 2, 0)+Tablas!$I$1*VLOOKUP(AK93, frec_control, 2, 0)+Tablas!$K$1*VLOOKUP(AL93, doc_control, 2, 0))*0.1*peso_dis, "")</f>
        <v/>
      </c>
      <c r="AN93" s="64"/>
      <c r="AO93" s="64"/>
      <c r="AP93" s="64"/>
      <c r="AQ93" s="80" t="str">
        <f>IFERROR((Tablas!$C$9*VLOOKUP(AN93, amb_control, 2, 0)+Tablas!$E$9*VLOOKUP(AO93, ejec_control, 2, 0)+Tablas!$G$9*VLOOKUP(AP93, cub_control, 2, 0))*0.1*peso_ejec, "")</f>
        <v/>
      </c>
      <c r="AR93" s="91" t="str">
        <f t="shared" si="80"/>
        <v/>
      </c>
      <c r="AS93" s="85" t="str">
        <f t="shared" si="121"/>
        <v/>
      </c>
      <c r="AT93" s="85" t="str">
        <f t="shared" si="122"/>
        <v/>
      </c>
      <c r="AU93" s="85" t="str">
        <f>IF(AR93&lt;Tablas!$G$19, 0, IF(AND(AR93&gt;=Tablas!$G$19, AR93&lt;Tablas!$G$20), 1,  IF(AND(AR93&gt;=Tablas!$G$20, AR93&lt;Tablas!$G$21), 2,  IF(AND(AR93&gt;=Tablas!$G$21, AR93&lt;=Tablas!$G$22), 3,  ""))))</f>
        <v/>
      </c>
      <c r="AV93" s="85" t="str">
        <f t="shared" si="81"/>
        <v/>
      </c>
      <c r="AW93" s="101" t="str">
        <f t="shared" si="82"/>
        <v/>
      </c>
      <c r="AX93" s="177"/>
      <c r="AY93" s="169"/>
      <c r="AZ93" s="158"/>
      <c r="BA93" s="169"/>
      <c r="BB93" s="182"/>
      <c r="BC93" s="182"/>
      <c r="BD93" s="185"/>
      <c r="BE93" s="185"/>
      <c r="BF93" s="158" t="str">
        <f t="shared" si="145"/>
        <v/>
      </c>
      <c r="BG93" s="191"/>
    </row>
    <row r="94" spans="1:59" ht="15" customHeight="1" x14ac:dyDescent="0.25">
      <c r="A94" s="167"/>
      <c r="B94" s="220"/>
      <c r="C94" s="161"/>
      <c r="D94" s="160"/>
      <c r="E94" s="161"/>
      <c r="F94" s="164"/>
      <c r="G94" s="167"/>
      <c r="H94" s="167"/>
      <c r="I94" s="167"/>
      <c r="J94" s="167"/>
      <c r="K94" s="167"/>
      <c r="L94" s="166"/>
      <c r="M94" s="166"/>
      <c r="N94" s="166"/>
      <c r="O94" s="166"/>
      <c r="P94" s="166"/>
      <c r="Q94" s="166"/>
      <c r="R94" s="177"/>
      <c r="S94" s="167"/>
      <c r="T94" s="167"/>
      <c r="U94" s="167"/>
      <c r="V94" s="167"/>
      <c r="W94" s="167"/>
      <c r="X94" s="164"/>
      <c r="Y94" s="164"/>
      <c r="Z94" s="172"/>
      <c r="AA94" s="188"/>
      <c r="AB94" s="172"/>
      <c r="AC94" s="172"/>
      <c r="AD94" s="175"/>
      <c r="AE94" s="62" t="s">
        <v>115</v>
      </c>
      <c r="AF94" s="133"/>
      <c r="AG94" s="65"/>
      <c r="AH94" s="64"/>
      <c r="AI94" s="64"/>
      <c r="AJ94" s="64"/>
      <c r="AK94" s="64"/>
      <c r="AL94" s="64"/>
      <c r="AM94" s="80" t="str">
        <f>IFERROR((Tablas!$C$1*VLOOKUP(AH94, tipo_control, 2, 0)+Tablas!$E$1*VLOOKUP(AI94, nat_control, 2, 0)+Tablas!$G$1*VLOOKUP(AJ94, ev_control, 2, 0)+Tablas!$I$1*VLOOKUP(AK94, frec_control, 2, 0)+Tablas!$K$1*VLOOKUP(AL94, doc_control, 2, 0))*0.1*peso_dis, "")</f>
        <v/>
      </c>
      <c r="AN94" s="64"/>
      <c r="AO94" s="64"/>
      <c r="AP94" s="64"/>
      <c r="AQ94" s="80" t="str">
        <f>IFERROR((Tablas!$C$9*VLOOKUP(AN94, amb_control, 2, 0)+Tablas!$E$9*VLOOKUP(AO94, ejec_control, 2, 0)+Tablas!$G$9*VLOOKUP(AP94, cub_control, 2, 0))*0.1*peso_ejec, "")</f>
        <v/>
      </c>
      <c r="AR94" s="91" t="str">
        <f t="shared" si="80"/>
        <v/>
      </c>
      <c r="AS94" s="85" t="str">
        <f t="shared" si="121"/>
        <v/>
      </c>
      <c r="AT94" s="85" t="str">
        <f t="shared" si="122"/>
        <v/>
      </c>
      <c r="AU94" s="85" t="str">
        <f>IF(AR94&lt;Tablas!$G$19, 0, IF(AND(AR94&gt;=Tablas!$G$19, AR94&lt;Tablas!$G$20), 1,  IF(AND(AR94&gt;=Tablas!$G$20, AR94&lt;Tablas!$G$21), 2,  IF(AND(AR94&gt;=Tablas!$G$21, AR94&lt;=Tablas!$G$22), 3,  ""))))</f>
        <v/>
      </c>
      <c r="AV94" s="85" t="str">
        <f t="shared" si="81"/>
        <v/>
      </c>
      <c r="AW94" s="101" t="str">
        <f t="shared" si="82"/>
        <v/>
      </c>
      <c r="AX94" s="177"/>
      <c r="AY94" s="169"/>
      <c r="AZ94" s="158"/>
      <c r="BA94" s="169"/>
      <c r="BB94" s="182"/>
      <c r="BC94" s="182"/>
      <c r="BD94" s="185"/>
      <c r="BE94" s="185"/>
      <c r="BF94" s="158" t="str">
        <f t="shared" si="145"/>
        <v/>
      </c>
      <c r="BG94" s="191"/>
    </row>
    <row r="95" spans="1:59" ht="15" customHeight="1" x14ac:dyDescent="0.25">
      <c r="A95" s="167"/>
      <c r="B95" s="220"/>
      <c r="C95" s="161"/>
      <c r="D95" s="160"/>
      <c r="E95" s="161"/>
      <c r="F95" s="164"/>
      <c r="G95" s="167"/>
      <c r="H95" s="167"/>
      <c r="I95" s="167"/>
      <c r="J95" s="167"/>
      <c r="K95" s="167"/>
      <c r="L95" s="166"/>
      <c r="M95" s="166"/>
      <c r="N95" s="166"/>
      <c r="O95" s="166"/>
      <c r="P95" s="166"/>
      <c r="Q95" s="166"/>
      <c r="R95" s="177"/>
      <c r="S95" s="167"/>
      <c r="T95" s="167"/>
      <c r="U95" s="167"/>
      <c r="V95" s="167"/>
      <c r="W95" s="167"/>
      <c r="X95" s="164"/>
      <c r="Y95" s="164"/>
      <c r="Z95" s="172"/>
      <c r="AA95" s="188"/>
      <c r="AB95" s="172"/>
      <c r="AC95" s="172"/>
      <c r="AD95" s="175"/>
      <c r="AE95" s="62" t="s">
        <v>153</v>
      </c>
      <c r="AF95" s="133"/>
      <c r="AG95" s="65"/>
      <c r="AH95" s="64"/>
      <c r="AI95" s="64"/>
      <c r="AJ95" s="64"/>
      <c r="AK95" s="64"/>
      <c r="AL95" s="64"/>
      <c r="AM95" s="80" t="str">
        <f>IFERROR((Tablas!$C$1*VLOOKUP(AH95, tipo_control, 2, 0)+Tablas!$E$1*VLOOKUP(AI95, nat_control, 2, 0)+Tablas!$G$1*VLOOKUP(AJ95, ev_control, 2, 0)+Tablas!$I$1*VLOOKUP(AK95, frec_control, 2, 0)+Tablas!$K$1*VLOOKUP(AL95, doc_control, 2, 0))*0.1*peso_dis, "")</f>
        <v/>
      </c>
      <c r="AN95" s="64"/>
      <c r="AO95" s="64"/>
      <c r="AP95" s="64"/>
      <c r="AQ95" s="80" t="str">
        <f>IFERROR((Tablas!$C$9*VLOOKUP(AN95, amb_control, 2, 0)+Tablas!$E$9*VLOOKUP(AO95, ejec_control, 2, 0)+Tablas!$G$9*VLOOKUP(AP95, cub_control, 2, 0))*0.1*peso_ejec, "")</f>
        <v/>
      </c>
      <c r="AR95" s="91" t="str">
        <f t="shared" si="80"/>
        <v/>
      </c>
      <c r="AS95" s="85" t="str">
        <f t="shared" si="121"/>
        <v/>
      </c>
      <c r="AT95" s="85" t="str">
        <f t="shared" si="122"/>
        <v/>
      </c>
      <c r="AU95" s="85" t="str">
        <f>IF(AR95&lt;Tablas!$G$19, 0, IF(AND(AR95&gt;=Tablas!$G$19, AR95&lt;Tablas!$G$20), 1,  IF(AND(AR95&gt;=Tablas!$G$20, AR95&lt;Tablas!$G$21), 2,  IF(AND(AR95&gt;=Tablas!$G$21, AR95&lt;=Tablas!$G$22), 3,  ""))))</f>
        <v/>
      </c>
      <c r="AV95" s="85" t="str">
        <f t="shared" si="81"/>
        <v/>
      </c>
      <c r="AW95" s="101" t="str">
        <f t="shared" si="82"/>
        <v/>
      </c>
      <c r="AX95" s="177"/>
      <c r="AY95" s="169"/>
      <c r="AZ95" s="158"/>
      <c r="BA95" s="169"/>
      <c r="BB95" s="182"/>
      <c r="BC95" s="182"/>
      <c r="BD95" s="185"/>
      <c r="BE95" s="185"/>
      <c r="BF95" s="158"/>
      <c r="BG95" s="191"/>
    </row>
    <row r="96" spans="1:59" ht="15" customHeight="1" thickBot="1" x14ac:dyDescent="0.3">
      <c r="A96" s="167"/>
      <c r="B96" s="220"/>
      <c r="C96" s="161"/>
      <c r="D96" s="160"/>
      <c r="E96" s="161"/>
      <c r="F96" s="165"/>
      <c r="G96" s="149"/>
      <c r="H96" s="149"/>
      <c r="I96" s="149"/>
      <c r="J96" s="149"/>
      <c r="K96" s="149"/>
      <c r="L96" s="166"/>
      <c r="M96" s="166"/>
      <c r="N96" s="166"/>
      <c r="O96" s="166"/>
      <c r="P96" s="166"/>
      <c r="Q96" s="166"/>
      <c r="R96" s="177"/>
      <c r="S96" s="149"/>
      <c r="T96" s="149"/>
      <c r="U96" s="149"/>
      <c r="V96" s="149"/>
      <c r="W96" s="149"/>
      <c r="X96" s="165"/>
      <c r="Y96" s="165"/>
      <c r="Z96" s="172"/>
      <c r="AA96" s="188"/>
      <c r="AB96" s="172"/>
      <c r="AC96" s="172"/>
      <c r="AD96" s="175"/>
      <c r="AE96" s="66" t="s">
        <v>154</v>
      </c>
      <c r="AF96" s="134"/>
      <c r="AG96" s="67"/>
      <c r="AH96" s="69"/>
      <c r="AI96" s="69"/>
      <c r="AJ96" s="69"/>
      <c r="AK96" s="69"/>
      <c r="AL96" s="69"/>
      <c r="AM96" s="81" t="str">
        <f>IFERROR((Tablas!$C$1*VLOOKUP(AH96, tipo_control, 2, 0)+Tablas!$E$1*VLOOKUP(AI96, nat_control, 2, 0)+Tablas!$G$1*VLOOKUP(AJ96, ev_control, 2, 0)+Tablas!$I$1*VLOOKUP(AK96, frec_control, 2, 0)+Tablas!$K$1*VLOOKUP(AL96, doc_control, 2, 0))*0.1*peso_dis, "")</f>
        <v/>
      </c>
      <c r="AN96" s="69"/>
      <c r="AO96" s="69"/>
      <c r="AP96" s="69"/>
      <c r="AQ96" s="81" t="str">
        <f>IFERROR((Tablas!$C$9*VLOOKUP(AN96, amb_control, 2, 0)+Tablas!$E$9*VLOOKUP(AO96, ejec_control, 2, 0)+Tablas!$G$9*VLOOKUP(AP96, cub_control, 2, 0))*0.1*peso_ejec, "")</f>
        <v/>
      </c>
      <c r="AR96" s="93" t="str">
        <f t="shared" si="80"/>
        <v/>
      </c>
      <c r="AS96" s="94" t="str">
        <f t="shared" si="121"/>
        <v/>
      </c>
      <c r="AT96" s="94" t="str">
        <f t="shared" si="122"/>
        <v/>
      </c>
      <c r="AU96" s="94" t="str">
        <f>IF(AR96&lt;Tablas!$G$19, 0, IF(AND(AR96&gt;=Tablas!$G$19, AR96&lt;Tablas!$G$20), 1,  IF(AND(AR96&gt;=Tablas!$G$20, AR96&lt;Tablas!$G$21), 2,  IF(AND(AR96&gt;=Tablas!$G$21, AR96&lt;=Tablas!$G$22), 3,  ""))))</f>
        <v/>
      </c>
      <c r="AV96" s="94" t="str">
        <f t="shared" si="81"/>
        <v/>
      </c>
      <c r="AW96" s="102" t="str">
        <f t="shared" si="82"/>
        <v/>
      </c>
      <c r="AX96" s="157"/>
      <c r="AY96" s="170"/>
      <c r="AZ96" s="179"/>
      <c r="BA96" s="170"/>
      <c r="BB96" s="182"/>
      <c r="BC96" s="182"/>
      <c r="BD96" s="185"/>
      <c r="BE96" s="185"/>
      <c r="BF96" s="159"/>
      <c r="BG96" s="191"/>
    </row>
    <row r="97" spans="1:59" ht="15" customHeight="1" x14ac:dyDescent="0.25">
      <c r="A97" s="167"/>
      <c r="B97" s="220"/>
      <c r="C97" s="161" t="s">
        <v>182</v>
      </c>
      <c r="D97" s="160"/>
      <c r="E97" s="149"/>
      <c r="F97" s="163" t="str">
        <f t="shared" si="93"/>
        <v/>
      </c>
      <c r="G97" s="148"/>
      <c r="H97" s="148"/>
      <c r="I97" s="148"/>
      <c r="J97" s="148"/>
      <c r="K97" s="148"/>
      <c r="L97" s="165" t="str">
        <f t="shared" ref="L97" si="146">IFERROR(VLOOKUP(G97, tabla02, 2, 0), "")</f>
        <v/>
      </c>
      <c r="M97" s="165" t="str">
        <f t="shared" ref="M97" si="147">IFERROR(VLOOKUP(H97, tabla02, 2, 0), "")</f>
        <v/>
      </c>
      <c r="N97" s="165" t="str">
        <f t="shared" ref="N97" si="148">IFERROR(VLOOKUP(I97, tabla02, 2, 0), "")</f>
        <v/>
      </c>
      <c r="O97" s="165" t="str">
        <f t="shared" ref="O97" si="149">IFERROR(VLOOKUP(J97, tabla02, 2, 0), "")</f>
        <v/>
      </c>
      <c r="P97" s="165" t="str">
        <f t="shared" ref="P97" si="150">IFERROR(VLOOKUP(K97, tabla02, 2, 0), "")</f>
        <v/>
      </c>
      <c r="Q97" s="165" t="str">
        <f t="shared" ref="Q97" si="151">IF(SUM(L97:P97)=0, "", MAX(L97:P97))</f>
        <v/>
      </c>
      <c r="R97" s="159" t="str">
        <f>IFERROR(VLOOKUP(Q97, tabla04, 3, 0), "")</f>
        <v/>
      </c>
      <c r="S97" s="148"/>
      <c r="T97" s="148"/>
      <c r="U97" s="148"/>
      <c r="V97" s="148"/>
      <c r="W97" s="148"/>
      <c r="X97" s="163" t="str">
        <f>IFERROR(VLOOKUP(CONCATENATE(F97, "-", Q97), cuadrante_sev, 3, 0), "")</f>
        <v/>
      </c>
      <c r="Y97" s="163" t="str">
        <f t="shared" ref="Y97" si="152">IFERROR(IF(X97="Baja", 1, IF(X97="Moderada", 2, IF(X97="Alta", 3, IF(X97="Extrema", 4, "")))), "")</f>
        <v/>
      </c>
      <c r="Z97" s="172"/>
      <c r="AA97" s="188"/>
      <c r="AB97" s="172"/>
      <c r="AC97" s="172"/>
      <c r="AD97" s="175"/>
      <c r="AE97" s="70" t="s">
        <v>113</v>
      </c>
      <c r="AF97" s="135"/>
      <c r="AG97" s="74"/>
      <c r="AH97" s="72"/>
      <c r="AI97" s="72"/>
      <c r="AJ97" s="72"/>
      <c r="AK97" s="72"/>
      <c r="AL97" s="72"/>
      <c r="AM97" s="82" t="str">
        <f>IFERROR((Tablas!$C$1*VLOOKUP(AH97, tipo_control, 2, 0)+Tablas!$E$1*VLOOKUP(AI97, nat_control, 2, 0)+Tablas!$G$1*VLOOKUP(AJ97, ev_control, 2, 0)+Tablas!$I$1*VLOOKUP(AK97, frec_control, 2, 0)+Tablas!$K$1*VLOOKUP(AL97, doc_control, 2, 0))*0.1*peso_dis, "")</f>
        <v/>
      </c>
      <c r="AN97" s="72"/>
      <c r="AO97" s="72"/>
      <c r="AP97" s="72"/>
      <c r="AQ97" s="82" t="str">
        <f>IFERROR((Tablas!$C$9*VLOOKUP(AN97, amb_control, 2, 0)+Tablas!$E$9*VLOOKUP(AO97, ejec_control, 2, 0)+Tablas!$G$9*VLOOKUP(AP97, cub_control, 2, 0))*0.1*peso_ejec, "")</f>
        <v/>
      </c>
      <c r="AR97" s="96" t="str">
        <f t="shared" si="80"/>
        <v/>
      </c>
      <c r="AS97" s="97" t="str">
        <f t="shared" si="121"/>
        <v/>
      </c>
      <c r="AT97" s="87" t="str">
        <f t="shared" si="122"/>
        <v/>
      </c>
      <c r="AU97" s="97" t="str">
        <f>IF(AR97&lt;Tablas!$G$19, 0, IF(AND(AR97&gt;=Tablas!$G$19, AR97&lt;Tablas!$G$20), 1,  IF(AND(AR97&gt;=Tablas!$G$20, AR97&lt;Tablas!$G$21), 2,  IF(AND(AR97&gt;=Tablas!$G$21, AR97&lt;=Tablas!$G$22), 3,  ""))))</f>
        <v/>
      </c>
      <c r="AV97" s="97" t="str">
        <f t="shared" si="81"/>
        <v/>
      </c>
      <c r="AW97" s="103" t="str">
        <f t="shared" si="82"/>
        <v/>
      </c>
      <c r="AX97" s="176" t="str">
        <f t="shared" ref="AX97" si="153">IFERROR(VLOOKUP(AY97, tabla04, 2, 0), "")</f>
        <v/>
      </c>
      <c r="AY97" s="168" t="str">
        <f>IF(F97="", "", IF((F97-MAX(AV97:AV101))&lt;=0, 1, F97-MAX(AV97:AV101)))</f>
        <v/>
      </c>
      <c r="AZ97" s="178" t="str">
        <f t="shared" ref="AZ97" si="154">IFERROR(VLOOKUP(BA97, tabla04, 3, 0), "")</f>
        <v/>
      </c>
      <c r="BA97" s="168" t="str">
        <f>IF(Q97="", "", IF((Q97-MAX(AW97:AW101))&lt;=0, 1, Q97-MAX(AW97:AW101)))</f>
        <v/>
      </c>
      <c r="BB97" s="182"/>
      <c r="BC97" s="182"/>
      <c r="BD97" s="185"/>
      <c r="BE97" s="185"/>
      <c r="BF97" s="158" t="str">
        <f t="shared" ref="BF97:BF99" si="155">IFERROR(VLOOKUP(CONCATENATE(AY97, "-", BA97), cuadrante_sev, 3, 0), "")</f>
        <v/>
      </c>
      <c r="BG97" s="191"/>
    </row>
    <row r="98" spans="1:59" ht="15" customHeight="1" x14ac:dyDescent="0.25">
      <c r="A98" s="167"/>
      <c r="B98" s="220"/>
      <c r="C98" s="161"/>
      <c r="D98" s="160"/>
      <c r="E98" s="161"/>
      <c r="F98" s="164"/>
      <c r="G98" s="167"/>
      <c r="H98" s="167"/>
      <c r="I98" s="167"/>
      <c r="J98" s="167"/>
      <c r="K98" s="167"/>
      <c r="L98" s="166"/>
      <c r="M98" s="166"/>
      <c r="N98" s="166"/>
      <c r="O98" s="166"/>
      <c r="P98" s="166"/>
      <c r="Q98" s="166"/>
      <c r="R98" s="177"/>
      <c r="S98" s="167"/>
      <c r="T98" s="167"/>
      <c r="U98" s="167"/>
      <c r="V98" s="167"/>
      <c r="W98" s="167"/>
      <c r="X98" s="164"/>
      <c r="Y98" s="164"/>
      <c r="Z98" s="172"/>
      <c r="AA98" s="188"/>
      <c r="AB98" s="172"/>
      <c r="AC98" s="172"/>
      <c r="AD98" s="175"/>
      <c r="AE98" s="62" t="s">
        <v>114</v>
      </c>
      <c r="AF98" s="133"/>
      <c r="AG98" s="65"/>
      <c r="AH98" s="64"/>
      <c r="AI98" s="64"/>
      <c r="AJ98" s="64"/>
      <c r="AK98" s="64"/>
      <c r="AL98" s="64"/>
      <c r="AM98" s="80" t="str">
        <f>IFERROR((Tablas!$C$1*VLOOKUP(AH98, tipo_control, 2, 0)+Tablas!$E$1*VLOOKUP(AI98, nat_control, 2, 0)+Tablas!$G$1*VLOOKUP(AJ98, ev_control, 2, 0)+Tablas!$I$1*VLOOKUP(AK98, frec_control, 2, 0)+Tablas!$K$1*VLOOKUP(AL98, doc_control, 2, 0))*0.1*peso_dis, "")</f>
        <v/>
      </c>
      <c r="AN98" s="64"/>
      <c r="AO98" s="64"/>
      <c r="AP98" s="64"/>
      <c r="AQ98" s="80" t="str">
        <f>IFERROR((Tablas!$C$9*VLOOKUP(AN98, amb_control, 2, 0)+Tablas!$E$9*VLOOKUP(AO98, ejec_control, 2, 0)+Tablas!$G$9*VLOOKUP(AP98, cub_control, 2, 0))*0.1*peso_ejec, "")</f>
        <v/>
      </c>
      <c r="AR98" s="91" t="str">
        <f t="shared" si="80"/>
        <v/>
      </c>
      <c r="AS98" s="85" t="str">
        <f t="shared" si="121"/>
        <v/>
      </c>
      <c r="AT98" s="85" t="str">
        <f t="shared" si="122"/>
        <v/>
      </c>
      <c r="AU98" s="85" t="str">
        <f>IF(AR98&lt;Tablas!$G$19, 0, IF(AND(AR98&gt;=Tablas!$G$19, AR98&lt;Tablas!$G$20), 1,  IF(AND(AR98&gt;=Tablas!$G$20, AR98&lt;Tablas!$G$21), 2,  IF(AND(AR98&gt;=Tablas!$G$21, AR98&lt;=Tablas!$G$22), 3,  ""))))</f>
        <v/>
      </c>
      <c r="AV98" s="85" t="str">
        <f t="shared" si="81"/>
        <v/>
      </c>
      <c r="AW98" s="101" t="str">
        <f t="shared" si="82"/>
        <v/>
      </c>
      <c r="AX98" s="177"/>
      <c r="AY98" s="169"/>
      <c r="AZ98" s="158"/>
      <c r="BA98" s="169"/>
      <c r="BB98" s="182"/>
      <c r="BC98" s="182"/>
      <c r="BD98" s="185"/>
      <c r="BE98" s="185"/>
      <c r="BF98" s="158" t="str">
        <f t="shared" si="155"/>
        <v/>
      </c>
      <c r="BG98" s="191"/>
    </row>
    <row r="99" spans="1:59" ht="15" customHeight="1" x14ac:dyDescent="0.25">
      <c r="A99" s="167"/>
      <c r="B99" s="220"/>
      <c r="C99" s="161"/>
      <c r="D99" s="160"/>
      <c r="E99" s="161"/>
      <c r="F99" s="164"/>
      <c r="G99" s="167"/>
      <c r="H99" s="167"/>
      <c r="I99" s="167"/>
      <c r="J99" s="167"/>
      <c r="K99" s="167"/>
      <c r="L99" s="166"/>
      <c r="M99" s="166"/>
      <c r="N99" s="166"/>
      <c r="O99" s="166"/>
      <c r="P99" s="166"/>
      <c r="Q99" s="166"/>
      <c r="R99" s="177"/>
      <c r="S99" s="167"/>
      <c r="T99" s="167"/>
      <c r="U99" s="167"/>
      <c r="V99" s="167"/>
      <c r="W99" s="167"/>
      <c r="X99" s="164"/>
      <c r="Y99" s="164"/>
      <c r="Z99" s="172"/>
      <c r="AA99" s="188"/>
      <c r="AB99" s="172"/>
      <c r="AC99" s="172"/>
      <c r="AD99" s="175"/>
      <c r="AE99" s="62" t="s">
        <v>115</v>
      </c>
      <c r="AF99" s="133"/>
      <c r="AG99" s="65"/>
      <c r="AH99" s="64"/>
      <c r="AI99" s="64"/>
      <c r="AJ99" s="64"/>
      <c r="AK99" s="64"/>
      <c r="AL99" s="64"/>
      <c r="AM99" s="80" t="str">
        <f>IFERROR((Tablas!$C$1*VLOOKUP(AH99, tipo_control, 2, 0)+Tablas!$E$1*VLOOKUP(AI99, nat_control, 2, 0)+Tablas!$G$1*VLOOKUP(AJ99, ev_control, 2, 0)+Tablas!$I$1*VLOOKUP(AK99, frec_control, 2, 0)+Tablas!$K$1*VLOOKUP(AL99, doc_control, 2, 0))*0.1*peso_dis, "")</f>
        <v/>
      </c>
      <c r="AN99" s="64"/>
      <c r="AO99" s="64"/>
      <c r="AP99" s="64"/>
      <c r="AQ99" s="80" t="str">
        <f>IFERROR((Tablas!$C$9*VLOOKUP(AN99, amb_control, 2, 0)+Tablas!$E$9*VLOOKUP(AO99, ejec_control, 2, 0)+Tablas!$G$9*VLOOKUP(AP99, cub_control, 2, 0))*0.1*peso_ejec, "")</f>
        <v/>
      </c>
      <c r="AR99" s="91" t="str">
        <f t="shared" si="80"/>
        <v/>
      </c>
      <c r="AS99" s="85" t="str">
        <f t="shared" si="121"/>
        <v/>
      </c>
      <c r="AT99" s="85" t="str">
        <f t="shared" si="122"/>
        <v/>
      </c>
      <c r="AU99" s="85" t="str">
        <f>IF(AR99&lt;Tablas!$G$19, 0, IF(AND(AR99&gt;=Tablas!$G$19, AR99&lt;Tablas!$G$20), 1,  IF(AND(AR99&gt;=Tablas!$G$20, AR99&lt;Tablas!$G$21), 2,  IF(AND(AR99&gt;=Tablas!$G$21, AR99&lt;=Tablas!$G$22), 3,  ""))))</f>
        <v/>
      </c>
      <c r="AV99" s="85" t="str">
        <f t="shared" si="81"/>
        <v/>
      </c>
      <c r="AW99" s="101" t="str">
        <f t="shared" si="82"/>
        <v/>
      </c>
      <c r="AX99" s="177"/>
      <c r="AY99" s="169"/>
      <c r="AZ99" s="158"/>
      <c r="BA99" s="169"/>
      <c r="BB99" s="182"/>
      <c r="BC99" s="182"/>
      <c r="BD99" s="185"/>
      <c r="BE99" s="185"/>
      <c r="BF99" s="158" t="str">
        <f t="shared" si="155"/>
        <v/>
      </c>
      <c r="BG99" s="191"/>
    </row>
    <row r="100" spans="1:59" ht="15" customHeight="1" x14ac:dyDescent="0.25">
      <c r="A100" s="167"/>
      <c r="B100" s="220"/>
      <c r="C100" s="161"/>
      <c r="D100" s="160"/>
      <c r="E100" s="161"/>
      <c r="F100" s="164"/>
      <c r="G100" s="167"/>
      <c r="H100" s="167"/>
      <c r="I100" s="167"/>
      <c r="J100" s="167"/>
      <c r="K100" s="167"/>
      <c r="L100" s="166"/>
      <c r="M100" s="166"/>
      <c r="N100" s="166"/>
      <c r="O100" s="166"/>
      <c r="P100" s="166"/>
      <c r="Q100" s="166"/>
      <c r="R100" s="177"/>
      <c r="S100" s="167"/>
      <c r="T100" s="167"/>
      <c r="U100" s="167"/>
      <c r="V100" s="167"/>
      <c r="W100" s="167"/>
      <c r="X100" s="164"/>
      <c r="Y100" s="164"/>
      <c r="Z100" s="172"/>
      <c r="AA100" s="188"/>
      <c r="AB100" s="172"/>
      <c r="AC100" s="172"/>
      <c r="AD100" s="175"/>
      <c r="AE100" s="62" t="s">
        <v>153</v>
      </c>
      <c r="AF100" s="133"/>
      <c r="AG100" s="65"/>
      <c r="AH100" s="64"/>
      <c r="AI100" s="64"/>
      <c r="AJ100" s="64"/>
      <c r="AK100" s="64"/>
      <c r="AL100" s="64"/>
      <c r="AM100" s="80" t="str">
        <f>IFERROR((Tablas!$C$1*VLOOKUP(AH100, tipo_control, 2, 0)+Tablas!$E$1*VLOOKUP(AI100, nat_control, 2, 0)+Tablas!$G$1*VLOOKUP(AJ100, ev_control, 2, 0)+Tablas!$I$1*VLOOKUP(AK100, frec_control, 2, 0)+Tablas!$K$1*VLOOKUP(AL100, doc_control, 2, 0))*0.1*peso_dis, "")</f>
        <v/>
      </c>
      <c r="AN100" s="64"/>
      <c r="AO100" s="64"/>
      <c r="AP100" s="64"/>
      <c r="AQ100" s="80" t="str">
        <f>IFERROR((Tablas!$C$9*VLOOKUP(AN100, amb_control, 2, 0)+Tablas!$E$9*VLOOKUP(AO100, ejec_control, 2, 0)+Tablas!$G$9*VLOOKUP(AP100, cub_control, 2, 0))*0.1*peso_ejec, "")</f>
        <v/>
      </c>
      <c r="AR100" s="91" t="str">
        <f t="shared" si="80"/>
        <v/>
      </c>
      <c r="AS100" s="85" t="str">
        <f t="shared" si="121"/>
        <v/>
      </c>
      <c r="AT100" s="85" t="str">
        <f t="shared" si="122"/>
        <v/>
      </c>
      <c r="AU100" s="85" t="str">
        <f>IF(AR100&lt;Tablas!$G$19, 0, IF(AND(AR100&gt;=Tablas!$G$19, AR100&lt;Tablas!$G$20), 1,  IF(AND(AR100&gt;=Tablas!$G$20, AR100&lt;Tablas!$G$21), 2,  IF(AND(AR100&gt;=Tablas!$G$21, AR100&lt;=Tablas!$G$22), 3,  ""))))</f>
        <v/>
      </c>
      <c r="AV100" s="85" t="str">
        <f t="shared" si="81"/>
        <v/>
      </c>
      <c r="AW100" s="101" t="str">
        <f t="shared" si="82"/>
        <v/>
      </c>
      <c r="AX100" s="177"/>
      <c r="AY100" s="169"/>
      <c r="AZ100" s="158"/>
      <c r="BA100" s="169"/>
      <c r="BB100" s="182"/>
      <c r="BC100" s="182"/>
      <c r="BD100" s="185"/>
      <c r="BE100" s="185"/>
      <c r="BF100" s="158"/>
      <c r="BG100" s="191"/>
    </row>
    <row r="101" spans="1:59" ht="15" customHeight="1" thickBot="1" x14ac:dyDescent="0.3">
      <c r="A101" s="167"/>
      <c r="B101" s="220"/>
      <c r="C101" s="161"/>
      <c r="D101" s="160"/>
      <c r="E101" s="161"/>
      <c r="F101" s="165"/>
      <c r="G101" s="149"/>
      <c r="H101" s="149"/>
      <c r="I101" s="149"/>
      <c r="J101" s="149"/>
      <c r="K101" s="149"/>
      <c r="L101" s="166"/>
      <c r="M101" s="166"/>
      <c r="N101" s="166"/>
      <c r="O101" s="166"/>
      <c r="P101" s="166"/>
      <c r="Q101" s="166"/>
      <c r="R101" s="177"/>
      <c r="S101" s="149"/>
      <c r="T101" s="149"/>
      <c r="U101" s="149"/>
      <c r="V101" s="149"/>
      <c r="W101" s="149"/>
      <c r="X101" s="165"/>
      <c r="Y101" s="165"/>
      <c r="Z101" s="172"/>
      <c r="AA101" s="188"/>
      <c r="AB101" s="172"/>
      <c r="AC101" s="172"/>
      <c r="AD101" s="175"/>
      <c r="AE101" s="66" t="s">
        <v>154</v>
      </c>
      <c r="AF101" s="134"/>
      <c r="AG101" s="67"/>
      <c r="AH101" s="69"/>
      <c r="AI101" s="69"/>
      <c r="AJ101" s="69"/>
      <c r="AK101" s="69"/>
      <c r="AL101" s="69"/>
      <c r="AM101" s="81" t="str">
        <f>IFERROR((Tablas!$C$1*VLOOKUP(AH101, tipo_control, 2, 0)+Tablas!$E$1*VLOOKUP(AI101, nat_control, 2, 0)+Tablas!$G$1*VLOOKUP(AJ101, ev_control, 2, 0)+Tablas!$I$1*VLOOKUP(AK101, frec_control, 2, 0)+Tablas!$K$1*VLOOKUP(AL101, doc_control, 2, 0))*0.1*peso_dis, "")</f>
        <v/>
      </c>
      <c r="AN101" s="69"/>
      <c r="AO101" s="69"/>
      <c r="AP101" s="69"/>
      <c r="AQ101" s="81" t="str">
        <f>IFERROR((Tablas!$C$9*VLOOKUP(AN101, amb_control, 2, 0)+Tablas!$E$9*VLOOKUP(AO101, ejec_control, 2, 0)+Tablas!$G$9*VLOOKUP(AP101, cub_control, 2, 0))*0.1*peso_ejec, "")</f>
        <v/>
      </c>
      <c r="AR101" s="93" t="str">
        <f t="shared" si="80"/>
        <v/>
      </c>
      <c r="AS101" s="94" t="str">
        <f t="shared" si="121"/>
        <v/>
      </c>
      <c r="AT101" s="94" t="str">
        <f t="shared" si="122"/>
        <v/>
      </c>
      <c r="AU101" s="94" t="str">
        <f>IF(AR101&lt;Tablas!$G$19, 0, IF(AND(AR101&gt;=Tablas!$G$19, AR101&lt;Tablas!$G$20), 1,  IF(AND(AR101&gt;=Tablas!$G$20, AR101&lt;Tablas!$G$21), 2,  IF(AND(AR101&gt;=Tablas!$G$21, AR101&lt;=Tablas!$G$22), 3,  ""))))</f>
        <v/>
      </c>
      <c r="AV101" s="94" t="str">
        <f t="shared" si="81"/>
        <v/>
      </c>
      <c r="AW101" s="102" t="str">
        <f t="shared" si="82"/>
        <v/>
      </c>
      <c r="AX101" s="157"/>
      <c r="AY101" s="170"/>
      <c r="AZ101" s="179"/>
      <c r="BA101" s="170"/>
      <c r="BB101" s="182"/>
      <c r="BC101" s="182"/>
      <c r="BD101" s="185"/>
      <c r="BE101" s="185"/>
      <c r="BF101" s="159"/>
      <c r="BG101" s="191"/>
    </row>
    <row r="102" spans="1:59" ht="15" customHeight="1" x14ac:dyDescent="0.25">
      <c r="A102" s="167"/>
      <c r="B102" s="220"/>
      <c r="C102" s="161" t="s">
        <v>183</v>
      </c>
      <c r="D102" s="160"/>
      <c r="E102" s="149"/>
      <c r="F102" s="163" t="str">
        <f t="shared" si="93"/>
        <v/>
      </c>
      <c r="G102" s="148"/>
      <c r="H102" s="148"/>
      <c r="I102" s="148"/>
      <c r="J102" s="148"/>
      <c r="K102" s="148"/>
      <c r="L102" s="165" t="str">
        <f t="shared" ref="L102" si="156">IFERROR(VLOOKUP(G102, tabla02, 2, 0), "")</f>
        <v/>
      </c>
      <c r="M102" s="165" t="str">
        <f t="shared" ref="M102" si="157">IFERROR(VLOOKUP(H102, tabla02, 2, 0), "")</f>
        <v/>
      </c>
      <c r="N102" s="165" t="str">
        <f t="shared" ref="N102" si="158">IFERROR(VLOOKUP(I102, tabla02, 2, 0), "")</f>
        <v/>
      </c>
      <c r="O102" s="165" t="str">
        <f t="shared" ref="O102" si="159">IFERROR(VLOOKUP(J102, tabla02, 2, 0), "")</f>
        <v/>
      </c>
      <c r="P102" s="165" t="str">
        <f t="shared" ref="P102" si="160">IFERROR(VLOOKUP(K102, tabla02, 2, 0), "")</f>
        <v/>
      </c>
      <c r="Q102" s="165" t="str">
        <f t="shared" ref="Q102" si="161">IF(SUM(L102:P102)=0, "", MAX(L102:P102))</f>
        <v/>
      </c>
      <c r="R102" s="159" t="str">
        <f>IFERROR(VLOOKUP(Q102, tabla04, 3, 0), "")</f>
        <v/>
      </c>
      <c r="S102" s="148"/>
      <c r="T102" s="148"/>
      <c r="U102" s="148"/>
      <c r="V102" s="148"/>
      <c r="W102" s="148"/>
      <c r="X102" s="163" t="str">
        <f>IFERROR(VLOOKUP(CONCATENATE(F102, "-", Q102), cuadrante_sev, 3, 0), "")</f>
        <v/>
      </c>
      <c r="Y102" s="163" t="str">
        <f t="shared" ref="Y102" si="162">IFERROR(IF(X102="Baja", 1, IF(X102="Moderada", 2, IF(X102="Alta", 3, IF(X102="Extrema", 4, "")))), "")</f>
        <v/>
      </c>
      <c r="Z102" s="172"/>
      <c r="AA102" s="188"/>
      <c r="AB102" s="172"/>
      <c r="AC102" s="172"/>
      <c r="AD102" s="175"/>
      <c r="AE102" s="70" t="s">
        <v>113</v>
      </c>
      <c r="AF102" s="135"/>
      <c r="AG102" s="74"/>
      <c r="AH102" s="72"/>
      <c r="AI102" s="72"/>
      <c r="AJ102" s="72"/>
      <c r="AK102" s="72"/>
      <c r="AL102" s="72"/>
      <c r="AM102" s="82" t="str">
        <f>IFERROR((Tablas!$C$1*VLOOKUP(AH102, tipo_control, 2, 0)+Tablas!$E$1*VLOOKUP(AI102, nat_control, 2, 0)+Tablas!$G$1*VLOOKUP(AJ102, ev_control, 2, 0)+Tablas!$I$1*VLOOKUP(AK102, frec_control, 2, 0)+Tablas!$K$1*VLOOKUP(AL102, doc_control, 2, 0))*0.1*peso_dis, "")</f>
        <v/>
      </c>
      <c r="AN102" s="72"/>
      <c r="AO102" s="72"/>
      <c r="AP102" s="72"/>
      <c r="AQ102" s="82" t="str">
        <f>IFERROR((Tablas!$C$9*VLOOKUP(AN102, amb_control, 2, 0)+Tablas!$E$9*VLOOKUP(AO102, ejec_control, 2, 0)+Tablas!$G$9*VLOOKUP(AP102, cub_control, 2, 0))*0.1*peso_ejec, "")</f>
        <v/>
      </c>
      <c r="AR102" s="96" t="str">
        <f t="shared" si="80"/>
        <v/>
      </c>
      <c r="AS102" s="97" t="str">
        <f t="shared" si="121"/>
        <v/>
      </c>
      <c r="AT102" s="87" t="str">
        <f t="shared" si="122"/>
        <v/>
      </c>
      <c r="AU102" s="97" t="str">
        <f>IF(AR102&lt;Tablas!$G$19, 0, IF(AND(AR102&gt;=Tablas!$G$19, AR102&lt;Tablas!$G$20), 1,  IF(AND(AR102&gt;=Tablas!$G$20, AR102&lt;Tablas!$G$21), 2,  IF(AND(AR102&gt;=Tablas!$G$21, AR102&lt;=Tablas!$G$22), 3,  ""))))</f>
        <v/>
      </c>
      <c r="AV102" s="97" t="str">
        <f t="shared" si="81"/>
        <v/>
      </c>
      <c r="AW102" s="103" t="str">
        <f t="shared" si="82"/>
        <v/>
      </c>
      <c r="AX102" s="176" t="str">
        <f t="shared" ref="AX102" si="163">IFERROR(VLOOKUP(AY102, tabla04, 2, 0), "")</f>
        <v/>
      </c>
      <c r="AY102" s="168" t="str">
        <f>IF(F102="", "", IF((F102-MAX(AV102:AV106))&lt;=0, 1, F102-MAX(AV102:AV106)))</f>
        <v/>
      </c>
      <c r="AZ102" s="178" t="str">
        <f t="shared" ref="AZ102" si="164">IFERROR(VLOOKUP(BA102, tabla04, 3, 0), "")</f>
        <v/>
      </c>
      <c r="BA102" s="168" t="str">
        <f>IF(Q102="", "", IF((Q102-MAX(AW102:AW106))&lt;=0, 1, Q102-MAX(AW102:AW106)))</f>
        <v/>
      </c>
      <c r="BB102" s="182"/>
      <c r="BC102" s="182"/>
      <c r="BD102" s="185"/>
      <c r="BE102" s="185"/>
      <c r="BF102" s="158" t="str">
        <f t="shared" ref="BF102:BF104" si="165">IFERROR(VLOOKUP(CONCATENATE(AY102, "-", BA102), cuadrante_sev, 3, 0), "")</f>
        <v/>
      </c>
      <c r="BG102" s="191"/>
    </row>
    <row r="103" spans="1:59" ht="15" customHeight="1" x14ac:dyDescent="0.25">
      <c r="A103" s="167"/>
      <c r="B103" s="220"/>
      <c r="C103" s="161"/>
      <c r="D103" s="160"/>
      <c r="E103" s="161"/>
      <c r="F103" s="164"/>
      <c r="G103" s="167"/>
      <c r="H103" s="167"/>
      <c r="I103" s="167"/>
      <c r="J103" s="167"/>
      <c r="K103" s="167"/>
      <c r="L103" s="166"/>
      <c r="M103" s="166"/>
      <c r="N103" s="166"/>
      <c r="O103" s="166"/>
      <c r="P103" s="166"/>
      <c r="Q103" s="166"/>
      <c r="R103" s="177"/>
      <c r="S103" s="167"/>
      <c r="T103" s="167"/>
      <c r="U103" s="167"/>
      <c r="V103" s="167"/>
      <c r="W103" s="167"/>
      <c r="X103" s="164"/>
      <c r="Y103" s="164"/>
      <c r="Z103" s="172"/>
      <c r="AA103" s="188"/>
      <c r="AB103" s="172"/>
      <c r="AC103" s="172"/>
      <c r="AD103" s="175"/>
      <c r="AE103" s="62" t="s">
        <v>114</v>
      </c>
      <c r="AF103" s="133"/>
      <c r="AG103" s="65"/>
      <c r="AH103" s="64"/>
      <c r="AI103" s="64"/>
      <c r="AJ103" s="64"/>
      <c r="AK103" s="64"/>
      <c r="AL103" s="64"/>
      <c r="AM103" s="80" t="str">
        <f>IFERROR((Tablas!$C$1*VLOOKUP(AH103, tipo_control, 2, 0)+Tablas!$E$1*VLOOKUP(AI103, nat_control, 2, 0)+Tablas!$G$1*VLOOKUP(AJ103, ev_control, 2, 0)+Tablas!$I$1*VLOOKUP(AK103, frec_control, 2, 0)+Tablas!$K$1*VLOOKUP(AL103, doc_control, 2, 0))*0.1*peso_dis, "")</f>
        <v/>
      </c>
      <c r="AN103" s="64"/>
      <c r="AO103" s="64"/>
      <c r="AP103" s="64"/>
      <c r="AQ103" s="80" t="str">
        <f>IFERROR((Tablas!$C$9*VLOOKUP(AN103, amb_control, 2, 0)+Tablas!$E$9*VLOOKUP(AO103, ejec_control, 2, 0)+Tablas!$G$9*VLOOKUP(AP103, cub_control, 2, 0))*0.1*peso_ejec, "")</f>
        <v/>
      </c>
      <c r="AR103" s="91" t="str">
        <f t="shared" si="80"/>
        <v/>
      </c>
      <c r="AS103" s="85" t="str">
        <f t="shared" si="121"/>
        <v/>
      </c>
      <c r="AT103" s="85" t="str">
        <f t="shared" si="122"/>
        <v/>
      </c>
      <c r="AU103" s="85" t="str">
        <f>IF(AR103&lt;Tablas!$G$19, 0, IF(AND(AR103&gt;=Tablas!$G$19, AR103&lt;Tablas!$G$20), 1,  IF(AND(AR103&gt;=Tablas!$G$20, AR103&lt;Tablas!$G$21), 2,  IF(AND(AR103&gt;=Tablas!$G$21, AR103&lt;=Tablas!$G$22), 3,  ""))))</f>
        <v/>
      </c>
      <c r="AV103" s="85" t="str">
        <f t="shared" si="81"/>
        <v/>
      </c>
      <c r="AW103" s="101" t="str">
        <f t="shared" si="82"/>
        <v/>
      </c>
      <c r="AX103" s="177"/>
      <c r="AY103" s="169"/>
      <c r="AZ103" s="158"/>
      <c r="BA103" s="169"/>
      <c r="BB103" s="182"/>
      <c r="BC103" s="182"/>
      <c r="BD103" s="185"/>
      <c r="BE103" s="185"/>
      <c r="BF103" s="158" t="str">
        <f t="shared" si="165"/>
        <v/>
      </c>
      <c r="BG103" s="191"/>
    </row>
    <row r="104" spans="1:59" ht="15" customHeight="1" x14ac:dyDescent="0.25">
      <c r="A104" s="167"/>
      <c r="B104" s="220"/>
      <c r="C104" s="161"/>
      <c r="D104" s="160"/>
      <c r="E104" s="161"/>
      <c r="F104" s="164"/>
      <c r="G104" s="167"/>
      <c r="H104" s="167"/>
      <c r="I104" s="167"/>
      <c r="J104" s="167"/>
      <c r="K104" s="167"/>
      <c r="L104" s="166"/>
      <c r="M104" s="166"/>
      <c r="N104" s="166"/>
      <c r="O104" s="166"/>
      <c r="P104" s="166"/>
      <c r="Q104" s="166"/>
      <c r="R104" s="177"/>
      <c r="S104" s="167"/>
      <c r="T104" s="167"/>
      <c r="U104" s="167"/>
      <c r="V104" s="167"/>
      <c r="W104" s="167"/>
      <c r="X104" s="164"/>
      <c r="Y104" s="164"/>
      <c r="Z104" s="172"/>
      <c r="AA104" s="188"/>
      <c r="AB104" s="172"/>
      <c r="AC104" s="172"/>
      <c r="AD104" s="175"/>
      <c r="AE104" s="62" t="s">
        <v>115</v>
      </c>
      <c r="AF104" s="133"/>
      <c r="AG104" s="65"/>
      <c r="AH104" s="64"/>
      <c r="AI104" s="64"/>
      <c r="AJ104" s="64"/>
      <c r="AK104" s="64"/>
      <c r="AL104" s="64"/>
      <c r="AM104" s="80" t="str">
        <f>IFERROR((Tablas!$C$1*VLOOKUP(AH104, tipo_control, 2, 0)+Tablas!$E$1*VLOOKUP(AI104, nat_control, 2, 0)+Tablas!$G$1*VLOOKUP(AJ104, ev_control, 2, 0)+Tablas!$I$1*VLOOKUP(AK104, frec_control, 2, 0)+Tablas!$K$1*VLOOKUP(AL104, doc_control, 2, 0))*0.1*peso_dis, "")</f>
        <v/>
      </c>
      <c r="AN104" s="64"/>
      <c r="AO104" s="64"/>
      <c r="AP104" s="64"/>
      <c r="AQ104" s="80" t="str">
        <f>IFERROR((Tablas!$C$9*VLOOKUP(AN104, amb_control, 2, 0)+Tablas!$E$9*VLOOKUP(AO104, ejec_control, 2, 0)+Tablas!$G$9*VLOOKUP(AP104, cub_control, 2, 0))*0.1*peso_ejec, "")</f>
        <v/>
      </c>
      <c r="AR104" s="91" t="str">
        <f t="shared" si="80"/>
        <v/>
      </c>
      <c r="AS104" s="85" t="str">
        <f t="shared" si="121"/>
        <v/>
      </c>
      <c r="AT104" s="85" t="str">
        <f t="shared" si="122"/>
        <v/>
      </c>
      <c r="AU104" s="85" t="str">
        <f>IF(AR104&lt;Tablas!$G$19, 0, IF(AND(AR104&gt;=Tablas!$G$19, AR104&lt;Tablas!$G$20), 1,  IF(AND(AR104&gt;=Tablas!$G$20, AR104&lt;Tablas!$G$21), 2,  IF(AND(AR104&gt;=Tablas!$G$21, AR104&lt;=Tablas!$G$22), 3,  ""))))</f>
        <v/>
      </c>
      <c r="AV104" s="85" t="str">
        <f t="shared" si="81"/>
        <v/>
      </c>
      <c r="AW104" s="101" t="str">
        <f t="shared" si="82"/>
        <v/>
      </c>
      <c r="AX104" s="177"/>
      <c r="AY104" s="169"/>
      <c r="AZ104" s="158"/>
      <c r="BA104" s="169"/>
      <c r="BB104" s="182"/>
      <c r="BC104" s="182"/>
      <c r="BD104" s="185"/>
      <c r="BE104" s="185"/>
      <c r="BF104" s="158" t="str">
        <f t="shared" si="165"/>
        <v/>
      </c>
      <c r="BG104" s="191"/>
    </row>
    <row r="105" spans="1:59" ht="15" customHeight="1" x14ac:dyDescent="0.25">
      <c r="A105" s="167"/>
      <c r="B105" s="220"/>
      <c r="C105" s="161"/>
      <c r="D105" s="160"/>
      <c r="E105" s="161"/>
      <c r="F105" s="164"/>
      <c r="G105" s="167"/>
      <c r="H105" s="167"/>
      <c r="I105" s="167"/>
      <c r="J105" s="167"/>
      <c r="K105" s="167"/>
      <c r="L105" s="166"/>
      <c r="M105" s="166"/>
      <c r="N105" s="166"/>
      <c r="O105" s="166"/>
      <c r="P105" s="166"/>
      <c r="Q105" s="166"/>
      <c r="R105" s="177"/>
      <c r="S105" s="167"/>
      <c r="T105" s="167"/>
      <c r="U105" s="167"/>
      <c r="V105" s="167"/>
      <c r="W105" s="167"/>
      <c r="X105" s="164"/>
      <c r="Y105" s="164"/>
      <c r="Z105" s="172"/>
      <c r="AA105" s="188"/>
      <c r="AB105" s="172"/>
      <c r="AC105" s="172"/>
      <c r="AD105" s="175"/>
      <c r="AE105" s="62" t="s">
        <v>153</v>
      </c>
      <c r="AF105" s="133"/>
      <c r="AG105" s="65"/>
      <c r="AH105" s="64"/>
      <c r="AI105" s="64"/>
      <c r="AJ105" s="64"/>
      <c r="AK105" s="64"/>
      <c r="AL105" s="64"/>
      <c r="AM105" s="80" t="str">
        <f>IFERROR((Tablas!$C$1*VLOOKUP(AH105, tipo_control, 2, 0)+Tablas!$E$1*VLOOKUP(AI105, nat_control, 2, 0)+Tablas!$G$1*VLOOKUP(AJ105, ev_control, 2, 0)+Tablas!$I$1*VLOOKUP(AK105, frec_control, 2, 0)+Tablas!$K$1*VLOOKUP(AL105, doc_control, 2, 0))*0.1*peso_dis, "")</f>
        <v/>
      </c>
      <c r="AN105" s="64"/>
      <c r="AO105" s="64"/>
      <c r="AP105" s="64"/>
      <c r="AQ105" s="80" t="str">
        <f>IFERROR((Tablas!$C$9*VLOOKUP(AN105, amb_control, 2, 0)+Tablas!$E$9*VLOOKUP(AO105, ejec_control, 2, 0)+Tablas!$G$9*VLOOKUP(AP105, cub_control, 2, 0))*0.1*peso_ejec, "")</f>
        <v/>
      </c>
      <c r="AR105" s="91" t="str">
        <f t="shared" si="80"/>
        <v/>
      </c>
      <c r="AS105" s="85" t="str">
        <f t="shared" si="121"/>
        <v/>
      </c>
      <c r="AT105" s="85" t="str">
        <f t="shared" si="122"/>
        <v/>
      </c>
      <c r="AU105" s="85" t="str">
        <f>IF(AR105&lt;Tablas!$G$19, 0, IF(AND(AR105&gt;=Tablas!$G$19, AR105&lt;Tablas!$G$20), 1,  IF(AND(AR105&gt;=Tablas!$G$20, AR105&lt;Tablas!$G$21), 2,  IF(AND(AR105&gt;=Tablas!$G$21, AR105&lt;=Tablas!$G$22), 3,  ""))))</f>
        <v/>
      </c>
      <c r="AV105" s="85" t="str">
        <f t="shared" si="81"/>
        <v/>
      </c>
      <c r="AW105" s="101" t="str">
        <f t="shared" si="82"/>
        <v/>
      </c>
      <c r="AX105" s="177"/>
      <c r="AY105" s="169"/>
      <c r="AZ105" s="158"/>
      <c r="BA105" s="169"/>
      <c r="BB105" s="182"/>
      <c r="BC105" s="182"/>
      <c r="BD105" s="185"/>
      <c r="BE105" s="185"/>
      <c r="BF105" s="158"/>
      <c r="BG105" s="191"/>
    </row>
    <row r="106" spans="1:59" ht="15" customHeight="1" thickBot="1" x14ac:dyDescent="0.3">
      <c r="A106" s="149"/>
      <c r="B106" s="221"/>
      <c r="C106" s="161"/>
      <c r="D106" s="160"/>
      <c r="E106" s="161"/>
      <c r="F106" s="165"/>
      <c r="G106" s="149"/>
      <c r="H106" s="149"/>
      <c r="I106" s="149"/>
      <c r="J106" s="149"/>
      <c r="K106" s="149"/>
      <c r="L106" s="166"/>
      <c r="M106" s="166"/>
      <c r="N106" s="166"/>
      <c r="O106" s="166"/>
      <c r="P106" s="166"/>
      <c r="Q106" s="166"/>
      <c r="R106" s="177"/>
      <c r="S106" s="149"/>
      <c r="T106" s="149"/>
      <c r="U106" s="149"/>
      <c r="V106" s="149"/>
      <c r="W106" s="149"/>
      <c r="X106" s="165"/>
      <c r="Y106" s="165"/>
      <c r="Z106" s="173"/>
      <c r="AA106" s="189"/>
      <c r="AB106" s="173"/>
      <c r="AC106" s="173"/>
      <c r="AD106" s="175"/>
      <c r="AE106" s="75" t="s">
        <v>154</v>
      </c>
      <c r="AF106" s="136"/>
      <c r="AG106" s="68"/>
      <c r="AH106" s="76"/>
      <c r="AI106" s="76"/>
      <c r="AJ106" s="76"/>
      <c r="AK106" s="76"/>
      <c r="AL106" s="76"/>
      <c r="AM106" s="83" t="str">
        <f>IFERROR((Tablas!$C$1*VLOOKUP(AH106, tipo_control, 2, 0)+Tablas!$E$1*VLOOKUP(AI106, nat_control, 2, 0)+Tablas!$G$1*VLOOKUP(AJ106, ev_control, 2, 0)+Tablas!$I$1*VLOOKUP(AK106, frec_control, 2, 0)+Tablas!$K$1*VLOOKUP(AL106, doc_control, 2, 0))*0.1*peso_dis, "")</f>
        <v/>
      </c>
      <c r="AN106" s="76"/>
      <c r="AO106" s="76"/>
      <c r="AP106" s="76"/>
      <c r="AQ106" s="83" t="str">
        <f>IFERROR((Tablas!$C$9*VLOOKUP(AN106, amb_control, 2, 0)+Tablas!$E$9*VLOOKUP(AO106, ejec_control, 2, 0)+Tablas!$G$9*VLOOKUP(AP106, cub_control, 2, 0))*0.1*peso_ejec, "")</f>
        <v/>
      </c>
      <c r="AR106" s="99" t="str">
        <f t="shared" si="80"/>
        <v/>
      </c>
      <c r="AS106" s="86" t="str">
        <f t="shared" si="121"/>
        <v/>
      </c>
      <c r="AT106" s="86" t="str">
        <f t="shared" si="122"/>
        <v/>
      </c>
      <c r="AU106" s="86" t="str">
        <f>IF(AR106&lt;Tablas!$G$19, 0, IF(AND(AR106&gt;=Tablas!$G$19, AR106&lt;Tablas!$G$20), 1,  IF(AND(AR106&gt;=Tablas!$G$20, AR106&lt;Tablas!$G$21), 2,  IF(AND(AR106&gt;=Tablas!$G$21, AR106&lt;=Tablas!$G$22), 3,  ""))))</f>
        <v/>
      </c>
      <c r="AV106" s="86" t="str">
        <f t="shared" si="81"/>
        <v/>
      </c>
      <c r="AW106" s="84" t="str">
        <f t="shared" si="82"/>
        <v/>
      </c>
      <c r="AX106" s="157"/>
      <c r="AY106" s="170"/>
      <c r="AZ106" s="179"/>
      <c r="BA106" s="170"/>
      <c r="BB106" s="183"/>
      <c r="BC106" s="183"/>
      <c r="BD106" s="186"/>
      <c r="BE106" s="186"/>
      <c r="BF106" s="159"/>
      <c r="BG106" s="191"/>
    </row>
    <row r="107" spans="1:59" s="121" customFormat="1" ht="15" customHeight="1" x14ac:dyDescent="0.25">
      <c r="A107" s="148" t="s">
        <v>185</v>
      </c>
      <c r="B107" s="219" t="s">
        <v>234</v>
      </c>
      <c r="C107" s="161" t="s">
        <v>14</v>
      </c>
      <c r="D107" s="160" t="s">
        <v>244</v>
      </c>
      <c r="E107" s="149" t="s">
        <v>5</v>
      </c>
      <c r="F107" s="163">
        <f t="shared" ref="F107:F126" si="166">IFERROR(VLOOKUP(E107, tabla01, 3, 0), "")</f>
        <v>3</v>
      </c>
      <c r="G107" s="148" t="s">
        <v>55</v>
      </c>
      <c r="H107" s="148" t="s">
        <v>56</v>
      </c>
      <c r="I107" s="148" t="s">
        <v>54</v>
      </c>
      <c r="J107" s="148" t="s">
        <v>55</v>
      </c>
      <c r="K107" s="148" t="s">
        <v>54</v>
      </c>
      <c r="L107" s="165">
        <f>IFERROR(VLOOKUP(G107, tabla02, 2, 0), "")</f>
        <v>3</v>
      </c>
      <c r="M107" s="165">
        <f>IFERROR(VLOOKUP(H107, tabla02, 2, 0), "")</f>
        <v>4</v>
      </c>
      <c r="N107" s="165">
        <f>IFERROR(VLOOKUP(I107, tabla02, 2, 0), "")</f>
        <v>2</v>
      </c>
      <c r="O107" s="165">
        <f>IFERROR(VLOOKUP(J107, tabla02, 2, 0), "")</f>
        <v>3</v>
      </c>
      <c r="P107" s="165">
        <f>IFERROR(VLOOKUP(K107, tabla02, 2, 0), "")</f>
        <v>2</v>
      </c>
      <c r="Q107" s="165">
        <f>IF(SUM(L107:P107)=0, "", MAX(L107:P107))</f>
        <v>4</v>
      </c>
      <c r="R107" s="159" t="str">
        <f>IFERROR(VLOOKUP(Q107, tabla04, 3, 0), "")</f>
        <v>Mayor</v>
      </c>
      <c r="S107" s="148"/>
      <c r="T107" s="148"/>
      <c r="U107" s="148" t="s">
        <v>236</v>
      </c>
      <c r="V107" s="148"/>
      <c r="W107" s="148"/>
      <c r="X107" s="164" t="str">
        <f>IFERROR(VLOOKUP(CONCATENATE(F107, "-", Q107), cuadrante_sev, 3, 0), "")</f>
        <v>Extrema</v>
      </c>
      <c r="Y107" s="163">
        <f>IFERROR(IF(X107="Baja", 1, IF(X107="Moderada", 2, IF(X107="Alta", 3, IF(X107="Extrema", 4, "")))), "")</f>
        <v>4</v>
      </c>
      <c r="Z107" s="171">
        <f t="shared" ref="Z107" si="167">MAX(F107:F156)</f>
        <v>3</v>
      </c>
      <c r="AA107" s="187">
        <f t="shared" ref="AA107" si="168">MAX(Q107:Q156)</f>
        <v>4</v>
      </c>
      <c r="AB107" s="171" t="str">
        <f>IFERROR(VLOOKUP(Z107, tabla04, 2, 0), "")</f>
        <v>Media</v>
      </c>
      <c r="AC107" s="171" t="str">
        <f>IFERROR(VLOOKUP(AA107, tabla04, 3, 0), "")</f>
        <v>Mayor</v>
      </c>
      <c r="AD107" s="174" t="str">
        <f>IFERROR(VLOOKUP(CONCATENATE(Z107, "-", AA107), cuadrante_sev, 3, 0), "")</f>
        <v>Extrema</v>
      </c>
      <c r="AE107" s="59" t="s">
        <v>113</v>
      </c>
      <c r="AF107" s="132" t="s">
        <v>237</v>
      </c>
      <c r="AG107" s="77"/>
      <c r="AH107" s="61" t="s">
        <v>69</v>
      </c>
      <c r="AI107" s="61" t="s">
        <v>71</v>
      </c>
      <c r="AJ107" s="61" t="s">
        <v>74</v>
      </c>
      <c r="AK107" s="61" t="s">
        <v>125</v>
      </c>
      <c r="AL107" s="61" t="s">
        <v>130</v>
      </c>
      <c r="AM107" s="79">
        <f>IFERROR((Tablas!$C$1*VLOOKUP(AH107, tipo_control, 2, 0)+Tablas!$E$1*VLOOKUP(AI107, nat_control, 2, 0)+Tablas!$G$1*VLOOKUP(AJ107, ev_control, 2, 0)+Tablas!$I$1*VLOOKUP(AK107, frec_control, 2, 0)+Tablas!$K$1*VLOOKUP(AL107, doc_control, 2, 0))*0.1*peso_dis, "")</f>
        <v>0.30000000000000004</v>
      </c>
      <c r="AN107" s="61" t="s">
        <v>138</v>
      </c>
      <c r="AO107" s="61" t="s">
        <v>143</v>
      </c>
      <c r="AP107" s="61" t="s">
        <v>146</v>
      </c>
      <c r="AQ107" s="79">
        <f>IFERROR((Tablas!$C$9*VLOOKUP(AN107, amb_control, 2, 0)+Tablas!$E$9*VLOOKUP(AO107, ejec_control, 2, 0)+Tablas!$G$9*VLOOKUP(AP107, cub_control, 2, 0))*0.1*peso_ejec, "")</f>
        <v>0.42000000000000004</v>
      </c>
      <c r="AR107" s="89">
        <f>IFERROR(AM107+AQ107, "")</f>
        <v>0.72000000000000008</v>
      </c>
      <c r="AS107" s="87" t="str">
        <f t="shared" si="121"/>
        <v>Sí</v>
      </c>
      <c r="AT107" s="87" t="str">
        <f t="shared" si="122"/>
        <v>No</v>
      </c>
      <c r="AU107" s="87">
        <f>IF(AR107&lt;Tablas!$G$19, 0, IF(AND(AR107&gt;=Tablas!$G$19, AR107&lt;Tablas!$G$20), 1,  IF(AND(AR107&gt;=Tablas!$G$20, AR107&lt;Tablas!$G$21), 2,  IF(AND(AR107&gt;=Tablas!$G$21, AR107&lt;=Tablas!$G$22), 3,  ""))))</f>
        <v>2</v>
      </c>
      <c r="AV107" s="87">
        <f>IF(AS107="Sí",AU107,"")</f>
        <v>2</v>
      </c>
      <c r="AW107" s="100" t="str">
        <f>IF(AT107="Sí",AU107,"")</f>
        <v/>
      </c>
      <c r="AX107" s="176" t="str">
        <f>IFERROR(VLOOKUP(AY107, tabla04, 2, 0), "")</f>
        <v>Muy Baja</v>
      </c>
      <c r="AY107" s="168">
        <f>IF(F107="", "", IF((F107-MAX(AV107:AV111))&lt;=0, 1, F107-MAX(AV107:AV111)))</f>
        <v>1</v>
      </c>
      <c r="AZ107" s="178" t="str">
        <f>IFERROR(VLOOKUP(BA107, tabla04, 3, 0), "")</f>
        <v>Mayor</v>
      </c>
      <c r="BA107" s="168">
        <f>IF(Q107="", "", IF((Q107-MAX(AW107:AW111))&lt;=0, 1, Q107-MAX(AW107:AW111)))</f>
        <v>4</v>
      </c>
      <c r="BB107" s="170">
        <f>IFERROR(MAX(AY107:AY156), "")</f>
        <v>1</v>
      </c>
      <c r="BC107" s="170">
        <f>IFERROR(MAX(BA107:BA156), "")</f>
        <v>4</v>
      </c>
      <c r="BD107" s="184" t="str">
        <f>IFERROR(VLOOKUP(BB107, tabla04, 2, 0), "")</f>
        <v>Muy Baja</v>
      </c>
      <c r="BE107" s="184" t="str">
        <f>IFERROR(VLOOKUP(BC107, tabla04, 3, 0), "")</f>
        <v>Mayor</v>
      </c>
      <c r="BF107" s="158" t="str">
        <f>IFERROR(VLOOKUP(CONCATENATE(AY107, "-", BA107), cuadrante_sev, 3, 0), "")</f>
        <v>Alta</v>
      </c>
      <c r="BG107" s="190" t="str">
        <f>IFERROR(VLOOKUP(CONCATENATE(BB107, "-", BC107), cuadrante_sev, 3, 0), "")</f>
        <v>Alta</v>
      </c>
    </row>
    <row r="108" spans="1:59" s="121" customFormat="1" ht="15" customHeight="1" x14ac:dyDescent="0.25">
      <c r="A108" s="167"/>
      <c r="B108" s="220"/>
      <c r="C108" s="161"/>
      <c r="D108" s="160"/>
      <c r="E108" s="161"/>
      <c r="F108" s="164"/>
      <c r="G108" s="167"/>
      <c r="H108" s="167"/>
      <c r="I108" s="167"/>
      <c r="J108" s="167"/>
      <c r="K108" s="167"/>
      <c r="L108" s="166"/>
      <c r="M108" s="166"/>
      <c r="N108" s="166"/>
      <c r="O108" s="166"/>
      <c r="P108" s="166"/>
      <c r="Q108" s="166"/>
      <c r="R108" s="177"/>
      <c r="S108" s="167"/>
      <c r="T108" s="167"/>
      <c r="U108" s="167"/>
      <c r="V108" s="167"/>
      <c r="W108" s="167"/>
      <c r="X108" s="164"/>
      <c r="Y108" s="164"/>
      <c r="Z108" s="172"/>
      <c r="AA108" s="188"/>
      <c r="AB108" s="172"/>
      <c r="AC108" s="172"/>
      <c r="AD108" s="175"/>
      <c r="AE108" s="62" t="s">
        <v>114</v>
      </c>
      <c r="AF108" s="133"/>
      <c r="AG108" s="65"/>
      <c r="AH108" s="64"/>
      <c r="AI108" s="64"/>
      <c r="AJ108" s="64"/>
      <c r="AK108" s="64"/>
      <c r="AL108" s="64"/>
      <c r="AM108" s="80" t="str">
        <f>IFERROR((Tablas!$C$1*VLOOKUP(AH108, tipo_control, 2, 0)+Tablas!$E$1*VLOOKUP(AI108, nat_control, 2, 0)+Tablas!$G$1*VLOOKUP(AJ108, ev_control, 2, 0)+Tablas!$I$1*VLOOKUP(AK108, frec_control, 2, 0)+Tablas!$K$1*VLOOKUP(AL108, doc_control, 2, 0))*0.1*peso_dis, "")</f>
        <v/>
      </c>
      <c r="AN108" s="64"/>
      <c r="AO108" s="64"/>
      <c r="AP108" s="64"/>
      <c r="AQ108" s="80" t="str">
        <f>IFERROR((Tablas!$C$9*VLOOKUP(AN108, amb_control, 2, 0)+Tablas!$E$9*VLOOKUP(AO108, ejec_control, 2, 0)+Tablas!$G$9*VLOOKUP(AP108, cub_control, 2, 0))*0.1*peso_ejec, "")</f>
        <v/>
      </c>
      <c r="AR108" s="91" t="str">
        <f t="shared" ref="AR108:AR156" si="169">IFERROR(AM108+AQ108, "")</f>
        <v/>
      </c>
      <c r="AS108" s="87" t="str">
        <f t="shared" si="121"/>
        <v/>
      </c>
      <c r="AT108" s="85" t="str">
        <f t="shared" si="122"/>
        <v/>
      </c>
      <c r="AU108" s="85" t="str">
        <f>IF(AR108&lt;Tablas!$G$19, 0, IF(AND(AR108&gt;=Tablas!$G$19, AR108&lt;Tablas!$G$20), 1,  IF(AND(AR108&gt;=Tablas!$G$20, AR108&lt;Tablas!$G$21), 2,  IF(AND(AR108&gt;=Tablas!$G$21, AR108&lt;=Tablas!$G$22), 3,  ""))))</f>
        <v/>
      </c>
      <c r="AV108" s="85" t="str">
        <f t="shared" ref="AV108:AV156" si="170">IF(AS108="Sí",AU108,"")</f>
        <v/>
      </c>
      <c r="AW108" s="101" t="str">
        <f t="shared" ref="AW108:AW156" si="171">IF(AT108="Sí",AU108,"")</f>
        <v/>
      </c>
      <c r="AX108" s="177"/>
      <c r="AY108" s="169"/>
      <c r="AZ108" s="158"/>
      <c r="BA108" s="169"/>
      <c r="BB108" s="182"/>
      <c r="BC108" s="182"/>
      <c r="BD108" s="185"/>
      <c r="BE108" s="185"/>
      <c r="BF108" s="158"/>
      <c r="BG108" s="191"/>
    </row>
    <row r="109" spans="1:59" s="121" customFormat="1" ht="15" customHeight="1" x14ac:dyDescent="0.25">
      <c r="A109" s="167"/>
      <c r="B109" s="220"/>
      <c r="C109" s="161"/>
      <c r="D109" s="160"/>
      <c r="E109" s="161"/>
      <c r="F109" s="164"/>
      <c r="G109" s="167"/>
      <c r="H109" s="167"/>
      <c r="I109" s="167"/>
      <c r="J109" s="167"/>
      <c r="K109" s="167"/>
      <c r="L109" s="166"/>
      <c r="M109" s="166"/>
      <c r="N109" s="166"/>
      <c r="O109" s="166"/>
      <c r="P109" s="166"/>
      <c r="Q109" s="166"/>
      <c r="R109" s="177"/>
      <c r="S109" s="167"/>
      <c r="T109" s="167"/>
      <c r="U109" s="167"/>
      <c r="V109" s="167"/>
      <c r="W109" s="167"/>
      <c r="X109" s="164"/>
      <c r="Y109" s="164"/>
      <c r="Z109" s="172"/>
      <c r="AA109" s="188"/>
      <c r="AB109" s="172"/>
      <c r="AC109" s="172"/>
      <c r="AD109" s="175"/>
      <c r="AE109" s="62" t="s">
        <v>115</v>
      </c>
      <c r="AF109" s="133"/>
      <c r="AG109" s="65"/>
      <c r="AH109" s="64"/>
      <c r="AI109" s="64"/>
      <c r="AJ109" s="64"/>
      <c r="AK109" s="64"/>
      <c r="AL109" s="64"/>
      <c r="AM109" s="80" t="str">
        <f>IFERROR((Tablas!$C$1*VLOOKUP(AH109, tipo_control, 2, 0)+Tablas!$E$1*VLOOKUP(AI109, nat_control, 2, 0)+Tablas!$G$1*VLOOKUP(AJ109, ev_control, 2, 0)+Tablas!$I$1*VLOOKUP(AK109, frec_control, 2, 0)+Tablas!$K$1*VLOOKUP(AL109, doc_control, 2, 0))*0.1*peso_dis, "")</f>
        <v/>
      </c>
      <c r="AN109" s="64"/>
      <c r="AO109" s="64"/>
      <c r="AP109" s="64"/>
      <c r="AQ109" s="80" t="str">
        <f>IFERROR((Tablas!$C$9*VLOOKUP(AN109, amb_control, 2, 0)+Tablas!$E$9*VLOOKUP(AO109, ejec_control, 2, 0)+Tablas!$G$9*VLOOKUP(AP109, cub_control, 2, 0))*0.1*peso_ejec, "")</f>
        <v/>
      </c>
      <c r="AR109" s="91" t="str">
        <f t="shared" si="169"/>
        <v/>
      </c>
      <c r="AS109" s="87" t="str">
        <f t="shared" si="121"/>
        <v/>
      </c>
      <c r="AT109" s="85" t="str">
        <f t="shared" si="122"/>
        <v/>
      </c>
      <c r="AU109" s="85" t="str">
        <f>IF(AR109&lt;Tablas!$G$19, 0, IF(AND(AR109&gt;=Tablas!$G$19, AR109&lt;Tablas!$G$20), 1,  IF(AND(AR109&gt;=Tablas!$G$20, AR109&lt;Tablas!$G$21), 2,  IF(AND(AR109&gt;=Tablas!$G$21, AR109&lt;=Tablas!$G$22), 3,  ""))))</f>
        <v/>
      </c>
      <c r="AV109" s="85" t="str">
        <f t="shared" si="170"/>
        <v/>
      </c>
      <c r="AW109" s="101" t="str">
        <f t="shared" si="171"/>
        <v/>
      </c>
      <c r="AX109" s="177"/>
      <c r="AY109" s="169"/>
      <c r="AZ109" s="158"/>
      <c r="BA109" s="169"/>
      <c r="BB109" s="182"/>
      <c r="BC109" s="182"/>
      <c r="BD109" s="185"/>
      <c r="BE109" s="185"/>
      <c r="BF109" s="158"/>
      <c r="BG109" s="191"/>
    </row>
    <row r="110" spans="1:59" s="121" customFormat="1" ht="15" customHeight="1" x14ac:dyDescent="0.25">
      <c r="A110" s="167"/>
      <c r="B110" s="220"/>
      <c r="C110" s="161"/>
      <c r="D110" s="160"/>
      <c r="E110" s="161"/>
      <c r="F110" s="164"/>
      <c r="G110" s="167"/>
      <c r="H110" s="167"/>
      <c r="I110" s="167"/>
      <c r="J110" s="167"/>
      <c r="K110" s="167"/>
      <c r="L110" s="166"/>
      <c r="M110" s="166"/>
      <c r="N110" s="166"/>
      <c r="O110" s="166"/>
      <c r="P110" s="166"/>
      <c r="Q110" s="166"/>
      <c r="R110" s="177"/>
      <c r="S110" s="167"/>
      <c r="T110" s="167"/>
      <c r="U110" s="167"/>
      <c r="V110" s="167"/>
      <c r="W110" s="167"/>
      <c r="X110" s="164"/>
      <c r="Y110" s="164"/>
      <c r="Z110" s="172"/>
      <c r="AA110" s="188"/>
      <c r="AB110" s="172"/>
      <c r="AC110" s="172"/>
      <c r="AD110" s="175"/>
      <c r="AE110" s="62" t="s">
        <v>153</v>
      </c>
      <c r="AF110" s="133"/>
      <c r="AG110" s="65"/>
      <c r="AH110" s="64"/>
      <c r="AI110" s="64"/>
      <c r="AJ110" s="64"/>
      <c r="AK110" s="64"/>
      <c r="AL110" s="64"/>
      <c r="AM110" s="80" t="str">
        <f>IFERROR((Tablas!$C$1*VLOOKUP(AH110, tipo_control, 2, 0)+Tablas!$E$1*VLOOKUP(AI110, nat_control, 2, 0)+Tablas!$G$1*VLOOKUP(AJ110, ev_control, 2, 0)+Tablas!$I$1*VLOOKUP(AK110, frec_control, 2, 0)+Tablas!$K$1*VLOOKUP(AL110, doc_control, 2, 0))*0.1*peso_dis, "")</f>
        <v/>
      </c>
      <c r="AN110" s="64"/>
      <c r="AO110" s="64"/>
      <c r="AP110" s="64"/>
      <c r="AQ110" s="80" t="str">
        <f>IFERROR((Tablas!$C$9*VLOOKUP(AN110, amb_control, 2, 0)+Tablas!$E$9*VLOOKUP(AO110, ejec_control, 2, 0)+Tablas!$G$9*VLOOKUP(AP110, cub_control, 2, 0))*0.1*peso_ejec, "")</f>
        <v/>
      </c>
      <c r="AR110" s="91" t="str">
        <f t="shared" si="169"/>
        <v/>
      </c>
      <c r="AS110" s="87" t="str">
        <f t="shared" si="121"/>
        <v/>
      </c>
      <c r="AT110" s="85" t="str">
        <f t="shared" si="122"/>
        <v/>
      </c>
      <c r="AU110" s="85" t="str">
        <f>IF(AR110&lt;Tablas!$G$19, 0, IF(AND(AR110&gt;=Tablas!$G$19, AR110&lt;Tablas!$G$20), 1,  IF(AND(AR110&gt;=Tablas!$G$20, AR110&lt;Tablas!$G$21), 2,  IF(AND(AR110&gt;=Tablas!$G$21, AR110&lt;=Tablas!$G$22), 3,  ""))))</f>
        <v/>
      </c>
      <c r="AV110" s="85" t="str">
        <f t="shared" si="170"/>
        <v/>
      </c>
      <c r="AW110" s="101" t="str">
        <f t="shared" si="171"/>
        <v/>
      </c>
      <c r="AX110" s="177"/>
      <c r="AY110" s="169"/>
      <c r="AZ110" s="158"/>
      <c r="BA110" s="169"/>
      <c r="BB110" s="182"/>
      <c r="BC110" s="182"/>
      <c r="BD110" s="185"/>
      <c r="BE110" s="185"/>
      <c r="BF110" s="158"/>
      <c r="BG110" s="191"/>
    </row>
    <row r="111" spans="1:59" s="121" customFormat="1" ht="15" customHeight="1" thickBot="1" x14ac:dyDescent="0.3">
      <c r="A111" s="167"/>
      <c r="B111" s="220"/>
      <c r="C111" s="161"/>
      <c r="D111" s="160"/>
      <c r="E111" s="161"/>
      <c r="F111" s="165"/>
      <c r="G111" s="149"/>
      <c r="H111" s="149"/>
      <c r="I111" s="149"/>
      <c r="J111" s="149"/>
      <c r="K111" s="149"/>
      <c r="L111" s="166"/>
      <c r="M111" s="166"/>
      <c r="N111" s="166"/>
      <c r="O111" s="166"/>
      <c r="P111" s="166"/>
      <c r="Q111" s="166"/>
      <c r="R111" s="177"/>
      <c r="S111" s="149"/>
      <c r="T111" s="149"/>
      <c r="U111" s="149"/>
      <c r="V111" s="149"/>
      <c r="W111" s="149"/>
      <c r="X111" s="165"/>
      <c r="Y111" s="165"/>
      <c r="Z111" s="172"/>
      <c r="AA111" s="188"/>
      <c r="AB111" s="172"/>
      <c r="AC111" s="172"/>
      <c r="AD111" s="175"/>
      <c r="AE111" s="66" t="s">
        <v>154</v>
      </c>
      <c r="AF111" s="134"/>
      <c r="AG111" s="67"/>
      <c r="AH111" s="69"/>
      <c r="AI111" s="69"/>
      <c r="AJ111" s="69"/>
      <c r="AK111" s="69"/>
      <c r="AL111" s="69"/>
      <c r="AM111" s="81" t="str">
        <f>IFERROR((Tablas!$C$1*VLOOKUP(AH111, tipo_control, 2, 0)+Tablas!$E$1*VLOOKUP(AI111, nat_control, 2, 0)+Tablas!$G$1*VLOOKUP(AJ111, ev_control, 2, 0)+Tablas!$I$1*VLOOKUP(AK111, frec_control, 2, 0)+Tablas!$K$1*VLOOKUP(AL111, doc_control, 2, 0))*0.1*peso_dis, "")</f>
        <v/>
      </c>
      <c r="AN111" s="69"/>
      <c r="AO111" s="69"/>
      <c r="AP111" s="69"/>
      <c r="AQ111" s="81" t="str">
        <f>IFERROR((Tablas!$C$9*VLOOKUP(AN111, amb_control, 2, 0)+Tablas!$E$9*VLOOKUP(AO111, ejec_control, 2, 0)+Tablas!$G$9*VLOOKUP(AP111, cub_control, 2, 0))*0.1*peso_ejec, "")</f>
        <v/>
      </c>
      <c r="AR111" s="93" t="str">
        <f t="shared" si="169"/>
        <v/>
      </c>
      <c r="AS111" s="87" t="str">
        <f t="shared" si="121"/>
        <v/>
      </c>
      <c r="AT111" s="94" t="str">
        <f t="shared" si="122"/>
        <v/>
      </c>
      <c r="AU111" s="94" t="str">
        <f>IF(AR111&lt;Tablas!$G$19, 0, IF(AND(AR111&gt;=Tablas!$G$19, AR111&lt;Tablas!$G$20), 1,  IF(AND(AR111&gt;=Tablas!$G$20, AR111&lt;Tablas!$G$21), 2,  IF(AND(AR111&gt;=Tablas!$G$21, AR111&lt;=Tablas!$G$22), 3,  ""))))</f>
        <v/>
      </c>
      <c r="AV111" s="94" t="str">
        <f t="shared" si="170"/>
        <v/>
      </c>
      <c r="AW111" s="102" t="str">
        <f t="shared" si="171"/>
        <v/>
      </c>
      <c r="AX111" s="157"/>
      <c r="AY111" s="170"/>
      <c r="AZ111" s="179"/>
      <c r="BA111" s="170"/>
      <c r="BB111" s="182"/>
      <c r="BC111" s="182"/>
      <c r="BD111" s="185"/>
      <c r="BE111" s="185"/>
      <c r="BF111" s="159"/>
      <c r="BG111" s="191"/>
    </row>
    <row r="112" spans="1:59" s="121" customFormat="1" ht="15" customHeight="1" x14ac:dyDescent="0.25">
      <c r="A112" s="167"/>
      <c r="B112" s="220"/>
      <c r="C112" s="161" t="s">
        <v>15</v>
      </c>
      <c r="D112" s="160" t="s">
        <v>245</v>
      </c>
      <c r="E112" s="149" t="s">
        <v>5</v>
      </c>
      <c r="F112" s="163">
        <f t="shared" ref="F112:F126" si="172">IFERROR(VLOOKUP(E112, tabla01, 3, 0), "")</f>
        <v>3</v>
      </c>
      <c r="G112" s="148" t="s">
        <v>54</v>
      </c>
      <c r="H112" s="148" t="s">
        <v>54</v>
      </c>
      <c r="I112" s="148" t="s">
        <v>55</v>
      </c>
      <c r="J112" s="148" t="s">
        <v>54</v>
      </c>
      <c r="K112" s="148" t="s">
        <v>55</v>
      </c>
      <c r="L112" s="165">
        <f>IFERROR(VLOOKUP(G112, tabla02, 2, 0), "")</f>
        <v>2</v>
      </c>
      <c r="M112" s="165">
        <f>IFERROR(VLOOKUP(H112, tabla02, 2, 0), "")</f>
        <v>2</v>
      </c>
      <c r="N112" s="165">
        <f>IFERROR(VLOOKUP(I112, tabla02, 2, 0), "")</f>
        <v>3</v>
      </c>
      <c r="O112" s="165">
        <f>IFERROR(VLOOKUP(J112, tabla02, 2, 0), "")</f>
        <v>2</v>
      </c>
      <c r="P112" s="165">
        <f>IFERROR(VLOOKUP(K112, tabla02, 2, 0), "")</f>
        <v>3</v>
      </c>
      <c r="Q112" s="165">
        <f>IF(SUM(L112:P112)=0, "", MAX(L112:P112))</f>
        <v>3</v>
      </c>
      <c r="R112" s="159" t="str">
        <f>IFERROR(VLOOKUP(Q112, tabla04, 3, 0), "")</f>
        <v>Moderado</v>
      </c>
      <c r="S112" s="148" t="s">
        <v>236</v>
      </c>
      <c r="T112" s="148"/>
      <c r="U112" s="148" t="s">
        <v>236</v>
      </c>
      <c r="V112" s="148"/>
      <c r="W112" s="148"/>
      <c r="X112" s="163" t="str">
        <f>IFERROR(VLOOKUP(CONCATENATE(F112, "-", Q112), cuadrante_sev, 3, 0), "")</f>
        <v>Alta</v>
      </c>
      <c r="Y112" s="163">
        <f t="shared" ref="Y112" si="173">IFERROR(IF(X112="Baja", 1, IF(X112="Moderada", 2, IF(X112="Alta", 3, IF(X112="Extrema", 4, "")))), "")</f>
        <v>3</v>
      </c>
      <c r="Z112" s="172"/>
      <c r="AA112" s="188"/>
      <c r="AB112" s="172"/>
      <c r="AC112" s="172"/>
      <c r="AD112" s="175"/>
      <c r="AE112" s="70" t="s">
        <v>113</v>
      </c>
      <c r="AF112" s="135" t="s">
        <v>246</v>
      </c>
      <c r="AG112" s="74"/>
      <c r="AH112" s="72" t="s">
        <v>69</v>
      </c>
      <c r="AI112" s="72" t="s">
        <v>71</v>
      </c>
      <c r="AJ112" s="72" t="s">
        <v>74</v>
      </c>
      <c r="AK112" s="72" t="s">
        <v>125</v>
      </c>
      <c r="AL112" s="72" t="s">
        <v>130</v>
      </c>
      <c r="AM112" s="82">
        <f>IFERROR((Tablas!$C$1*VLOOKUP(AH112, tipo_control, 2, 0)+Tablas!$E$1*VLOOKUP(AI112, nat_control, 2, 0)+Tablas!$G$1*VLOOKUP(AJ112, ev_control, 2, 0)+Tablas!$I$1*VLOOKUP(AK112, frec_control, 2, 0)+Tablas!$K$1*VLOOKUP(AL112, doc_control, 2, 0))*0.1*peso_dis, "")</f>
        <v>0.30000000000000004</v>
      </c>
      <c r="AN112" s="72" t="s">
        <v>138</v>
      </c>
      <c r="AO112" s="72" t="s">
        <v>143</v>
      </c>
      <c r="AP112" s="72" t="s">
        <v>146</v>
      </c>
      <c r="AQ112" s="82">
        <f>IFERROR((Tablas!$C$9*VLOOKUP(AN112, amb_control, 2, 0)+Tablas!$E$9*VLOOKUP(AO112, ejec_control, 2, 0)+Tablas!$G$9*VLOOKUP(AP112, cub_control, 2, 0))*0.1*peso_ejec, "")</f>
        <v>0.42000000000000004</v>
      </c>
      <c r="AR112" s="96">
        <f t="shared" si="169"/>
        <v>0.72000000000000008</v>
      </c>
      <c r="AS112" s="97" t="str">
        <f t="shared" si="121"/>
        <v>Sí</v>
      </c>
      <c r="AT112" s="87" t="str">
        <f t="shared" si="122"/>
        <v>No</v>
      </c>
      <c r="AU112" s="97">
        <f>IF(AR112&lt;Tablas!$G$19, 0, IF(AND(AR112&gt;=Tablas!$G$19, AR112&lt;Tablas!$G$20), 1,  IF(AND(AR112&gt;=Tablas!$G$20, AR112&lt;Tablas!$G$21), 2,  IF(AND(AR112&gt;=Tablas!$G$21, AR112&lt;=Tablas!$G$22), 3,  ""))))</f>
        <v>2</v>
      </c>
      <c r="AV112" s="97">
        <f t="shared" si="170"/>
        <v>2</v>
      </c>
      <c r="AW112" s="103" t="str">
        <f t="shared" si="171"/>
        <v/>
      </c>
      <c r="AX112" s="176" t="str">
        <f t="shared" ref="AX112" si="174">IFERROR(VLOOKUP(AY112, tabla04, 2, 0), "")</f>
        <v>Muy Baja</v>
      </c>
      <c r="AY112" s="168">
        <f>IF(F112="", "", IF((F112-MAX(AV112:AV116))&lt;=0, 1, F112-MAX(AV112:AV116)))</f>
        <v>1</v>
      </c>
      <c r="AZ112" s="178" t="str">
        <f t="shared" ref="AZ112" si="175">IFERROR(VLOOKUP(BA112, tabla04, 3, 0), "")</f>
        <v>Moderado</v>
      </c>
      <c r="BA112" s="168">
        <f>IF(Q112="", "", IF((Q112-MAX(AW112:AW116))&lt;=0, 1, Q112-MAX(AW112:AW116)))</f>
        <v>3</v>
      </c>
      <c r="BB112" s="182"/>
      <c r="BC112" s="182"/>
      <c r="BD112" s="185"/>
      <c r="BE112" s="185"/>
      <c r="BF112" s="158" t="str">
        <f t="shared" ref="BF112:BF114" si="176">IFERROR(VLOOKUP(CONCATENATE(AY112, "-", BA112), cuadrante_sev, 3, 0), "")</f>
        <v>Moderada</v>
      </c>
      <c r="BG112" s="191"/>
    </row>
    <row r="113" spans="1:59" s="121" customFormat="1" ht="15" customHeight="1" x14ac:dyDescent="0.25">
      <c r="A113" s="167"/>
      <c r="B113" s="220"/>
      <c r="C113" s="161"/>
      <c r="D113" s="160"/>
      <c r="E113" s="161"/>
      <c r="F113" s="164"/>
      <c r="G113" s="167"/>
      <c r="H113" s="167"/>
      <c r="I113" s="167"/>
      <c r="J113" s="167"/>
      <c r="K113" s="167"/>
      <c r="L113" s="166"/>
      <c r="M113" s="166"/>
      <c r="N113" s="166"/>
      <c r="O113" s="166"/>
      <c r="P113" s="166"/>
      <c r="Q113" s="166"/>
      <c r="R113" s="177"/>
      <c r="S113" s="167"/>
      <c r="T113" s="167"/>
      <c r="U113" s="167"/>
      <c r="V113" s="167"/>
      <c r="W113" s="167"/>
      <c r="X113" s="164"/>
      <c r="Y113" s="164"/>
      <c r="Z113" s="172"/>
      <c r="AA113" s="188"/>
      <c r="AB113" s="172"/>
      <c r="AC113" s="172"/>
      <c r="AD113" s="175"/>
      <c r="AE113" s="62" t="s">
        <v>114</v>
      </c>
      <c r="AF113" s="133"/>
      <c r="AG113" s="65"/>
      <c r="AH113" s="64"/>
      <c r="AI113" s="64"/>
      <c r="AJ113" s="64"/>
      <c r="AK113" s="64"/>
      <c r="AL113" s="64"/>
      <c r="AM113" s="80" t="str">
        <f>IFERROR((Tablas!$C$1*VLOOKUP(AH113, tipo_control, 2, 0)+Tablas!$E$1*VLOOKUP(AI113, nat_control, 2, 0)+Tablas!$G$1*VLOOKUP(AJ113, ev_control, 2, 0)+Tablas!$I$1*VLOOKUP(AK113, frec_control, 2, 0)+Tablas!$K$1*VLOOKUP(AL113, doc_control, 2, 0))*0.1*peso_dis, "")</f>
        <v/>
      </c>
      <c r="AN113" s="64"/>
      <c r="AO113" s="64"/>
      <c r="AP113" s="64"/>
      <c r="AQ113" s="80" t="str">
        <f>IFERROR((Tablas!$C$9*VLOOKUP(AN113, amb_control, 2, 0)+Tablas!$E$9*VLOOKUP(AO113, ejec_control, 2, 0)+Tablas!$G$9*VLOOKUP(AP113, cub_control, 2, 0))*0.1*peso_ejec, "")</f>
        <v/>
      </c>
      <c r="AR113" s="91" t="str">
        <f t="shared" si="169"/>
        <v/>
      </c>
      <c r="AS113" s="85" t="str">
        <f t="shared" si="121"/>
        <v/>
      </c>
      <c r="AT113" s="85" t="str">
        <f t="shared" si="122"/>
        <v/>
      </c>
      <c r="AU113" s="85" t="str">
        <f>IF(AR113&lt;Tablas!$G$19, 0, IF(AND(AR113&gt;=Tablas!$G$19, AR113&lt;Tablas!$G$20), 1,  IF(AND(AR113&gt;=Tablas!$G$20, AR113&lt;Tablas!$G$21), 2,  IF(AND(AR113&gt;=Tablas!$G$21, AR113&lt;=Tablas!$G$22), 3,  ""))))</f>
        <v/>
      </c>
      <c r="AV113" s="85" t="str">
        <f t="shared" si="170"/>
        <v/>
      </c>
      <c r="AW113" s="101" t="str">
        <f t="shared" si="171"/>
        <v/>
      </c>
      <c r="AX113" s="177"/>
      <c r="AY113" s="169"/>
      <c r="AZ113" s="158"/>
      <c r="BA113" s="169"/>
      <c r="BB113" s="182"/>
      <c r="BC113" s="182"/>
      <c r="BD113" s="185"/>
      <c r="BE113" s="185"/>
      <c r="BF113" s="158" t="str">
        <f t="shared" si="176"/>
        <v/>
      </c>
      <c r="BG113" s="191"/>
    </row>
    <row r="114" spans="1:59" s="121" customFormat="1" ht="15" customHeight="1" x14ac:dyDescent="0.25">
      <c r="A114" s="167"/>
      <c r="B114" s="220"/>
      <c r="C114" s="161"/>
      <c r="D114" s="160"/>
      <c r="E114" s="161"/>
      <c r="F114" s="164"/>
      <c r="G114" s="167"/>
      <c r="H114" s="167"/>
      <c r="I114" s="167"/>
      <c r="J114" s="167"/>
      <c r="K114" s="167"/>
      <c r="L114" s="166"/>
      <c r="M114" s="166"/>
      <c r="N114" s="166"/>
      <c r="O114" s="166"/>
      <c r="P114" s="166"/>
      <c r="Q114" s="166"/>
      <c r="R114" s="177"/>
      <c r="S114" s="167"/>
      <c r="T114" s="167"/>
      <c r="U114" s="167"/>
      <c r="V114" s="167"/>
      <c r="W114" s="167"/>
      <c r="X114" s="164"/>
      <c r="Y114" s="164"/>
      <c r="Z114" s="172"/>
      <c r="AA114" s="188"/>
      <c r="AB114" s="172"/>
      <c r="AC114" s="172"/>
      <c r="AD114" s="175"/>
      <c r="AE114" s="62" t="s">
        <v>115</v>
      </c>
      <c r="AF114" s="133"/>
      <c r="AG114" s="65"/>
      <c r="AH114" s="64"/>
      <c r="AI114" s="64"/>
      <c r="AJ114" s="64"/>
      <c r="AK114" s="64"/>
      <c r="AL114" s="64"/>
      <c r="AM114" s="80" t="str">
        <f>IFERROR((Tablas!$C$1*VLOOKUP(AH114, tipo_control, 2, 0)+Tablas!$E$1*VLOOKUP(AI114, nat_control, 2, 0)+Tablas!$G$1*VLOOKUP(AJ114, ev_control, 2, 0)+Tablas!$I$1*VLOOKUP(AK114, frec_control, 2, 0)+Tablas!$K$1*VLOOKUP(AL114, doc_control, 2, 0))*0.1*peso_dis, "")</f>
        <v/>
      </c>
      <c r="AN114" s="64"/>
      <c r="AO114" s="64"/>
      <c r="AP114" s="64"/>
      <c r="AQ114" s="80" t="str">
        <f>IFERROR((Tablas!$C$9*VLOOKUP(AN114, amb_control, 2, 0)+Tablas!$E$9*VLOOKUP(AO114, ejec_control, 2, 0)+Tablas!$G$9*VLOOKUP(AP114, cub_control, 2, 0))*0.1*peso_ejec, "")</f>
        <v/>
      </c>
      <c r="AR114" s="91" t="str">
        <f t="shared" si="169"/>
        <v/>
      </c>
      <c r="AS114" s="85" t="str">
        <f t="shared" si="121"/>
        <v/>
      </c>
      <c r="AT114" s="85" t="str">
        <f t="shared" si="122"/>
        <v/>
      </c>
      <c r="AU114" s="85" t="str">
        <f>IF(AR114&lt;Tablas!$G$19, 0, IF(AND(AR114&gt;=Tablas!$G$19, AR114&lt;Tablas!$G$20), 1,  IF(AND(AR114&gt;=Tablas!$G$20, AR114&lt;Tablas!$G$21), 2,  IF(AND(AR114&gt;=Tablas!$G$21, AR114&lt;=Tablas!$G$22), 3,  ""))))</f>
        <v/>
      </c>
      <c r="AV114" s="85" t="str">
        <f t="shared" si="170"/>
        <v/>
      </c>
      <c r="AW114" s="101" t="str">
        <f t="shared" si="171"/>
        <v/>
      </c>
      <c r="AX114" s="177"/>
      <c r="AY114" s="169"/>
      <c r="AZ114" s="158"/>
      <c r="BA114" s="169"/>
      <c r="BB114" s="182"/>
      <c r="BC114" s="182"/>
      <c r="BD114" s="185"/>
      <c r="BE114" s="185"/>
      <c r="BF114" s="158" t="str">
        <f t="shared" si="176"/>
        <v/>
      </c>
      <c r="BG114" s="191"/>
    </row>
    <row r="115" spans="1:59" s="121" customFormat="1" ht="15" customHeight="1" x14ac:dyDescent="0.25">
      <c r="A115" s="167"/>
      <c r="B115" s="220"/>
      <c r="C115" s="161"/>
      <c r="D115" s="160"/>
      <c r="E115" s="161"/>
      <c r="F115" s="164"/>
      <c r="G115" s="167"/>
      <c r="H115" s="167"/>
      <c r="I115" s="167"/>
      <c r="J115" s="167"/>
      <c r="K115" s="167"/>
      <c r="L115" s="166"/>
      <c r="M115" s="166"/>
      <c r="N115" s="166"/>
      <c r="O115" s="166"/>
      <c r="P115" s="166"/>
      <c r="Q115" s="166"/>
      <c r="R115" s="177"/>
      <c r="S115" s="167"/>
      <c r="T115" s="167"/>
      <c r="U115" s="167"/>
      <c r="V115" s="167"/>
      <c r="W115" s="167"/>
      <c r="X115" s="164"/>
      <c r="Y115" s="164"/>
      <c r="Z115" s="172"/>
      <c r="AA115" s="188"/>
      <c r="AB115" s="172"/>
      <c r="AC115" s="172"/>
      <c r="AD115" s="175"/>
      <c r="AE115" s="62" t="s">
        <v>153</v>
      </c>
      <c r="AF115" s="133"/>
      <c r="AG115" s="65"/>
      <c r="AH115" s="64"/>
      <c r="AI115" s="64"/>
      <c r="AJ115" s="64"/>
      <c r="AK115" s="64"/>
      <c r="AL115" s="64"/>
      <c r="AM115" s="80" t="str">
        <f>IFERROR((Tablas!$C$1*VLOOKUP(AH115, tipo_control, 2, 0)+Tablas!$E$1*VLOOKUP(AI115, nat_control, 2, 0)+Tablas!$G$1*VLOOKUP(AJ115, ev_control, 2, 0)+Tablas!$I$1*VLOOKUP(AK115, frec_control, 2, 0)+Tablas!$K$1*VLOOKUP(AL115, doc_control, 2, 0))*0.1*peso_dis, "")</f>
        <v/>
      </c>
      <c r="AN115" s="64"/>
      <c r="AO115" s="64"/>
      <c r="AP115" s="64"/>
      <c r="AQ115" s="80" t="str">
        <f>IFERROR((Tablas!$C$9*VLOOKUP(AN115, amb_control, 2, 0)+Tablas!$E$9*VLOOKUP(AO115, ejec_control, 2, 0)+Tablas!$G$9*VLOOKUP(AP115, cub_control, 2, 0))*0.1*peso_ejec, "")</f>
        <v/>
      </c>
      <c r="AR115" s="91" t="str">
        <f t="shared" si="169"/>
        <v/>
      </c>
      <c r="AS115" s="85" t="str">
        <f t="shared" si="121"/>
        <v/>
      </c>
      <c r="AT115" s="85" t="str">
        <f t="shared" si="122"/>
        <v/>
      </c>
      <c r="AU115" s="85" t="str">
        <f>IF(AR115&lt;Tablas!$G$19, 0, IF(AND(AR115&gt;=Tablas!$G$19, AR115&lt;Tablas!$G$20), 1,  IF(AND(AR115&gt;=Tablas!$G$20, AR115&lt;Tablas!$G$21), 2,  IF(AND(AR115&gt;=Tablas!$G$21, AR115&lt;=Tablas!$G$22), 3,  ""))))</f>
        <v/>
      </c>
      <c r="AV115" s="85" t="str">
        <f t="shared" si="170"/>
        <v/>
      </c>
      <c r="AW115" s="101" t="str">
        <f t="shared" si="171"/>
        <v/>
      </c>
      <c r="AX115" s="177"/>
      <c r="AY115" s="169"/>
      <c r="AZ115" s="158"/>
      <c r="BA115" s="169"/>
      <c r="BB115" s="182"/>
      <c r="BC115" s="182"/>
      <c r="BD115" s="185"/>
      <c r="BE115" s="185"/>
      <c r="BF115" s="158"/>
      <c r="BG115" s="191"/>
    </row>
    <row r="116" spans="1:59" s="121" customFormat="1" ht="15" customHeight="1" thickBot="1" x14ac:dyDescent="0.3">
      <c r="A116" s="167"/>
      <c r="B116" s="220"/>
      <c r="C116" s="161"/>
      <c r="D116" s="160"/>
      <c r="E116" s="161"/>
      <c r="F116" s="165"/>
      <c r="G116" s="149"/>
      <c r="H116" s="149"/>
      <c r="I116" s="149"/>
      <c r="J116" s="149"/>
      <c r="K116" s="149"/>
      <c r="L116" s="166"/>
      <c r="M116" s="166"/>
      <c r="N116" s="166"/>
      <c r="O116" s="166"/>
      <c r="P116" s="166"/>
      <c r="Q116" s="166"/>
      <c r="R116" s="177"/>
      <c r="S116" s="149"/>
      <c r="T116" s="149"/>
      <c r="U116" s="149"/>
      <c r="V116" s="149"/>
      <c r="W116" s="149"/>
      <c r="X116" s="165"/>
      <c r="Y116" s="165"/>
      <c r="Z116" s="172"/>
      <c r="AA116" s="188"/>
      <c r="AB116" s="172"/>
      <c r="AC116" s="172"/>
      <c r="AD116" s="175"/>
      <c r="AE116" s="66" t="s">
        <v>154</v>
      </c>
      <c r="AF116" s="134"/>
      <c r="AG116" s="67"/>
      <c r="AH116" s="69"/>
      <c r="AI116" s="69"/>
      <c r="AJ116" s="69"/>
      <c r="AK116" s="69"/>
      <c r="AL116" s="69"/>
      <c r="AM116" s="81" t="str">
        <f>IFERROR((Tablas!$C$1*VLOOKUP(AH116, tipo_control, 2, 0)+Tablas!$E$1*VLOOKUP(AI116, nat_control, 2, 0)+Tablas!$G$1*VLOOKUP(AJ116, ev_control, 2, 0)+Tablas!$I$1*VLOOKUP(AK116, frec_control, 2, 0)+Tablas!$K$1*VLOOKUP(AL116, doc_control, 2, 0))*0.1*peso_dis, "")</f>
        <v/>
      </c>
      <c r="AN116" s="69"/>
      <c r="AO116" s="69"/>
      <c r="AP116" s="69"/>
      <c r="AQ116" s="81" t="str">
        <f>IFERROR((Tablas!$C$9*VLOOKUP(AN116, amb_control, 2, 0)+Tablas!$E$9*VLOOKUP(AO116, ejec_control, 2, 0)+Tablas!$G$9*VLOOKUP(AP116, cub_control, 2, 0))*0.1*peso_ejec, "")</f>
        <v/>
      </c>
      <c r="AR116" s="93" t="str">
        <f t="shared" si="169"/>
        <v/>
      </c>
      <c r="AS116" s="94" t="str">
        <f t="shared" si="121"/>
        <v/>
      </c>
      <c r="AT116" s="94" t="str">
        <f t="shared" si="122"/>
        <v/>
      </c>
      <c r="AU116" s="94" t="str">
        <f>IF(AR116&lt;Tablas!$G$19, 0, IF(AND(AR116&gt;=Tablas!$G$19, AR116&lt;Tablas!$G$20), 1,  IF(AND(AR116&gt;=Tablas!$G$20, AR116&lt;Tablas!$G$21), 2,  IF(AND(AR116&gt;=Tablas!$G$21, AR116&lt;=Tablas!$G$22), 3,  ""))))</f>
        <v/>
      </c>
      <c r="AV116" s="94" t="str">
        <f t="shared" si="170"/>
        <v/>
      </c>
      <c r="AW116" s="102" t="str">
        <f t="shared" si="171"/>
        <v/>
      </c>
      <c r="AX116" s="157"/>
      <c r="AY116" s="170"/>
      <c r="AZ116" s="179"/>
      <c r="BA116" s="170"/>
      <c r="BB116" s="182"/>
      <c r="BC116" s="182"/>
      <c r="BD116" s="185"/>
      <c r="BE116" s="185"/>
      <c r="BF116" s="159"/>
      <c r="BG116" s="191"/>
    </row>
    <row r="117" spans="1:59" s="121" customFormat="1" ht="15" customHeight="1" x14ac:dyDescent="0.25">
      <c r="A117" s="167"/>
      <c r="B117" s="220"/>
      <c r="C117" s="161" t="s">
        <v>16</v>
      </c>
      <c r="D117" s="160" t="s">
        <v>250</v>
      </c>
      <c r="E117" s="149" t="s">
        <v>5</v>
      </c>
      <c r="F117" s="163">
        <f t="shared" ref="F117:F126" si="177">IFERROR(VLOOKUP(E117, tabla01, 3, 0), "")</f>
        <v>3</v>
      </c>
      <c r="G117" s="148" t="s">
        <v>55</v>
      </c>
      <c r="H117" s="148" t="s">
        <v>56</v>
      </c>
      <c r="I117" s="148" t="s">
        <v>55</v>
      </c>
      <c r="J117" s="148" t="s">
        <v>54</v>
      </c>
      <c r="K117" s="148" t="s">
        <v>55</v>
      </c>
      <c r="L117" s="165">
        <f>IFERROR(VLOOKUP(G117, tabla02, 2, 0), "")</f>
        <v>3</v>
      </c>
      <c r="M117" s="165">
        <f>IFERROR(VLOOKUP(H117, tabla02, 2, 0), "")</f>
        <v>4</v>
      </c>
      <c r="N117" s="165">
        <f>IFERROR(VLOOKUP(I117, tabla02, 2, 0), "")</f>
        <v>3</v>
      </c>
      <c r="O117" s="165">
        <f>IFERROR(VLOOKUP(J117, tabla02, 2, 0), "")</f>
        <v>2</v>
      </c>
      <c r="P117" s="165">
        <f>IFERROR(VLOOKUP(K117, tabla02, 2, 0), "")</f>
        <v>3</v>
      </c>
      <c r="Q117" s="165">
        <f t="shared" ref="Q117" si="178">IF(SUM(L117:P117)=0, "", MAX(L117:P117))</f>
        <v>4</v>
      </c>
      <c r="R117" s="159" t="str">
        <f>IFERROR(VLOOKUP(Q117, tabla04, 3, 0), "")</f>
        <v>Mayor</v>
      </c>
      <c r="S117" s="148"/>
      <c r="T117" s="148"/>
      <c r="U117" s="148" t="s">
        <v>236</v>
      </c>
      <c r="V117" s="148"/>
      <c r="W117" s="148"/>
      <c r="X117" s="163" t="str">
        <f>IFERROR(VLOOKUP(CONCATENATE(F117, "-", Q117), cuadrante_sev, 3, 0), "")</f>
        <v>Extrema</v>
      </c>
      <c r="Y117" s="163">
        <f t="shared" ref="Y117" si="179">IFERROR(IF(X117="Baja", 1, IF(X117="Moderada", 2, IF(X117="Alta", 3, IF(X117="Extrema", 4, "")))), "")</f>
        <v>4</v>
      </c>
      <c r="Z117" s="172"/>
      <c r="AA117" s="188"/>
      <c r="AB117" s="172"/>
      <c r="AC117" s="172"/>
      <c r="AD117" s="175"/>
      <c r="AE117" s="70" t="s">
        <v>113</v>
      </c>
      <c r="AF117" s="135" t="s">
        <v>252</v>
      </c>
      <c r="AG117" s="60"/>
      <c r="AH117" s="61" t="s">
        <v>69</v>
      </c>
      <c r="AI117" s="61" t="s">
        <v>72</v>
      </c>
      <c r="AJ117" s="61" t="s">
        <v>74</v>
      </c>
      <c r="AK117" s="61" t="s">
        <v>127</v>
      </c>
      <c r="AL117" s="61" t="s">
        <v>130</v>
      </c>
      <c r="AM117" s="82">
        <f>IFERROR((Tablas!$C$1*VLOOKUP(AH117, tipo_control, 2, 0)+Tablas!$E$1*VLOOKUP(AI117, nat_control, 2, 0)+Tablas!$G$1*VLOOKUP(AJ117, ev_control, 2, 0)+Tablas!$I$1*VLOOKUP(AK117, frec_control, 2, 0)+Tablas!$K$1*VLOOKUP(AL117, doc_control, 2, 0))*0.1*peso_dis, "")</f>
        <v>0.4</v>
      </c>
      <c r="AN117" s="61" t="s">
        <v>138</v>
      </c>
      <c r="AO117" s="61" t="s">
        <v>142</v>
      </c>
      <c r="AP117" s="61" t="s">
        <v>146</v>
      </c>
      <c r="AQ117" s="82">
        <f>IFERROR((Tablas!$C$9*VLOOKUP(AN117, amb_control, 2, 0)+Tablas!$E$9*VLOOKUP(AO117, ejec_control, 2, 0)+Tablas!$G$9*VLOOKUP(AP117, cub_control, 2, 0))*0.1*peso_ejec, "")</f>
        <v>0.3</v>
      </c>
      <c r="AR117" s="96">
        <f t="shared" si="169"/>
        <v>0.7</v>
      </c>
      <c r="AS117" s="97" t="str">
        <f t="shared" si="121"/>
        <v>Sí</v>
      </c>
      <c r="AT117" s="87" t="str">
        <f t="shared" si="122"/>
        <v>No</v>
      </c>
      <c r="AU117" s="97">
        <f>IF(AR117&lt;Tablas!$G$19, 0, IF(AND(AR117&gt;=Tablas!$G$19, AR117&lt;Tablas!$G$20), 1,  IF(AND(AR117&gt;=Tablas!$G$20, AR117&lt;Tablas!$G$21), 2,  IF(AND(AR117&gt;=Tablas!$G$21, AR117&lt;=Tablas!$G$22), 3,  ""))))</f>
        <v>2</v>
      </c>
      <c r="AV117" s="97">
        <f t="shared" si="170"/>
        <v>2</v>
      </c>
      <c r="AW117" s="103" t="str">
        <f t="shared" si="171"/>
        <v/>
      </c>
      <c r="AX117" s="176" t="str">
        <f t="shared" ref="AX117" si="180">IFERROR(VLOOKUP(AY117, tabla04, 2, 0), "")</f>
        <v>Muy Baja</v>
      </c>
      <c r="AY117" s="168">
        <f>IF(F117="", "", IF((F117-MAX(AV117:AV121))&lt;=0, 1, F117-MAX(AV117:AV121)))</f>
        <v>1</v>
      </c>
      <c r="AZ117" s="178" t="str">
        <f t="shared" ref="AZ117" si="181">IFERROR(VLOOKUP(BA117, tabla04, 3, 0), "")</f>
        <v>Mayor</v>
      </c>
      <c r="BA117" s="168">
        <f>IF(Q117="", "", IF((Q117-MAX(AW117:AW121))&lt;=0, 1, Q117-MAX(AW117:AW121)))</f>
        <v>4</v>
      </c>
      <c r="BB117" s="182"/>
      <c r="BC117" s="182"/>
      <c r="BD117" s="185"/>
      <c r="BE117" s="185"/>
      <c r="BF117" s="158" t="str">
        <f t="shared" ref="BF117:BF119" si="182">IFERROR(VLOOKUP(CONCATENATE(AY117, "-", BA117), cuadrante_sev, 3, 0), "")</f>
        <v>Alta</v>
      </c>
      <c r="BG117" s="191"/>
    </row>
    <row r="118" spans="1:59" s="121" customFormat="1" ht="15" customHeight="1" x14ac:dyDescent="0.25">
      <c r="A118" s="167"/>
      <c r="B118" s="220"/>
      <c r="C118" s="161"/>
      <c r="D118" s="160"/>
      <c r="E118" s="161"/>
      <c r="F118" s="164"/>
      <c r="G118" s="167"/>
      <c r="H118" s="167"/>
      <c r="I118" s="167"/>
      <c r="J118" s="167"/>
      <c r="K118" s="167"/>
      <c r="L118" s="166"/>
      <c r="M118" s="166"/>
      <c r="N118" s="166"/>
      <c r="O118" s="166"/>
      <c r="P118" s="166"/>
      <c r="Q118" s="166"/>
      <c r="R118" s="177"/>
      <c r="S118" s="167"/>
      <c r="T118" s="167"/>
      <c r="U118" s="167"/>
      <c r="V118" s="167"/>
      <c r="W118" s="167"/>
      <c r="X118" s="164"/>
      <c r="Y118" s="164"/>
      <c r="Z118" s="172"/>
      <c r="AA118" s="188"/>
      <c r="AB118" s="172"/>
      <c r="AC118" s="172"/>
      <c r="AD118" s="175"/>
      <c r="AE118" s="62" t="s">
        <v>114</v>
      </c>
      <c r="AF118" s="133"/>
      <c r="AG118" s="63"/>
      <c r="AH118" s="64"/>
      <c r="AI118" s="64"/>
      <c r="AJ118" s="64"/>
      <c r="AK118" s="64"/>
      <c r="AL118" s="64"/>
      <c r="AM118" s="80" t="str">
        <f>IFERROR((Tablas!$C$1*VLOOKUP(AH118, tipo_control, 2, 0)+Tablas!$E$1*VLOOKUP(AI118, nat_control, 2, 0)+Tablas!$G$1*VLOOKUP(AJ118, ev_control, 2, 0)+Tablas!$I$1*VLOOKUP(AK118, frec_control, 2, 0)+Tablas!$K$1*VLOOKUP(AL118, doc_control, 2, 0))*0.1*peso_dis, "")</f>
        <v/>
      </c>
      <c r="AN118" s="64"/>
      <c r="AO118" s="64"/>
      <c r="AP118" s="64"/>
      <c r="AQ118" s="80" t="str">
        <f>IFERROR((Tablas!$C$9*VLOOKUP(AN118, amb_control, 2, 0)+Tablas!$E$9*VLOOKUP(AO118, ejec_control, 2, 0)+Tablas!$G$9*VLOOKUP(AP118, cub_control, 2, 0))*0.1*peso_ejec, "")</f>
        <v/>
      </c>
      <c r="AR118" s="91" t="str">
        <f t="shared" si="169"/>
        <v/>
      </c>
      <c r="AS118" s="85" t="str">
        <f t="shared" si="121"/>
        <v/>
      </c>
      <c r="AT118" s="85" t="str">
        <f t="shared" si="122"/>
        <v/>
      </c>
      <c r="AU118" s="85" t="str">
        <f>IF(AR118&lt;Tablas!$G$19, 0, IF(AND(AR118&gt;=Tablas!$G$19, AR118&lt;Tablas!$G$20), 1,  IF(AND(AR118&gt;=Tablas!$G$20, AR118&lt;Tablas!$G$21), 2,  IF(AND(AR118&gt;=Tablas!$G$21, AR118&lt;=Tablas!$G$22), 3,  ""))))</f>
        <v/>
      </c>
      <c r="AV118" s="85" t="str">
        <f t="shared" si="170"/>
        <v/>
      </c>
      <c r="AW118" s="101" t="str">
        <f t="shared" si="171"/>
        <v/>
      </c>
      <c r="AX118" s="177"/>
      <c r="AY118" s="169"/>
      <c r="AZ118" s="158"/>
      <c r="BA118" s="169"/>
      <c r="BB118" s="182"/>
      <c r="BC118" s="182"/>
      <c r="BD118" s="185"/>
      <c r="BE118" s="185"/>
      <c r="BF118" s="158" t="str">
        <f t="shared" si="182"/>
        <v/>
      </c>
      <c r="BG118" s="191"/>
    </row>
    <row r="119" spans="1:59" s="121" customFormat="1" ht="15" customHeight="1" x14ac:dyDescent="0.25">
      <c r="A119" s="167"/>
      <c r="B119" s="220"/>
      <c r="C119" s="161"/>
      <c r="D119" s="160"/>
      <c r="E119" s="161"/>
      <c r="F119" s="164"/>
      <c r="G119" s="167"/>
      <c r="H119" s="167"/>
      <c r="I119" s="167"/>
      <c r="J119" s="167"/>
      <c r="K119" s="167"/>
      <c r="L119" s="166"/>
      <c r="M119" s="166"/>
      <c r="N119" s="166"/>
      <c r="O119" s="166"/>
      <c r="P119" s="166"/>
      <c r="Q119" s="166"/>
      <c r="R119" s="177"/>
      <c r="S119" s="167"/>
      <c r="T119" s="167"/>
      <c r="U119" s="167"/>
      <c r="V119" s="167"/>
      <c r="W119" s="167"/>
      <c r="X119" s="164"/>
      <c r="Y119" s="164"/>
      <c r="Z119" s="172"/>
      <c r="AA119" s="188"/>
      <c r="AB119" s="172"/>
      <c r="AC119" s="172"/>
      <c r="AD119" s="175"/>
      <c r="AE119" s="62" t="s">
        <v>115</v>
      </c>
      <c r="AF119" s="133"/>
      <c r="AG119" s="63"/>
      <c r="AH119" s="64"/>
      <c r="AI119" s="64"/>
      <c r="AJ119" s="64"/>
      <c r="AK119" s="64"/>
      <c r="AL119" s="64"/>
      <c r="AM119" s="80" t="str">
        <f>IFERROR((Tablas!$C$1*VLOOKUP(AH119, tipo_control, 2, 0)+Tablas!$E$1*VLOOKUP(AI119, nat_control, 2, 0)+Tablas!$G$1*VLOOKUP(AJ119, ev_control, 2, 0)+Tablas!$I$1*VLOOKUP(AK119, frec_control, 2, 0)+Tablas!$K$1*VLOOKUP(AL119, doc_control, 2, 0))*0.1*peso_dis, "")</f>
        <v/>
      </c>
      <c r="AN119" s="64"/>
      <c r="AO119" s="64"/>
      <c r="AP119" s="64"/>
      <c r="AQ119" s="80" t="str">
        <f>IFERROR((Tablas!$C$9*VLOOKUP(AN119, amb_control, 2, 0)+Tablas!$E$9*VLOOKUP(AO119, ejec_control, 2, 0)+Tablas!$G$9*VLOOKUP(AP119, cub_control, 2, 0))*0.1*peso_ejec, "")</f>
        <v/>
      </c>
      <c r="AR119" s="91" t="str">
        <f t="shared" si="169"/>
        <v/>
      </c>
      <c r="AS119" s="85" t="str">
        <f t="shared" si="121"/>
        <v/>
      </c>
      <c r="AT119" s="85" t="str">
        <f t="shared" si="122"/>
        <v/>
      </c>
      <c r="AU119" s="85" t="str">
        <f>IF(AR119&lt;Tablas!$G$19, 0, IF(AND(AR119&gt;=Tablas!$G$19, AR119&lt;Tablas!$G$20), 1,  IF(AND(AR119&gt;=Tablas!$G$20, AR119&lt;Tablas!$G$21), 2,  IF(AND(AR119&gt;=Tablas!$G$21, AR119&lt;=Tablas!$G$22), 3,  ""))))</f>
        <v/>
      </c>
      <c r="AV119" s="85" t="str">
        <f t="shared" si="170"/>
        <v/>
      </c>
      <c r="AW119" s="101" t="str">
        <f t="shared" si="171"/>
        <v/>
      </c>
      <c r="AX119" s="177"/>
      <c r="AY119" s="169"/>
      <c r="AZ119" s="158"/>
      <c r="BA119" s="169"/>
      <c r="BB119" s="182"/>
      <c r="BC119" s="182"/>
      <c r="BD119" s="185"/>
      <c r="BE119" s="185"/>
      <c r="BF119" s="158" t="str">
        <f t="shared" si="182"/>
        <v/>
      </c>
      <c r="BG119" s="191"/>
    </row>
    <row r="120" spans="1:59" s="121" customFormat="1" ht="15" customHeight="1" x14ac:dyDescent="0.25">
      <c r="A120" s="167"/>
      <c r="B120" s="220"/>
      <c r="C120" s="161"/>
      <c r="D120" s="160"/>
      <c r="E120" s="161"/>
      <c r="F120" s="164"/>
      <c r="G120" s="167"/>
      <c r="H120" s="167"/>
      <c r="I120" s="167"/>
      <c r="J120" s="167"/>
      <c r="K120" s="167"/>
      <c r="L120" s="166"/>
      <c r="M120" s="166"/>
      <c r="N120" s="166"/>
      <c r="O120" s="166"/>
      <c r="P120" s="166"/>
      <c r="Q120" s="166"/>
      <c r="R120" s="177"/>
      <c r="S120" s="167"/>
      <c r="T120" s="167"/>
      <c r="U120" s="167"/>
      <c r="V120" s="167"/>
      <c r="W120" s="167"/>
      <c r="X120" s="164"/>
      <c r="Y120" s="164"/>
      <c r="Z120" s="172"/>
      <c r="AA120" s="188"/>
      <c r="AB120" s="172"/>
      <c r="AC120" s="172"/>
      <c r="AD120" s="175"/>
      <c r="AE120" s="62" t="s">
        <v>153</v>
      </c>
      <c r="AF120" s="133"/>
      <c r="AG120" s="65"/>
      <c r="AH120" s="64"/>
      <c r="AI120" s="64"/>
      <c r="AJ120" s="64"/>
      <c r="AK120" s="64"/>
      <c r="AL120" s="64"/>
      <c r="AM120" s="80" t="str">
        <f>IFERROR((Tablas!$C$1*VLOOKUP(AH120, tipo_control, 2, 0)+Tablas!$E$1*VLOOKUP(AI120, nat_control, 2, 0)+Tablas!$G$1*VLOOKUP(AJ120, ev_control, 2, 0)+Tablas!$I$1*VLOOKUP(AK120, frec_control, 2, 0)+Tablas!$K$1*VLOOKUP(AL120, doc_control, 2, 0))*0.1*peso_dis, "")</f>
        <v/>
      </c>
      <c r="AN120" s="64"/>
      <c r="AO120" s="64"/>
      <c r="AP120" s="64"/>
      <c r="AQ120" s="80" t="str">
        <f>IFERROR((Tablas!$C$9*VLOOKUP(AN120, amb_control, 2, 0)+Tablas!$E$9*VLOOKUP(AO120, ejec_control, 2, 0)+Tablas!$G$9*VLOOKUP(AP120, cub_control, 2, 0))*0.1*peso_ejec, "")</f>
        <v/>
      </c>
      <c r="AR120" s="91" t="str">
        <f t="shared" si="169"/>
        <v/>
      </c>
      <c r="AS120" s="85" t="str">
        <f t="shared" si="121"/>
        <v/>
      </c>
      <c r="AT120" s="85" t="str">
        <f t="shared" si="122"/>
        <v/>
      </c>
      <c r="AU120" s="85" t="str">
        <f>IF(AR120&lt;Tablas!$G$19, 0, IF(AND(AR120&gt;=Tablas!$G$19, AR120&lt;Tablas!$G$20), 1,  IF(AND(AR120&gt;=Tablas!$G$20, AR120&lt;Tablas!$G$21), 2,  IF(AND(AR120&gt;=Tablas!$G$21, AR120&lt;=Tablas!$G$22), 3,  ""))))</f>
        <v/>
      </c>
      <c r="AV120" s="85" t="str">
        <f t="shared" si="170"/>
        <v/>
      </c>
      <c r="AW120" s="101" t="str">
        <f t="shared" si="171"/>
        <v/>
      </c>
      <c r="AX120" s="177"/>
      <c r="AY120" s="169"/>
      <c r="AZ120" s="158"/>
      <c r="BA120" s="169"/>
      <c r="BB120" s="182"/>
      <c r="BC120" s="182"/>
      <c r="BD120" s="185"/>
      <c r="BE120" s="185"/>
      <c r="BF120" s="158"/>
      <c r="BG120" s="191"/>
    </row>
    <row r="121" spans="1:59" s="121" customFormat="1" ht="15" customHeight="1" thickBot="1" x14ac:dyDescent="0.3">
      <c r="A121" s="167"/>
      <c r="B121" s="220"/>
      <c r="C121" s="161"/>
      <c r="D121" s="160"/>
      <c r="E121" s="161"/>
      <c r="F121" s="165"/>
      <c r="G121" s="149"/>
      <c r="H121" s="149"/>
      <c r="I121" s="149"/>
      <c r="J121" s="149"/>
      <c r="K121" s="149"/>
      <c r="L121" s="166"/>
      <c r="M121" s="166"/>
      <c r="N121" s="166"/>
      <c r="O121" s="166"/>
      <c r="P121" s="166"/>
      <c r="Q121" s="166"/>
      <c r="R121" s="177"/>
      <c r="S121" s="149"/>
      <c r="T121" s="149"/>
      <c r="U121" s="149"/>
      <c r="V121" s="149"/>
      <c r="W121" s="149"/>
      <c r="X121" s="165"/>
      <c r="Y121" s="165"/>
      <c r="Z121" s="172"/>
      <c r="AA121" s="188"/>
      <c r="AB121" s="172"/>
      <c r="AC121" s="172"/>
      <c r="AD121" s="175"/>
      <c r="AE121" s="66" t="s">
        <v>154</v>
      </c>
      <c r="AF121" s="134"/>
      <c r="AG121" s="67"/>
      <c r="AH121" s="69"/>
      <c r="AI121" s="69"/>
      <c r="AJ121" s="69"/>
      <c r="AK121" s="69"/>
      <c r="AL121" s="69"/>
      <c r="AM121" s="81" t="str">
        <f>IFERROR((Tablas!$C$1*VLOOKUP(AH121, tipo_control, 2, 0)+Tablas!$E$1*VLOOKUP(AI121, nat_control, 2, 0)+Tablas!$G$1*VLOOKUP(AJ121, ev_control, 2, 0)+Tablas!$I$1*VLOOKUP(AK121, frec_control, 2, 0)+Tablas!$K$1*VLOOKUP(AL121, doc_control, 2, 0))*0.1*peso_dis, "")</f>
        <v/>
      </c>
      <c r="AN121" s="69"/>
      <c r="AO121" s="69"/>
      <c r="AP121" s="69"/>
      <c r="AQ121" s="81" t="str">
        <f>IFERROR((Tablas!$C$9*VLOOKUP(AN121, amb_control, 2, 0)+Tablas!$E$9*VLOOKUP(AO121, ejec_control, 2, 0)+Tablas!$G$9*VLOOKUP(AP121, cub_control, 2, 0))*0.1*peso_ejec, "")</f>
        <v/>
      </c>
      <c r="AR121" s="93" t="str">
        <f t="shared" si="169"/>
        <v/>
      </c>
      <c r="AS121" s="94" t="str">
        <f t="shared" si="121"/>
        <v/>
      </c>
      <c r="AT121" s="94" t="str">
        <f t="shared" si="122"/>
        <v/>
      </c>
      <c r="AU121" s="94" t="str">
        <f>IF(AR121&lt;Tablas!$G$19, 0, IF(AND(AR121&gt;=Tablas!$G$19, AR121&lt;Tablas!$G$20), 1,  IF(AND(AR121&gt;=Tablas!$G$20, AR121&lt;Tablas!$G$21), 2,  IF(AND(AR121&gt;=Tablas!$G$21, AR121&lt;=Tablas!$G$22), 3,  ""))))</f>
        <v/>
      </c>
      <c r="AV121" s="94" t="str">
        <f t="shared" si="170"/>
        <v/>
      </c>
      <c r="AW121" s="102" t="str">
        <f t="shared" si="171"/>
        <v/>
      </c>
      <c r="AX121" s="157"/>
      <c r="AY121" s="170"/>
      <c r="AZ121" s="179"/>
      <c r="BA121" s="170"/>
      <c r="BB121" s="182"/>
      <c r="BC121" s="182"/>
      <c r="BD121" s="185"/>
      <c r="BE121" s="185"/>
      <c r="BF121" s="159"/>
      <c r="BG121" s="191"/>
    </row>
    <row r="122" spans="1:59" s="121" customFormat="1" ht="15" customHeight="1" x14ac:dyDescent="0.25">
      <c r="A122" s="167"/>
      <c r="B122" s="220"/>
      <c r="C122" s="161" t="s">
        <v>18</v>
      </c>
      <c r="D122" s="160" t="s">
        <v>241</v>
      </c>
      <c r="E122" s="149" t="s">
        <v>50</v>
      </c>
      <c r="F122" s="163">
        <f t="shared" ref="F122:F126" si="183">IFERROR(VLOOKUP(E122, tabla01, 3, 0), "")</f>
        <v>2</v>
      </c>
      <c r="G122" s="148" t="s">
        <v>55</v>
      </c>
      <c r="H122" s="148" t="s">
        <v>54</v>
      </c>
      <c r="I122" s="148" t="s">
        <v>55</v>
      </c>
      <c r="J122" s="148" t="s">
        <v>55</v>
      </c>
      <c r="K122" s="148" t="s">
        <v>55</v>
      </c>
      <c r="L122" s="165">
        <f t="shared" ref="L122:L126" si="184">IFERROR(VLOOKUP(G122, tabla02, 2, 0), "")</f>
        <v>3</v>
      </c>
      <c r="M122" s="165">
        <f t="shared" ref="M122:M126" si="185">IFERROR(VLOOKUP(H122, tabla02, 2, 0), "")</f>
        <v>2</v>
      </c>
      <c r="N122" s="165">
        <f t="shared" ref="N122:N126" si="186">IFERROR(VLOOKUP(I122, tabla02, 2, 0), "")</f>
        <v>3</v>
      </c>
      <c r="O122" s="165">
        <f t="shared" ref="O122:O126" si="187">IFERROR(VLOOKUP(J122, tabla02, 2, 0), "")</f>
        <v>3</v>
      </c>
      <c r="P122" s="165">
        <f t="shared" ref="P122:P126" si="188">IFERROR(VLOOKUP(K122, tabla02, 2, 0), "")</f>
        <v>3</v>
      </c>
      <c r="Q122" s="165">
        <f t="shared" ref="Q122" si="189">IF(SUM(L122:P122)=0, "", MAX(L122:P122))</f>
        <v>3</v>
      </c>
      <c r="R122" s="159" t="str">
        <f>IFERROR(VLOOKUP(Q122, tabla04, 3, 0), "")</f>
        <v>Moderado</v>
      </c>
      <c r="S122" s="148"/>
      <c r="T122" s="148"/>
      <c r="U122" s="148" t="s">
        <v>236</v>
      </c>
      <c r="V122" s="148"/>
      <c r="W122" s="148"/>
      <c r="X122" s="163" t="str">
        <f>IFERROR(VLOOKUP(CONCATENATE(F122, "-", Q122), cuadrante_sev, 3, 0), "")</f>
        <v>Moderada</v>
      </c>
      <c r="Y122" s="163">
        <f t="shared" ref="Y122" si="190">IFERROR(IF(X122="Baja", 1, IF(X122="Moderada", 2, IF(X122="Alta", 3, IF(X122="Extrema", 4, "")))), "")</f>
        <v>2</v>
      </c>
      <c r="Z122" s="172"/>
      <c r="AA122" s="188"/>
      <c r="AB122" s="172"/>
      <c r="AC122" s="172"/>
      <c r="AD122" s="175"/>
      <c r="AE122" s="70" t="s">
        <v>113</v>
      </c>
      <c r="AF122" s="135" t="s">
        <v>253</v>
      </c>
      <c r="AG122" s="60"/>
      <c r="AH122" s="61" t="s">
        <v>69</v>
      </c>
      <c r="AI122" s="61" t="s">
        <v>121</v>
      </c>
      <c r="AJ122" s="61" t="s">
        <v>74</v>
      </c>
      <c r="AK122" s="61" t="s">
        <v>127</v>
      </c>
      <c r="AL122" s="61" t="s">
        <v>130</v>
      </c>
      <c r="AM122" s="82">
        <f>IFERROR((Tablas!$C$1*VLOOKUP(AH122, tipo_control, 2, 0)+Tablas!$E$1*VLOOKUP(AI122, nat_control, 2, 0)+Tablas!$G$1*VLOOKUP(AJ122, ev_control, 2, 0)+Tablas!$I$1*VLOOKUP(AK122, frec_control, 2, 0)+Tablas!$K$1*VLOOKUP(AL122, doc_control, 2, 0))*0.1*peso_dis, "")</f>
        <v>0.35000000000000003</v>
      </c>
      <c r="AN122" s="61" t="s">
        <v>138</v>
      </c>
      <c r="AO122" s="61" t="s">
        <v>142</v>
      </c>
      <c r="AP122" s="61" t="s">
        <v>146</v>
      </c>
      <c r="AQ122" s="82">
        <f>IFERROR((Tablas!$C$9*VLOOKUP(AN122, amb_control, 2, 0)+Tablas!$E$9*VLOOKUP(AO122, ejec_control, 2, 0)+Tablas!$G$9*VLOOKUP(AP122, cub_control, 2, 0))*0.1*peso_ejec, "")</f>
        <v>0.3</v>
      </c>
      <c r="AR122" s="96">
        <f t="shared" si="169"/>
        <v>0.65</v>
      </c>
      <c r="AS122" s="97" t="str">
        <f t="shared" si="121"/>
        <v>Sí</v>
      </c>
      <c r="AT122" s="87" t="str">
        <f t="shared" si="122"/>
        <v>No</v>
      </c>
      <c r="AU122" s="97">
        <f>IF(AR122&lt;Tablas!$G$19, 0, IF(AND(AR122&gt;=Tablas!$G$19, AR122&lt;Tablas!$G$20), 1,  IF(AND(AR122&gt;=Tablas!$G$20, AR122&lt;Tablas!$G$21), 2,  IF(AND(AR122&gt;=Tablas!$G$21, AR122&lt;=Tablas!$G$22), 3,  ""))))</f>
        <v>2</v>
      </c>
      <c r="AV122" s="97">
        <f t="shared" si="170"/>
        <v>2</v>
      </c>
      <c r="AW122" s="103" t="str">
        <f t="shared" si="171"/>
        <v/>
      </c>
      <c r="AX122" s="176" t="str">
        <f t="shared" ref="AX122" si="191">IFERROR(VLOOKUP(AY122, tabla04, 2, 0), "")</f>
        <v>Muy Baja</v>
      </c>
      <c r="AY122" s="168">
        <f>IF(F122="", "", IF((F122-MAX(AV122:AV126))&lt;=0, 1, F122-MAX(AV122:AV126)))</f>
        <v>1</v>
      </c>
      <c r="AZ122" s="178" t="str">
        <f t="shared" ref="AZ122" si="192">IFERROR(VLOOKUP(BA122, tabla04, 3, 0), "")</f>
        <v>Moderado</v>
      </c>
      <c r="BA122" s="168">
        <f>IF(Q122="", "", IF((Q122-MAX(AW122:AW126))&lt;=0, 1, Q122-MAX(AW122:AW126)))</f>
        <v>3</v>
      </c>
      <c r="BB122" s="182"/>
      <c r="BC122" s="182"/>
      <c r="BD122" s="185"/>
      <c r="BE122" s="185"/>
      <c r="BF122" s="158" t="str">
        <f t="shared" ref="BF122:BF124" si="193">IFERROR(VLOOKUP(CONCATENATE(AY122, "-", BA122), cuadrante_sev, 3, 0), "")</f>
        <v>Moderada</v>
      </c>
      <c r="BG122" s="191"/>
    </row>
    <row r="123" spans="1:59" s="121" customFormat="1" ht="15" customHeight="1" x14ac:dyDescent="0.25">
      <c r="A123" s="167"/>
      <c r="B123" s="220"/>
      <c r="C123" s="161"/>
      <c r="D123" s="160"/>
      <c r="E123" s="161"/>
      <c r="F123" s="164"/>
      <c r="G123" s="167"/>
      <c r="H123" s="167"/>
      <c r="I123" s="167"/>
      <c r="J123" s="167"/>
      <c r="K123" s="167"/>
      <c r="L123" s="166"/>
      <c r="M123" s="166"/>
      <c r="N123" s="166"/>
      <c r="O123" s="166"/>
      <c r="P123" s="166"/>
      <c r="Q123" s="166"/>
      <c r="R123" s="177"/>
      <c r="S123" s="167"/>
      <c r="T123" s="167"/>
      <c r="U123" s="167"/>
      <c r="V123" s="167"/>
      <c r="W123" s="167"/>
      <c r="X123" s="164"/>
      <c r="Y123" s="164"/>
      <c r="Z123" s="172"/>
      <c r="AA123" s="188"/>
      <c r="AB123" s="172"/>
      <c r="AC123" s="172"/>
      <c r="AD123" s="175"/>
      <c r="AE123" s="62" t="s">
        <v>114</v>
      </c>
      <c r="AF123" s="133"/>
      <c r="AG123" s="63"/>
      <c r="AH123" s="64"/>
      <c r="AI123" s="64"/>
      <c r="AJ123" s="64"/>
      <c r="AK123" s="64"/>
      <c r="AL123" s="64"/>
      <c r="AM123" s="80" t="str">
        <f>IFERROR((Tablas!$C$1*VLOOKUP(AH123, tipo_control, 2, 0)+Tablas!$E$1*VLOOKUP(AI123, nat_control, 2, 0)+Tablas!$G$1*VLOOKUP(AJ123, ev_control, 2, 0)+Tablas!$I$1*VLOOKUP(AK123, frec_control, 2, 0)+Tablas!$K$1*VLOOKUP(AL123, doc_control, 2, 0))*0.1*peso_dis, "")</f>
        <v/>
      </c>
      <c r="AN123" s="64"/>
      <c r="AO123" s="64"/>
      <c r="AP123" s="64"/>
      <c r="AQ123" s="80" t="str">
        <f>IFERROR((Tablas!$C$9*VLOOKUP(AN123, amb_control, 2, 0)+Tablas!$E$9*VLOOKUP(AO123, ejec_control, 2, 0)+Tablas!$G$9*VLOOKUP(AP123, cub_control, 2, 0))*0.1*peso_ejec, "")</f>
        <v/>
      </c>
      <c r="AR123" s="91" t="str">
        <f t="shared" si="169"/>
        <v/>
      </c>
      <c r="AS123" s="85" t="str">
        <f t="shared" si="121"/>
        <v/>
      </c>
      <c r="AT123" s="85" t="str">
        <f t="shared" si="122"/>
        <v/>
      </c>
      <c r="AU123" s="85" t="str">
        <f>IF(AR123&lt;Tablas!$G$19, 0, IF(AND(AR123&gt;=Tablas!$G$19, AR123&lt;Tablas!$G$20), 1,  IF(AND(AR123&gt;=Tablas!$G$20, AR123&lt;Tablas!$G$21), 2,  IF(AND(AR123&gt;=Tablas!$G$21, AR123&lt;=Tablas!$G$22), 3,  ""))))</f>
        <v/>
      </c>
      <c r="AV123" s="85" t="str">
        <f t="shared" si="170"/>
        <v/>
      </c>
      <c r="AW123" s="101" t="str">
        <f t="shared" si="171"/>
        <v/>
      </c>
      <c r="AX123" s="177"/>
      <c r="AY123" s="169"/>
      <c r="AZ123" s="158"/>
      <c r="BA123" s="169"/>
      <c r="BB123" s="182"/>
      <c r="BC123" s="182"/>
      <c r="BD123" s="185"/>
      <c r="BE123" s="185"/>
      <c r="BF123" s="158" t="str">
        <f t="shared" si="193"/>
        <v/>
      </c>
      <c r="BG123" s="191"/>
    </row>
    <row r="124" spans="1:59" s="121" customFormat="1" ht="15" customHeight="1" x14ac:dyDescent="0.25">
      <c r="A124" s="167"/>
      <c r="B124" s="220"/>
      <c r="C124" s="161"/>
      <c r="D124" s="160"/>
      <c r="E124" s="161"/>
      <c r="F124" s="164"/>
      <c r="G124" s="167"/>
      <c r="H124" s="167"/>
      <c r="I124" s="167"/>
      <c r="J124" s="167"/>
      <c r="K124" s="167"/>
      <c r="L124" s="166"/>
      <c r="M124" s="166"/>
      <c r="N124" s="166"/>
      <c r="O124" s="166"/>
      <c r="P124" s="166"/>
      <c r="Q124" s="166"/>
      <c r="R124" s="177"/>
      <c r="S124" s="167"/>
      <c r="T124" s="167"/>
      <c r="U124" s="167"/>
      <c r="V124" s="167"/>
      <c r="W124" s="167"/>
      <c r="X124" s="164"/>
      <c r="Y124" s="164"/>
      <c r="Z124" s="172"/>
      <c r="AA124" s="188"/>
      <c r="AB124" s="172"/>
      <c r="AC124" s="172"/>
      <c r="AD124" s="175"/>
      <c r="AE124" s="62" t="s">
        <v>115</v>
      </c>
      <c r="AF124" s="133"/>
      <c r="AG124" s="63"/>
      <c r="AH124" s="64"/>
      <c r="AI124" s="64"/>
      <c r="AJ124" s="64"/>
      <c r="AK124" s="64"/>
      <c r="AL124" s="64"/>
      <c r="AM124" s="80" t="str">
        <f>IFERROR((Tablas!$C$1*VLOOKUP(AH124, tipo_control, 2, 0)+Tablas!$E$1*VLOOKUP(AI124, nat_control, 2, 0)+Tablas!$G$1*VLOOKUP(AJ124, ev_control, 2, 0)+Tablas!$I$1*VLOOKUP(AK124, frec_control, 2, 0)+Tablas!$K$1*VLOOKUP(AL124, doc_control, 2, 0))*0.1*peso_dis, "")</f>
        <v/>
      </c>
      <c r="AN124" s="64"/>
      <c r="AO124" s="64"/>
      <c r="AP124" s="64"/>
      <c r="AQ124" s="80" t="str">
        <f>IFERROR((Tablas!$C$9*VLOOKUP(AN124, amb_control, 2, 0)+Tablas!$E$9*VLOOKUP(AO124, ejec_control, 2, 0)+Tablas!$G$9*VLOOKUP(AP124, cub_control, 2, 0))*0.1*peso_ejec, "")</f>
        <v/>
      </c>
      <c r="AR124" s="91" t="str">
        <f t="shared" si="169"/>
        <v/>
      </c>
      <c r="AS124" s="85" t="str">
        <f t="shared" si="121"/>
        <v/>
      </c>
      <c r="AT124" s="85" t="str">
        <f t="shared" si="122"/>
        <v/>
      </c>
      <c r="AU124" s="85" t="str">
        <f>IF(AR124&lt;Tablas!$G$19, 0, IF(AND(AR124&gt;=Tablas!$G$19, AR124&lt;Tablas!$G$20), 1,  IF(AND(AR124&gt;=Tablas!$G$20, AR124&lt;Tablas!$G$21), 2,  IF(AND(AR124&gt;=Tablas!$G$21, AR124&lt;=Tablas!$G$22), 3,  ""))))</f>
        <v/>
      </c>
      <c r="AV124" s="85" t="str">
        <f t="shared" si="170"/>
        <v/>
      </c>
      <c r="AW124" s="101" t="str">
        <f t="shared" si="171"/>
        <v/>
      </c>
      <c r="AX124" s="177"/>
      <c r="AY124" s="169"/>
      <c r="AZ124" s="158"/>
      <c r="BA124" s="169"/>
      <c r="BB124" s="182"/>
      <c r="BC124" s="182"/>
      <c r="BD124" s="185"/>
      <c r="BE124" s="185"/>
      <c r="BF124" s="158" t="str">
        <f t="shared" si="193"/>
        <v/>
      </c>
      <c r="BG124" s="191"/>
    </row>
    <row r="125" spans="1:59" s="121" customFormat="1" ht="15" customHeight="1" x14ac:dyDescent="0.25">
      <c r="A125" s="167"/>
      <c r="B125" s="220"/>
      <c r="C125" s="161"/>
      <c r="D125" s="160"/>
      <c r="E125" s="161"/>
      <c r="F125" s="164"/>
      <c r="G125" s="167"/>
      <c r="H125" s="167"/>
      <c r="I125" s="167"/>
      <c r="J125" s="167"/>
      <c r="K125" s="167"/>
      <c r="L125" s="166"/>
      <c r="M125" s="166"/>
      <c r="N125" s="166"/>
      <c r="O125" s="166"/>
      <c r="P125" s="166"/>
      <c r="Q125" s="166"/>
      <c r="R125" s="177"/>
      <c r="S125" s="167"/>
      <c r="T125" s="167"/>
      <c r="U125" s="167"/>
      <c r="V125" s="167"/>
      <c r="W125" s="167"/>
      <c r="X125" s="164"/>
      <c r="Y125" s="164"/>
      <c r="Z125" s="172"/>
      <c r="AA125" s="188"/>
      <c r="AB125" s="172"/>
      <c r="AC125" s="172"/>
      <c r="AD125" s="175"/>
      <c r="AE125" s="62" t="s">
        <v>153</v>
      </c>
      <c r="AF125" s="133"/>
      <c r="AG125" s="65"/>
      <c r="AH125" s="64"/>
      <c r="AI125" s="64"/>
      <c r="AJ125" s="64"/>
      <c r="AK125" s="64"/>
      <c r="AL125" s="64"/>
      <c r="AM125" s="80" t="str">
        <f>IFERROR((Tablas!$C$1*VLOOKUP(AH125, tipo_control, 2, 0)+Tablas!$E$1*VLOOKUP(AI125, nat_control, 2, 0)+Tablas!$G$1*VLOOKUP(AJ125, ev_control, 2, 0)+Tablas!$I$1*VLOOKUP(AK125, frec_control, 2, 0)+Tablas!$K$1*VLOOKUP(AL125, doc_control, 2, 0))*0.1*peso_dis, "")</f>
        <v/>
      </c>
      <c r="AN125" s="64"/>
      <c r="AO125" s="64"/>
      <c r="AP125" s="64"/>
      <c r="AQ125" s="80" t="str">
        <f>IFERROR((Tablas!$C$9*VLOOKUP(AN125, amb_control, 2, 0)+Tablas!$E$9*VLOOKUP(AO125, ejec_control, 2, 0)+Tablas!$G$9*VLOOKUP(AP125, cub_control, 2, 0))*0.1*peso_ejec, "")</f>
        <v/>
      </c>
      <c r="AR125" s="91" t="str">
        <f t="shared" si="169"/>
        <v/>
      </c>
      <c r="AS125" s="85" t="str">
        <f t="shared" si="121"/>
        <v/>
      </c>
      <c r="AT125" s="85" t="str">
        <f t="shared" si="122"/>
        <v/>
      </c>
      <c r="AU125" s="85" t="str">
        <f>IF(AR125&lt;Tablas!$G$19, 0, IF(AND(AR125&gt;=Tablas!$G$19, AR125&lt;Tablas!$G$20), 1,  IF(AND(AR125&gt;=Tablas!$G$20, AR125&lt;Tablas!$G$21), 2,  IF(AND(AR125&gt;=Tablas!$G$21, AR125&lt;=Tablas!$G$22), 3,  ""))))</f>
        <v/>
      </c>
      <c r="AV125" s="85" t="str">
        <f t="shared" si="170"/>
        <v/>
      </c>
      <c r="AW125" s="101" t="str">
        <f t="shared" si="171"/>
        <v/>
      </c>
      <c r="AX125" s="177"/>
      <c r="AY125" s="169"/>
      <c r="AZ125" s="158"/>
      <c r="BA125" s="169"/>
      <c r="BB125" s="182"/>
      <c r="BC125" s="182"/>
      <c r="BD125" s="185"/>
      <c r="BE125" s="185"/>
      <c r="BF125" s="158"/>
      <c r="BG125" s="191"/>
    </row>
    <row r="126" spans="1:59" s="121" customFormat="1" ht="15" customHeight="1" thickBot="1" x14ac:dyDescent="0.3">
      <c r="A126" s="167"/>
      <c r="B126" s="220"/>
      <c r="C126" s="161"/>
      <c r="D126" s="160"/>
      <c r="E126" s="161"/>
      <c r="F126" s="165"/>
      <c r="G126" s="149"/>
      <c r="H126" s="149"/>
      <c r="I126" s="149"/>
      <c r="J126" s="149"/>
      <c r="K126" s="149"/>
      <c r="L126" s="166"/>
      <c r="M126" s="166"/>
      <c r="N126" s="166"/>
      <c r="O126" s="166"/>
      <c r="P126" s="166"/>
      <c r="Q126" s="166"/>
      <c r="R126" s="177"/>
      <c r="S126" s="149"/>
      <c r="T126" s="149"/>
      <c r="U126" s="149"/>
      <c r="V126" s="149"/>
      <c r="W126" s="149"/>
      <c r="X126" s="165"/>
      <c r="Y126" s="165"/>
      <c r="Z126" s="172"/>
      <c r="AA126" s="188"/>
      <c r="AB126" s="172"/>
      <c r="AC126" s="172"/>
      <c r="AD126" s="175"/>
      <c r="AE126" s="66" t="s">
        <v>154</v>
      </c>
      <c r="AF126" s="134"/>
      <c r="AG126" s="67"/>
      <c r="AH126" s="69"/>
      <c r="AI126" s="69"/>
      <c r="AJ126" s="69"/>
      <c r="AK126" s="69"/>
      <c r="AL126" s="69"/>
      <c r="AM126" s="81" t="str">
        <f>IFERROR((Tablas!$C$1*VLOOKUP(AH126, tipo_control, 2, 0)+Tablas!$E$1*VLOOKUP(AI126, nat_control, 2, 0)+Tablas!$G$1*VLOOKUP(AJ126, ev_control, 2, 0)+Tablas!$I$1*VLOOKUP(AK126, frec_control, 2, 0)+Tablas!$K$1*VLOOKUP(AL126, doc_control, 2, 0))*0.1*peso_dis, "")</f>
        <v/>
      </c>
      <c r="AN126" s="69"/>
      <c r="AO126" s="69"/>
      <c r="AP126" s="69"/>
      <c r="AQ126" s="81" t="str">
        <f>IFERROR((Tablas!$C$9*VLOOKUP(AN126, amb_control, 2, 0)+Tablas!$E$9*VLOOKUP(AO126, ejec_control, 2, 0)+Tablas!$G$9*VLOOKUP(AP126, cub_control, 2, 0))*0.1*peso_ejec, "")</f>
        <v/>
      </c>
      <c r="AR126" s="93" t="str">
        <f t="shared" si="169"/>
        <v/>
      </c>
      <c r="AS126" s="94" t="str">
        <f t="shared" si="121"/>
        <v/>
      </c>
      <c r="AT126" s="94" t="str">
        <f t="shared" si="122"/>
        <v/>
      </c>
      <c r="AU126" s="94" t="str">
        <f>IF(AR126&lt;Tablas!$G$19, 0, IF(AND(AR126&gt;=Tablas!$G$19, AR126&lt;Tablas!$G$20), 1,  IF(AND(AR126&gt;=Tablas!$G$20, AR126&lt;Tablas!$G$21), 2,  IF(AND(AR126&gt;=Tablas!$G$21, AR126&lt;=Tablas!$G$22), 3,  ""))))</f>
        <v/>
      </c>
      <c r="AV126" s="94" t="str">
        <f t="shared" si="170"/>
        <v/>
      </c>
      <c r="AW126" s="102" t="str">
        <f t="shared" si="171"/>
        <v/>
      </c>
      <c r="AX126" s="157"/>
      <c r="AY126" s="170"/>
      <c r="AZ126" s="179"/>
      <c r="BA126" s="170"/>
      <c r="BB126" s="182"/>
      <c r="BC126" s="182"/>
      <c r="BD126" s="185"/>
      <c r="BE126" s="185"/>
      <c r="BF126" s="159"/>
      <c r="BG126" s="191"/>
    </row>
    <row r="127" spans="1:59" s="121" customFormat="1" ht="15" customHeight="1" x14ac:dyDescent="0.25">
      <c r="A127" s="167"/>
      <c r="B127" s="220"/>
      <c r="C127" s="161" t="s">
        <v>19</v>
      </c>
      <c r="D127" s="160"/>
      <c r="E127" s="149"/>
      <c r="F127" s="163" t="str">
        <f t="shared" si="93"/>
        <v/>
      </c>
      <c r="G127" s="148"/>
      <c r="H127" s="148"/>
      <c r="I127" s="148"/>
      <c r="J127" s="148"/>
      <c r="K127" s="148"/>
      <c r="L127" s="165" t="str">
        <f t="shared" ref="L127" si="194">IFERROR(VLOOKUP(G127, tabla02, 2, 0), "")</f>
        <v/>
      </c>
      <c r="M127" s="165" t="str">
        <f t="shared" ref="M127" si="195">IFERROR(VLOOKUP(H127, tabla02, 2, 0), "")</f>
        <v/>
      </c>
      <c r="N127" s="165" t="str">
        <f t="shared" ref="N127" si="196">IFERROR(VLOOKUP(I127, tabla02, 2, 0), "")</f>
        <v/>
      </c>
      <c r="O127" s="165" t="str">
        <f t="shared" ref="O127" si="197">IFERROR(VLOOKUP(J127, tabla02, 2, 0), "")</f>
        <v/>
      </c>
      <c r="P127" s="165" t="str">
        <f t="shared" ref="P127" si="198">IFERROR(VLOOKUP(K127, tabla02, 2, 0), "")</f>
        <v/>
      </c>
      <c r="Q127" s="165" t="str">
        <f t="shared" ref="Q127" si="199">IF(SUM(L127:P127)=0, "", MAX(L127:P127))</f>
        <v/>
      </c>
      <c r="R127" s="159" t="str">
        <f>IFERROR(VLOOKUP(Q127, tabla04, 3, 0), "")</f>
        <v/>
      </c>
      <c r="S127" s="148"/>
      <c r="T127" s="148"/>
      <c r="U127" s="148"/>
      <c r="V127" s="148"/>
      <c r="W127" s="148"/>
      <c r="X127" s="163" t="str">
        <f>IFERROR(VLOOKUP(CONCATENATE(F127, "-", Q127), cuadrante_sev, 3, 0), "")</f>
        <v/>
      </c>
      <c r="Y127" s="163" t="str">
        <f t="shared" ref="Y127" si="200">IFERROR(IF(X127="Baja", 1, IF(X127="Moderada", 2, IF(X127="Alta", 3, IF(X127="Extrema", 4, "")))), "")</f>
        <v/>
      </c>
      <c r="Z127" s="172"/>
      <c r="AA127" s="188"/>
      <c r="AB127" s="172"/>
      <c r="AC127" s="172"/>
      <c r="AD127" s="175"/>
      <c r="AE127" s="70" t="s">
        <v>113</v>
      </c>
      <c r="AF127" s="135"/>
      <c r="AG127" s="71"/>
      <c r="AH127" s="72"/>
      <c r="AI127" s="72"/>
      <c r="AJ127" s="72"/>
      <c r="AK127" s="72"/>
      <c r="AL127" s="72"/>
      <c r="AM127" s="82" t="str">
        <f>IFERROR((Tablas!$C$1*VLOOKUP(AH127, tipo_control, 2, 0)+Tablas!$E$1*VLOOKUP(AI127, nat_control, 2, 0)+Tablas!$G$1*VLOOKUP(AJ127, ev_control, 2, 0)+Tablas!$I$1*VLOOKUP(AK127, frec_control, 2, 0)+Tablas!$K$1*VLOOKUP(AL127, doc_control, 2, 0))*0.1*peso_dis, "")</f>
        <v/>
      </c>
      <c r="AN127" s="72"/>
      <c r="AO127" s="72"/>
      <c r="AP127" s="72"/>
      <c r="AQ127" s="82" t="str">
        <f>IFERROR((Tablas!$C$9*VLOOKUP(AN127, amb_control, 2, 0)+Tablas!$E$9*VLOOKUP(AO127, ejec_control, 2, 0)+Tablas!$G$9*VLOOKUP(AP127, cub_control, 2, 0))*0.1*peso_ejec, "")</f>
        <v/>
      </c>
      <c r="AR127" s="96" t="str">
        <f t="shared" si="169"/>
        <v/>
      </c>
      <c r="AS127" s="97" t="str">
        <f t="shared" si="121"/>
        <v/>
      </c>
      <c r="AT127" s="87" t="str">
        <f t="shared" si="122"/>
        <v/>
      </c>
      <c r="AU127" s="97" t="str">
        <f>IF(AR127&lt;Tablas!$G$19, 0, IF(AND(AR127&gt;=Tablas!$G$19, AR127&lt;Tablas!$G$20), 1,  IF(AND(AR127&gt;=Tablas!$G$20, AR127&lt;Tablas!$G$21), 2,  IF(AND(AR127&gt;=Tablas!$G$21, AR127&lt;=Tablas!$G$22), 3,  ""))))</f>
        <v/>
      </c>
      <c r="AV127" s="97" t="str">
        <f t="shared" si="170"/>
        <v/>
      </c>
      <c r="AW127" s="103" t="str">
        <f t="shared" si="171"/>
        <v/>
      </c>
      <c r="AX127" s="176" t="str">
        <f t="shared" ref="AX127" si="201">IFERROR(VLOOKUP(AY127, tabla04, 2, 0), "")</f>
        <v/>
      </c>
      <c r="AY127" s="168" t="str">
        <f>IF(F127="", "", IF((F127-MAX(AV127:AV131))&lt;=0, 1, F127-MAX(AV127:AV131)))</f>
        <v/>
      </c>
      <c r="AZ127" s="178" t="str">
        <f t="shared" ref="AZ127" si="202">IFERROR(VLOOKUP(BA127, tabla04, 3, 0), "")</f>
        <v/>
      </c>
      <c r="BA127" s="168" t="str">
        <f>IF(Q127="", "", IF((Q127-MAX(AW127:AW131))&lt;=0, 1, Q127-MAX(AW127:AW131)))</f>
        <v/>
      </c>
      <c r="BB127" s="182"/>
      <c r="BC127" s="182"/>
      <c r="BD127" s="185"/>
      <c r="BE127" s="185"/>
      <c r="BF127" s="158" t="str">
        <f t="shared" ref="BF127:BF129" si="203">IFERROR(VLOOKUP(CONCATENATE(AY127, "-", BA127), cuadrante_sev, 3, 0), "")</f>
        <v/>
      </c>
      <c r="BG127" s="191"/>
    </row>
    <row r="128" spans="1:59" s="121" customFormat="1" ht="15" customHeight="1" x14ac:dyDescent="0.25">
      <c r="A128" s="167"/>
      <c r="B128" s="220"/>
      <c r="C128" s="161"/>
      <c r="D128" s="160"/>
      <c r="E128" s="161"/>
      <c r="F128" s="164"/>
      <c r="G128" s="167"/>
      <c r="H128" s="167"/>
      <c r="I128" s="167"/>
      <c r="J128" s="167"/>
      <c r="K128" s="167"/>
      <c r="L128" s="166"/>
      <c r="M128" s="166"/>
      <c r="N128" s="166"/>
      <c r="O128" s="166"/>
      <c r="P128" s="166"/>
      <c r="Q128" s="166"/>
      <c r="R128" s="177"/>
      <c r="S128" s="167"/>
      <c r="T128" s="167"/>
      <c r="U128" s="167"/>
      <c r="V128" s="167"/>
      <c r="W128" s="167"/>
      <c r="X128" s="164"/>
      <c r="Y128" s="164"/>
      <c r="Z128" s="172"/>
      <c r="AA128" s="188"/>
      <c r="AB128" s="172"/>
      <c r="AC128" s="172"/>
      <c r="AD128" s="175"/>
      <c r="AE128" s="62" t="s">
        <v>114</v>
      </c>
      <c r="AF128" s="133"/>
      <c r="AG128" s="65"/>
      <c r="AH128" s="64"/>
      <c r="AI128" s="64"/>
      <c r="AJ128" s="64"/>
      <c r="AK128" s="64"/>
      <c r="AL128" s="64"/>
      <c r="AM128" s="80" t="str">
        <f>IFERROR((Tablas!$C$1*VLOOKUP(AH128, tipo_control, 2, 0)+Tablas!$E$1*VLOOKUP(AI128, nat_control, 2, 0)+Tablas!$G$1*VLOOKUP(AJ128, ev_control, 2, 0)+Tablas!$I$1*VLOOKUP(AK128, frec_control, 2, 0)+Tablas!$K$1*VLOOKUP(AL128, doc_control, 2, 0))*0.1*peso_dis, "")</f>
        <v/>
      </c>
      <c r="AN128" s="64"/>
      <c r="AO128" s="64"/>
      <c r="AP128" s="64"/>
      <c r="AQ128" s="80" t="str">
        <f>IFERROR((Tablas!$C$9*VLOOKUP(AN128, amb_control, 2, 0)+Tablas!$E$9*VLOOKUP(AO128, ejec_control, 2, 0)+Tablas!$G$9*VLOOKUP(AP128, cub_control, 2, 0))*0.1*peso_ejec, "")</f>
        <v/>
      </c>
      <c r="AR128" s="91" t="str">
        <f t="shared" si="169"/>
        <v/>
      </c>
      <c r="AS128" s="85" t="str">
        <f t="shared" si="121"/>
        <v/>
      </c>
      <c r="AT128" s="85" t="str">
        <f t="shared" si="122"/>
        <v/>
      </c>
      <c r="AU128" s="85" t="str">
        <f>IF(AR128&lt;Tablas!$G$19, 0, IF(AND(AR128&gt;=Tablas!$G$19, AR128&lt;Tablas!$G$20), 1,  IF(AND(AR128&gt;=Tablas!$G$20, AR128&lt;Tablas!$G$21), 2,  IF(AND(AR128&gt;=Tablas!$G$21, AR128&lt;=Tablas!$G$22), 3,  ""))))</f>
        <v/>
      </c>
      <c r="AV128" s="85" t="str">
        <f t="shared" si="170"/>
        <v/>
      </c>
      <c r="AW128" s="101" t="str">
        <f t="shared" si="171"/>
        <v/>
      </c>
      <c r="AX128" s="177"/>
      <c r="AY128" s="169"/>
      <c r="AZ128" s="158"/>
      <c r="BA128" s="169"/>
      <c r="BB128" s="182"/>
      <c r="BC128" s="182"/>
      <c r="BD128" s="185"/>
      <c r="BE128" s="185"/>
      <c r="BF128" s="158" t="str">
        <f t="shared" si="203"/>
        <v/>
      </c>
      <c r="BG128" s="191"/>
    </row>
    <row r="129" spans="1:59" s="121" customFormat="1" ht="15" customHeight="1" x14ac:dyDescent="0.25">
      <c r="A129" s="167"/>
      <c r="B129" s="220"/>
      <c r="C129" s="161"/>
      <c r="D129" s="160"/>
      <c r="E129" s="161"/>
      <c r="F129" s="164"/>
      <c r="G129" s="167"/>
      <c r="H129" s="167"/>
      <c r="I129" s="167"/>
      <c r="J129" s="167"/>
      <c r="K129" s="167"/>
      <c r="L129" s="166"/>
      <c r="M129" s="166"/>
      <c r="N129" s="166"/>
      <c r="O129" s="166"/>
      <c r="P129" s="166"/>
      <c r="Q129" s="166"/>
      <c r="R129" s="177"/>
      <c r="S129" s="167"/>
      <c r="T129" s="167"/>
      <c r="U129" s="167"/>
      <c r="V129" s="167"/>
      <c r="W129" s="167"/>
      <c r="X129" s="164"/>
      <c r="Y129" s="164"/>
      <c r="Z129" s="172"/>
      <c r="AA129" s="188"/>
      <c r="AB129" s="172"/>
      <c r="AC129" s="172"/>
      <c r="AD129" s="175"/>
      <c r="AE129" s="62" t="s">
        <v>115</v>
      </c>
      <c r="AF129" s="133"/>
      <c r="AG129" s="65"/>
      <c r="AH129" s="64"/>
      <c r="AI129" s="64"/>
      <c r="AJ129" s="64"/>
      <c r="AK129" s="64"/>
      <c r="AL129" s="64"/>
      <c r="AM129" s="80" t="str">
        <f>IFERROR((Tablas!$C$1*VLOOKUP(AH129, tipo_control, 2, 0)+Tablas!$E$1*VLOOKUP(AI129, nat_control, 2, 0)+Tablas!$G$1*VLOOKUP(AJ129, ev_control, 2, 0)+Tablas!$I$1*VLOOKUP(AK129, frec_control, 2, 0)+Tablas!$K$1*VLOOKUP(AL129, doc_control, 2, 0))*0.1*peso_dis, "")</f>
        <v/>
      </c>
      <c r="AN129" s="64"/>
      <c r="AO129" s="64"/>
      <c r="AP129" s="64"/>
      <c r="AQ129" s="80" t="str">
        <f>IFERROR((Tablas!$C$9*VLOOKUP(AN129, amb_control, 2, 0)+Tablas!$E$9*VLOOKUP(AO129, ejec_control, 2, 0)+Tablas!$G$9*VLOOKUP(AP129, cub_control, 2, 0))*0.1*peso_ejec, "")</f>
        <v/>
      </c>
      <c r="AR129" s="91" t="str">
        <f t="shared" si="169"/>
        <v/>
      </c>
      <c r="AS129" s="85" t="str">
        <f t="shared" si="121"/>
        <v/>
      </c>
      <c r="AT129" s="85" t="str">
        <f t="shared" si="122"/>
        <v/>
      </c>
      <c r="AU129" s="85" t="str">
        <f>IF(AR129&lt;Tablas!$G$19, 0, IF(AND(AR129&gt;=Tablas!$G$19, AR129&lt;Tablas!$G$20), 1,  IF(AND(AR129&gt;=Tablas!$G$20, AR129&lt;Tablas!$G$21), 2,  IF(AND(AR129&gt;=Tablas!$G$21, AR129&lt;=Tablas!$G$22), 3,  ""))))</f>
        <v/>
      </c>
      <c r="AV129" s="85" t="str">
        <f t="shared" si="170"/>
        <v/>
      </c>
      <c r="AW129" s="101" t="str">
        <f t="shared" si="171"/>
        <v/>
      </c>
      <c r="AX129" s="177"/>
      <c r="AY129" s="169"/>
      <c r="AZ129" s="158"/>
      <c r="BA129" s="169"/>
      <c r="BB129" s="182"/>
      <c r="BC129" s="182"/>
      <c r="BD129" s="185"/>
      <c r="BE129" s="185"/>
      <c r="BF129" s="158" t="str">
        <f t="shared" si="203"/>
        <v/>
      </c>
      <c r="BG129" s="191"/>
    </row>
    <row r="130" spans="1:59" s="121" customFormat="1" ht="15" customHeight="1" x14ac:dyDescent="0.25">
      <c r="A130" s="167"/>
      <c r="B130" s="220"/>
      <c r="C130" s="161"/>
      <c r="D130" s="160"/>
      <c r="E130" s="161"/>
      <c r="F130" s="164"/>
      <c r="G130" s="167"/>
      <c r="H130" s="167"/>
      <c r="I130" s="167"/>
      <c r="J130" s="167"/>
      <c r="K130" s="167"/>
      <c r="L130" s="166"/>
      <c r="M130" s="166"/>
      <c r="N130" s="166"/>
      <c r="O130" s="166"/>
      <c r="P130" s="166"/>
      <c r="Q130" s="166"/>
      <c r="R130" s="177"/>
      <c r="S130" s="167"/>
      <c r="T130" s="167"/>
      <c r="U130" s="167"/>
      <c r="V130" s="167"/>
      <c r="W130" s="167"/>
      <c r="X130" s="164"/>
      <c r="Y130" s="164"/>
      <c r="Z130" s="172"/>
      <c r="AA130" s="188"/>
      <c r="AB130" s="172"/>
      <c r="AC130" s="172"/>
      <c r="AD130" s="175"/>
      <c r="AE130" s="62" t="s">
        <v>153</v>
      </c>
      <c r="AF130" s="133"/>
      <c r="AG130" s="65"/>
      <c r="AH130" s="64"/>
      <c r="AI130" s="64"/>
      <c r="AJ130" s="64"/>
      <c r="AK130" s="64"/>
      <c r="AL130" s="64"/>
      <c r="AM130" s="80" t="str">
        <f>IFERROR((Tablas!$C$1*VLOOKUP(AH130, tipo_control, 2, 0)+Tablas!$E$1*VLOOKUP(AI130, nat_control, 2, 0)+Tablas!$G$1*VLOOKUP(AJ130, ev_control, 2, 0)+Tablas!$I$1*VLOOKUP(AK130, frec_control, 2, 0)+Tablas!$K$1*VLOOKUP(AL130, doc_control, 2, 0))*0.1*peso_dis, "")</f>
        <v/>
      </c>
      <c r="AN130" s="64"/>
      <c r="AO130" s="64"/>
      <c r="AP130" s="64"/>
      <c r="AQ130" s="80" t="str">
        <f>IFERROR((Tablas!$C$9*VLOOKUP(AN130, amb_control, 2, 0)+Tablas!$E$9*VLOOKUP(AO130, ejec_control, 2, 0)+Tablas!$G$9*VLOOKUP(AP130, cub_control, 2, 0))*0.1*peso_ejec, "")</f>
        <v/>
      </c>
      <c r="AR130" s="91" t="str">
        <f t="shared" si="169"/>
        <v/>
      </c>
      <c r="AS130" s="85" t="str">
        <f t="shared" si="121"/>
        <v/>
      </c>
      <c r="AT130" s="85" t="str">
        <f t="shared" si="122"/>
        <v/>
      </c>
      <c r="AU130" s="85" t="str">
        <f>IF(AR130&lt;Tablas!$G$19, 0, IF(AND(AR130&gt;=Tablas!$G$19, AR130&lt;Tablas!$G$20), 1,  IF(AND(AR130&gt;=Tablas!$G$20, AR130&lt;Tablas!$G$21), 2,  IF(AND(AR130&gt;=Tablas!$G$21, AR130&lt;=Tablas!$G$22), 3,  ""))))</f>
        <v/>
      </c>
      <c r="AV130" s="85" t="str">
        <f t="shared" si="170"/>
        <v/>
      </c>
      <c r="AW130" s="101" t="str">
        <f t="shared" si="171"/>
        <v/>
      </c>
      <c r="AX130" s="177"/>
      <c r="AY130" s="169"/>
      <c r="AZ130" s="158"/>
      <c r="BA130" s="169"/>
      <c r="BB130" s="182"/>
      <c r="BC130" s="182"/>
      <c r="BD130" s="185"/>
      <c r="BE130" s="185"/>
      <c r="BF130" s="158"/>
      <c r="BG130" s="191"/>
    </row>
    <row r="131" spans="1:59" s="121" customFormat="1" ht="15" customHeight="1" thickBot="1" x14ac:dyDescent="0.3">
      <c r="A131" s="167"/>
      <c r="B131" s="220"/>
      <c r="C131" s="161"/>
      <c r="D131" s="160"/>
      <c r="E131" s="161"/>
      <c r="F131" s="165"/>
      <c r="G131" s="149"/>
      <c r="H131" s="149"/>
      <c r="I131" s="149"/>
      <c r="J131" s="149"/>
      <c r="K131" s="149"/>
      <c r="L131" s="166"/>
      <c r="M131" s="166"/>
      <c r="N131" s="166"/>
      <c r="O131" s="166"/>
      <c r="P131" s="166"/>
      <c r="Q131" s="166"/>
      <c r="R131" s="177"/>
      <c r="S131" s="149"/>
      <c r="T131" s="149"/>
      <c r="U131" s="149"/>
      <c r="V131" s="149"/>
      <c r="W131" s="149"/>
      <c r="X131" s="165"/>
      <c r="Y131" s="165"/>
      <c r="Z131" s="172"/>
      <c r="AA131" s="188"/>
      <c r="AB131" s="172"/>
      <c r="AC131" s="172"/>
      <c r="AD131" s="175"/>
      <c r="AE131" s="66" t="s">
        <v>154</v>
      </c>
      <c r="AF131" s="134"/>
      <c r="AG131" s="67"/>
      <c r="AH131" s="69"/>
      <c r="AI131" s="69"/>
      <c r="AJ131" s="69"/>
      <c r="AK131" s="69"/>
      <c r="AL131" s="69"/>
      <c r="AM131" s="81" t="str">
        <f>IFERROR((Tablas!$C$1*VLOOKUP(AH131, tipo_control, 2, 0)+Tablas!$E$1*VLOOKUP(AI131, nat_control, 2, 0)+Tablas!$G$1*VLOOKUP(AJ131, ev_control, 2, 0)+Tablas!$I$1*VLOOKUP(AK131, frec_control, 2, 0)+Tablas!$K$1*VLOOKUP(AL131, doc_control, 2, 0))*0.1*peso_dis, "")</f>
        <v/>
      </c>
      <c r="AN131" s="69"/>
      <c r="AO131" s="69"/>
      <c r="AP131" s="69"/>
      <c r="AQ131" s="81" t="str">
        <f>IFERROR((Tablas!$C$9*VLOOKUP(AN131, amb_control, 2, 0)+Tablas!$E$9*VLOOKUP(AO131, ejec_control, 2, 0)+Tablas!$G$9*VLOOKUP(AP131, cub_control, 2, 0))*0.1*peso_ejec, "")</f>
        <v/>
      </c>
      <c r="AR131" s="93" t="str">
        <f t="shared" si="169"/>
        <v/>
      </c>
      <c r="AS131" s="94" t="str">
        <f t="shared" si="121"/>
        <v/>
      </c>
      <c r="AT131" s="94" t="str">
        <f t="shared" si="122"/>
        <v/>
      </c>
      <c r="AU131" s="94" t="str">
        <f>IF(AR131&lt;Tablas!$G$19, 0, IF(AND(AR131&gt;=Tablas!$G$19, AR131&lt;Tablas!$G$20), 1,  IF(AND(AR131&gt;=Tablas!$G$20, AR131&lt;Tablas!$G$21), 2,  IF(AND(AR131&gt;=Tablas!$G$21, AR131&lt;=Tablas!$G$22), 3,  ""))))</f>
        <v/>
      </c>
      <c r="AV131" s="94" t="str">
        <f t="shared" si="170"/>
        <v/>
      </c>
      <c r="AW131" s="102" t="str">
        <f t="shared" si="171"/>
        <v/>
      </c>
      <c r="AX131" s="157"/>
      <c r="AY131" s="170"/>
      <c r="AZ131" s="179"/>
      <c r="BA131" s="170"/>
      <c r="BB131" s="182"/>
      <c r="BC131" s="182"/>
      <c r="BD131" s="185"/>
      <c r="BE131" s="185"/>
      <c r="BF131" s="159"/>
      <c r="BG131" s="191"/>
    </row>
    <row r="132" spans="1:59" s="121" customFormat="1" ht="15" customHeight="1" x14ac:dyDescent="0.25">
      <c r="A132" s="167"/>
      <c r="B132" s="220"/>
      <c r="C132" s="161" t="s">
        <v>20</v>
      </c>
      <c r="D132" s="160"/>
      <c r="E132" s="149"/>
      <c r="F132" s="163" t="str">
        <f t="shared" si="93"/>
        <v/>
      </c>
      <c r="G132" s="148"/>
      <c r="H132" s="148"/>
      <c r="I132" s="148"/>
      <c r="J132" s="148"/>
      <c r="K132" s="148"/>
      <c r="L132" s="165" t="str">
        <f t="shared" ref="L132" si="204">IFERROR(VLOOKUP(G132, tabla02, 2, 0), "")</f>
        <v/>
      </c>
      <c r="M132" s="165" t="str">
        <f t="shared" ref="M132" si="205">IFERROR(VLOOKUP(H132, tabla02, 2, 0), "")</f>
        <v/>
      </c>
      <c r="N132" s="165" t="str">
        <f t="shared" ref="N132" si="206">IFERROR(VLOOKUP(I132, tabla02, 2, 0), "")</f>
        <v/>
      </c>
      <c r="O132" s="165" t="str">
        <f t="shared" ref="O132" si="207">IFERROR(VLOOKUP(J132, tabla02, 2, 0), "")</f>
        <v/>
      </c>
      <c r="P132" s="165" t="str">
        <f t="shared" ref="P132" si="208">IFERROR(VLOOKUP(K132, tabla02, 2, 0), "")</f>
        <v/>
      </c>
      <c r="Q132" s="165" t="str">
        <f t="shared" ref="Q132" si="209">IF(SUM(L132:P132)=0, "", MAX(L132:P132))</f>
        <v/>
      </c>
      <c r="R132" s="159" t="str">
        <f>IFERROR(VLOOKUP(Q132, tabla04, 3, 0), "")</f>
        <v/>
      </c>
      <c r="S132" s="148"/>
      <c r="T132" s="148"/>
      <c r="U132" s="148"/>
      <c r="V132" s="148"/>
      <c r="W132" s="148"/>
      <c r="X132" s="163" t="str">
        <f>IFERROR(VLOOKUP(CONCATENATE(F132, "-", Q132), cuadrante_sev, 3, 0), "")</f>
        <v/>
      </c>
      <c r="Y132" s="163" t="str">
        <f t="shared" ref="Y132" si="210">IFERROR(IF(X132="Baja", 1, IF(X132="Moderada", 2, IF(X132="Alta", 3, IF(X132="Extrema", 4, "")))), "")</f>
        <v/>
      </c>
      <c r="Z132" s="172"/>
      <c r="AA132" s="188"/>
      <c r="AB132" s="172"/>
      <c r="AC132" s="172"/>
      <c r="AD132" s="175"/>
      <c r="AE132" s="70" t="s">
        <v>113</v>
      </c>
      <c r="AF132" s="135"/>
      <c r="AG132" s="74"/>
      <c r="AH132" s="72"/>
      <c r="AI132" s="72"/>
      <c r="AJ132" s="72"/>
      <c r="AK132" s="72"/>
      <c r="AL132" s="72"/>
      <c r="AM132" s="82" t="str">
        <f>IFERROR((Tablas!$C$1*VLOOKUP(AH132, tipo_control, 2, 0)+Tablas!$E$1*VLOOKUP(AI132, nat_control, 2, 0)+Tablas!$G$1*VLOOKUP(AJ132, ev_control, 2, 0)+Tablas!$I$1*VLOOKUP(AK132, frec_control, 2, 0)+Tablas!$K$1*VLOOKUP(AL132, doc_control, 2, 0))*0.1*peso_dis, "")</f>
        <v/>
      </c>
      <c r="AN132" s="72"/>
      <c r="AO132" s="72"/>
      <c r="AP132" s="72"/>
      <c r="AQ132" s="82" t="str">
        <f>IFERROR((Tablas!$C$9*VLOOKUP(AN132, amb_control, 2, 0)+Tablas!$E$9*VLOOKUP(AO132, ejec_control, 2, 0)+Tablas!$G$9*VLOOKUP(AP132, cub_control, 2, 0))*0.1*peso_ejec, "")</f>
        <v/>
      </c>
      <c r="AR132" s="96" t="str">
        <f t="shared" si="169"/>
        <v/>
      </c>
      <c r="AS132" s="97" t="str">
        <f t="shared" si="121"/>
        <v/>
      </c>
      <c r="AT132" s="87" t="str">
        <f t="shared" si="122"/>
        <v/>
      </c>
      <c r="AU132" s="97" t="str">
        <f>IF(AR132&lt;Tablas!$G$19, 0, IF(AND(AR132&gt;=Tablas!$G$19, AR132&lt;Tablas!$G$20), 1,  IF(AND(AR132&gt;=Tablas!$G$20, AR132&lt;Tablas!$G$21), 2,  IF(AND(AR132&gt;=Tablas!$G$21, AR132&lt;=Tablas!$G$22), 3,  ""))))</f>
        <v/>
      </c>
      <c r="AV132" s="97" t="str">
        <f t="shared" si="170"/>
        <v/>
      </c>
      <c r="AW132" s="103" t="str">
        <f t="shared" si="171"/>
        <v/>
      </c>
      <c r="AX132" s="176" t="str">
        <f t="shared" ref="AX132" si="211">IFERROR(VLOOKUP(AY132, tabla04, 2, 0), "")</f>
        <v/>
      </c>
      <c r="AY132" s="168" t="str">
        <f>IF(F132="", "", IF((F132-MAX(AV132:AV136))&lt;=0, 1, F132-MAX(AV132:AV136)))</f>
        <v/>
      </c>
      <c r="AZ132" s="178" t="str">
        <f t="shared" ref="AZ132" si="212">IFERROR(VLOOKUP(BA132, tabla04, 3, 0), "")</f>
        <v/>
      </c>
      <c r="BA132" s="168" t="str">
        <f>IF(Q132="", "", IF((Q132-MAX(AW132:AW136))&lt;=0, 1, Q132-MAX(AW132:AW136)))</f>
        <v/>
      </c>
      <c r="BB132" s="182"/>
      <c r="BC132" s="182"/>
      <c r="BD132" s="185"/>
      <c r="BE132" s="185"/>
      <c r="BF132" s="158" t="str">
        <f t="shared" ref="BF132:BF134" si="213">IFERROR(VLOOKUP(CONCATENATE(AY132, "-", BA132), cuadrante_sev, 3, 0), "")</f>
        <v/>
      </c>
      <c r="BG132" s="191"/>
    </row>
    <row r="133" spans="1:59" s="121" customFormat="1" ht="15" customHeight="1" x14ac:dyDescent="0.25">
      <c r="A133" s="167"/>
      <c r="B133" s="220"/>
      <c r="C133" s="161"/>
      <c r="D133" s="160"/>
      <c r="E133" s="161"/>
      <c r="F133" s="164"/>
      <c r="G133" s="167"/>
      <c r="H133" s="167"/>
      <c r="I133" s="167"/>
      <c r="J133" s="167"/>
      <c r="K133" s="167"/>
      <c r="L133" s="166"/>
      <c r="M133" s="166"/>
      <c r="N133" s="166"/>
      <c r="O133" s="166"/>
      <c r="P133" s="166"/>
      <c r="Q133" s="166"/>
      <c r="R133" s="177"/>
      <c r="S133" s="167"/>
      <c r="T133" s="167"/>
      <c r="U133" s="167"/>
      <c r="V133" s="167"/>
      <c r="W133" s="167"/>
      <c r="X133" s="164"/>
      <c r="Y133" s="164"/>
      <c r="Z133" s="172"/>
      <c r="AA133" s="188"/>
      <c r="AB133" s="172"/>
      <c r="AC133" s="172"/>
      <c r="AD133" s="175"/>
      <c r="AE133" s="62" t="s">
        <v>114</v>
      </c>
      <c r="AF133" s="133"/>
      <c r="AG133" s="65"/>
      <c r="AH133" s="64"/>
      <c r="AI133" s="64"/>
      <c r="AJ133" s="64"/>
      <c r="AK133" s="64"/>
      <c r="AL133" s="64"/>
      <c r="AM133" s="80" t="str">
        <f>IFERROR((Tablas!$C$1*VLOOKUP(AH133, tipo_control, 2, 0)+Tablas!$E$1*VLOOKUP(AI133, nat_control, 2, 0)+Tablas!$G$1*VLOOKUP(AJ133, ev_control, 2, 0)+Tablas!$I$1*VLOOKUP(AK133, frec_control, 2, 0)+Tablas!$K$1*VLOOKUP(AL133, doc_control, 2, 0))*0.1*peso_dis, "")</f>
        <v/>
      </c>
      <c r="AN133" s="64"/>
      <c r="AO133" s="64"/>
      <c r="AP133" s="64"/>
      <c r="AQ133" s="80" t="str">
        <f>IFERROR((Tablas!$C$9*VLOOKUP(AN133, amb_control, 2, 0)+Tablas!$E$9*VLOOKUP(AO133, ejec_control, 2, 0)+Tablas!$G$9*VLOOKUP(AP133, cub_control, 2, 0))*0.1*peso_ejec, "")</f>
        <v/>
      </c>
      <c r="AR133" s="91" t="str">
        <f t="shared" si="169"/>
        <v/>
      </c>
      <c r="AS133" s="85" t="str">
        <f t="shared" si="121"/>
        <v/>
      </c>
      <c r="AT133" s="85" t="str">
        <f t="shared" si="122"/>
        <v/>
      </c>
      <c r="AU133" s="85" t="str">
        <f>IF(AR133&lt;Tablas!$G$19, 0, IF(AND(AR133&gt;=Tablas!$G$19, AR133&lt;Tablas!$G$20), 1,  IF(AND(AR133&gt;=Tablas!$G$20, AR133&lt;Tablas!$G$21), 2,  IF(AND(AR133&gt;=Tablas!$G$21, AR133&lt;=Tablas!$G$22), 3,  ""))))</f>
        <v/>
      </c>
      <c r="AV133" s="85" t="str">
        <f t="shared" si="170"/>
        <v/>
      </c>
      <c r="AW133" s="101" t="str">
        <f t="shared" si="171"/>
        <v/>
      </c>
      <c r="AX133" s="177"/>
      <c r="AY133" s="169"/>
      <c r="AZ133" s="158"/>
      <c r="BA133" s="169"/>
      <c r="BB133" s="182"/>
      <c r="BC133" s="182"/>
      <c r="BD133" s="185"/>
      <c r="BE133" s="185"/>
      <c r="BF133" s="158" t="str">
        <f t="shared" si="213"/>
        <v/>
      </c>
      <c r="BG133" s="191"/>
    </row>
    <row r="134" spans="1:59" s="121" customFormat="1" ht="15" customHeight="1" x14ac:dyDescent="0.25">
      <c r="A134" s="167"/>
      <c r="B134" s="220"/>
      <c r="C134" s="161"/>
      <c r="D134" s="160"/>
      <c r="E134" s="161"/>
      <c r="F134" s="164"/>
      <c r="G134" s="167"/>
      <c r="H134" s="167"/>
      <c r="I134" s="167"/>
      <c r="J134" s="167"/>
      <c r="K134" s="167"/>
      <c r="L134" s="166"/>
      <c r="M134" s="166"/>
      <c r="N134" s="166"/>
      <c r="O134" s="166"/>
      <c r="P134" s="166"/>
      <c r="Q134" s="166"/>
      <c r="R134" s="177"/>
      <c r="S134" s="167"/>
      <c r="T134" s="167"/>
      <c r="U134" s="167"/>
      <c r="V134" s="167"/>
      <c r="W134" s="167"/>
      <c r="X134" s="164"/>
      <c r="Y134" s="164"/>
      <c r="Z134" s="172"/>
      <c r="AA134" s="188"/>
      <c r="AB134" s="172"/>
      <c r="AC134" s="172"/>
      <c r="AD134" s="175"/>
      <c r="AE134" s="62" t="s">
        <v>115</v>
      </c>
      <c r="AF134" s="133"/>
      <c r="AG134" s="65"/>
      <c r="AH134" s="64"/>
      <c r="AI134" s="64"/>
      <c r="AJ134" s="64"/>
      <c r="AK134" s="64"/>
      <c r="AL134" s="64"/>
      <c r="AM134" s="80" t="str">
        <f>IFERROR((Tablas!$C$1*VLOOKUP(AH134, tipo_control, 2, 0)+Tablas!$E$1*VLOOKUP(AI134, nat_control, 2, 0)+Tablas!$G$1*VLOOKUP(AJ134, ev_control, 2, 0)+Tablas!$I$1*VLOOKUP(AK134, frec_control, 2, 0)+Tablas!$K$1*VLOOKUP(AL134, doc_control, 2, 0))*0.1*peso_dis, "")</f>
        <v/>
      </c>
      <c r="AN134" s="64"/>
      <c r="AO134" s="64"/>
      <c r="AP134" s="64"/>
      <c r="AQ134" s="80" t="str">
        <f>IFERROR((Tablas!$C$9*VLOOKUP(AN134, amb_control, 2, 0)+Tablas!$E$9*VLOOKUP(AO134, ejec_control, 2, 0)+Tablas!$G$9*VLOOKUP(AP134, cub_control, 2, 0))*0.1*peso_ejec, "")</f>
        <v/>
      </c>
      <c r="AR134" s="91" t="str">
        <f t="shared" si="169"/>
        <v/>
      </c>
      <c r="AS134" s="85" t="str">
        <f t="shared" si="121"/>
        <v/>
      </c>
      <c r="AT134" s="85" t="str">
        <f t="shared" si="122"/>
        <v/>
      </c>
      <c r="AU134" s="85" t="str">
        <f>IF(AR134&lt;Tablas!$G$19, 0, IF(AND(AR134&gt;=Tablas!$G$19, AR134&lt;Tablas!$G$20), 1,  IF(AND(AR134&gt;=Tablas!$G$20, AR134&lt;Tablas!$G$21), 2,  IF(AND(AR134&gt;=Tablas!$G$21, AR134&lt;=Tablas!$G$22), 3,  ""))))</f>
        <v/>
      </c>
      <c r="AV134" s="85" t="str">
        <f t="shared" si="170"/>
        <v/>
      </c>
      <c r="AW134" s="101" t="str">
        <f t="shared" si="171"/>
        <v/>
      </c>
      <c r="AX134" s="177"/>
      <c r="AY134" s="169"/>
      <c r="AZ134" s="158"/>
      <c r="BA134" s="169"/>
      <c r="BB134" s="182"/>
      <c r="BC134" s="182"/>
      <c r="BD134" s="185"/>
      <c r="BE134" s="185"/>
      <c r="BF134" s="158" t="str">
        <f t="shared" si="213"/>
        <v/>
      </c>
      <c r="BG134" s="191"/>
    </row>
    <row r="135" spans="1:59" s="121" customFormat="1" ht="15" customHeight="1" x14ac:dyDescent="0.25">
      <c r="A135" s="167"/>
      <c r="B135" s="220"/>
      <c r="C135" s="161"/>
      <c r="D135" s="160"/>
      <c r="E135" s="161"/>
      <c r="F135" s="164"/>
      <c r="G135" s="167"/>
      <c r="H135" s="167"/>
      <c r="I135" s="167"/>
      <c r="J135" s="167"/>
      <c r="K135" s="167"/>
      <c r="L135" s="166"/>
      <c r="M135" s="166"/>
      <c r="N135" s="166"/>
      <c r="O135" s="166"/>
      <c r="P135" s="166"/>
      <c r="Q135" s="166"/>
      <c r="R135" s="177"/>
      <c r="S135" s="167"/>
      <c r="T135" s="167"/>
      <c r="U135" s="167"/>
      <c r="V135" s="167"/>
      <c r="W135" s="167"/>
      <c r="X135" s="164"/>
      <c r="Y135" s="164"/>
      <c r="Z135" s="172"/>
      <c r="AA135" s="188"/>
      <c r="AB135" s="172"/>
      <c r="AC135" s="172"/>
      <c r="AD135" s="175"/>
      <c r="AE135" s="62" t="s">
        <v>153</v>
      </c>
      <c r="AF135" s="133"/>
      <c r="AG135" s="65"/>
      <c r="AH135" s="64"/>
      <c r="AI135" s="64"/>
      <c r="AJ135" s="64"/>
      <c r="AK135" s="64"/>
      <c r="AL135" s="64"/>
      <c r="AM135" s="80" t="str">
        <f>IFERROR((Tablas!$C$1*VLOOKUP(AH135, tipo_control, 2, 0)+Tablas!$E$1*VLOOKUP(AI135, nat_control, 2, 0)+Tablas!$G$1*VLOOKUP(AJ135, ev_control, 2, 0)+Tablas!$I$1*VLOOKUP(AK135, frec_control, 2, 0)+Tablas!$K$1*VLOOKUP(AL135, doc_control, 2, 0))*0.1*peso_dis, "")</f>
        <v/>
      </c>
      <c r="AN135" s="64"/>
      <c r="AO135" s="64"/>
      <c r="AP135" s="64"/>
      <c r="AQ135" s="80" t="str">
        <f>IFERROR((Tablas!$C$9*VLOOKUP(AN135, amb_control, 2, 0)+Tablas!$E$9*VLOOKUP(AO135, ejec_control, 2, 0)+Tablas!$G$9*VLOOKUP(AP135, cub_control, 2, 0))*0.1*peso_ejec, "")</f>
        <v/>
      </c>
      <c r="AR135" s="91" t="str">
        <f t="shared" si="169"/>
        <v/>
      </c>
      <c r="AS135" s="85" t="str">
        <f t="shared" si="121"/>
        <v/>
      </c>
      <c r="AT135" s="85" t="str">
        <f t="shared" si="122"/>
        <v/>
      </c>
      <c r="AU135" s="85" t="str">
        <f>IF(AR135&lt;Tablas!$G$19, 0, IF(AND(AR135&gt;=Tablas!$G$19, AR135&lt;Tablas!$G$20), 1,  IF(AND(AR135&gt;=Tablas!$G$20, AR135&lt;Tablas!$G$21), 2,  IF(AND(AR135&gt;=Tablas!$G$21, AR135&lt;=Tablas!$G$22), 3,  ""))))</f>
        <v/>
      </c>
      <c r="AV135" s="85" t="str">
        <f t="shared" si="170"/>
        <v/>
      </c>
      <c r="AW135" s="101" t="str">
        <f t="shared" si="171"/>
        <v/>
      </c>
      <c r="AX135" s="177"/>
      <c r="AY135" s="169"/>
      <c r="AZ135" s="158"/>
      <c r="BA135" s="169"/>
      <c r="BB135" s="182"/>
      <c r="BC135" s="182"/>
      <c r="BD135" s="185"/>
      <c r="BE135" s="185"/>
      <c r="BF135" s="158"/>
      <c r="BG135" s="191"/>
    </row>
    <row r="136" spans="1:59" s="121" customFormat="1" ht="15" customHeight="1" thickBot="1" x14ac:dyDescent="0.3">
      <c r="A136" s="167"/>
      <c r="B136" s="220"/>
      <c r="C136" s="161"/>
      <c r="D136" s="160"/>
      <c r="E136" s="161"/>
      <c r="F136" s="165"/>
      <c r="G136" s="149"/>
      <c r="H136" s="149"/>
      <c r="I136" s="149"/>
      <c r="J136" s="149"/>
      <c r="K136" s="149"/>
      <c r="L136" s="166"/>
      <c r="M136" s="166"/>
      <c r="N136" s="166"/>
      <c r="O136" s="166"/>
      <c r="P136" s="166"/>
      <c r="Q136" s="166"/>
      <c r="R136" s="177"/>
      <c r="S136" s="149"/>
      <c r="T136" s="149"/>
      <c r="U136" s="149"/>
      <c r="V136" s="149"/>
      <c r="W136" s="149"/>
      <c r="X136" s="165"/>
      <c r="Y136" s="165"/>
      <c r="Z136" s="172"/>
      <c r="AA136" s="188"/>
      <c r="AB136" s="172"/>
      <c r="AC136" s="172"/>
      <c r="AD136" s="175"/>
      <c r="AE136" s="66" t="s">
        <v>154</v>
      </c>
      <c r="AF136" s="134"/>
      <c r="AG136" s="67"/>
      <c r="AH136" s="69"/>
      <c r="AI136" s="69"/>
      <c r="AJ136" s="69"/>
      <c r="AK136" s="69"/>
      <c r="AL136" s="69"/>
      <c r="AM136" s="81" t="str">
        <f>IFERROR((Tablas!$C$1*VLOOKUP(AH136, tipo_control, 2, 0)+Tablas!$E$1*VLOOKUP(AI136, nat_control, 2, 0)+Tablas!$G$1*VLOOKUP(AJ136, ev_control, 2, 0)+Tablas!$I$1*VLOOKUP(AK136, frec_control, 2, 0)+Tablas!$K$1*VLOOKUP(AL136, doc_control, 2, 0))*0.1*peso_dis, "")</f>
        <v/>
      </c>
      <c r="AN136" s="69"/>
      <c r="AO136" s="69"/>
      <c r="AP136" s="69"/>
      <c r="AQ136" s="81" t="str">
        <f>IFERROR((Tablas!$C$9*VLOOKUP(AN136, amb_control, 2, 0)+Tablas!$E$9*VLOOKUP(AO136, ejec_control, 2, 0)+Tablas!$G$9*VLOOKUP(AP136, cub_control, 2, 0))*0.1*peso_ejec, "")</f>
        <v/>
      </c>
      <c r="AR136" s="93" t="str">
        <f t="shared" si="169"/>
        <v/>
      </c>
      <c r="AS136" s="94" t="str">
        <f t="shared" si="121"/>
        <v/>
      </c>
      <c r="AT136" s="94" t="str">
        <f t="shared" si="122"/>
        <v/>
      </c>
      <c r="AU136" s="94" t="str">
        <f>IF(AR136&lt;Tablas!$G$19, 0, IF(AND(AR136&gt;=Tablas!$G$19, AR136&lt;Tablas!$G$20), 1,  IF(AND(AR136&gt;=Tablas!$G$20, AR136&lt;Tablas!$G$21), 2,  IF(AND(AR136&gt;=Tablas!$G$21, AR136&lt;=Tablas!$G$22), 3,  ""))))</f>
        <v/>
      </c>
      <c r="AV136" s="94" t="str">
        <f t="shared" si="170"/>
        <v/>
      </c>
      <c r="AW136" s="102" t="str">
        <f t="shared" si="171"/>
        <v/>
      </c>
      <c r="AX136" s="157"/>
      <c r="AY136" s="170"/>
      <c r="AZ136" s="179"/>
      <c r="BA136" s="170"/>
      <c r="BB136" s="182"/>
      <c r="BC136" s="182"/>
      <c r="BD136" s="185"/>
      <c r="BE136" s="185"/>
      <c r="BF136" s="159"/>
      <c r="BG136" s="191"/>
    </row>
    <row r="137" spans="1:59" s="121" customFormat="1" ht="15" customHeight="1" x14ac:dyDescent="0.25">
      <c r="A137" s="167"/>
      <c r="B137" s="220"/>
      <c r="C137" s="161" t="s">
        <v>180</v>
      </c>
      <c r="D137" s="160"/>
      <c r="E137" s="149"/>
      <c r="F137" s="163" t="str">
        <f t="shared" ref="F137:F197" si="214">IFERROR(VLOOKUP(E137, tabla01, 3, 0), "")</f>
        <v/>
      </c>
      <c r="G137" s="148"/>
      <c r="H137" s="148"/>
      <c r="I137" s="148"/>
      <c r="J137" s="148"/>
      <c r="K137" s="148"/>
      <c r="L137" s="165" t="str">
        <f t="shared" ref="L137" si="215">IFERROR(VLOOKUP(G137, tabla02, 2, 0), "")</f>
        <v/>
      </c>
      <c r="M137" s="165" t="str">
        <f t="shared" ref="M137" si="216">IFERROR(VLOOKUP(H137, tabla02, 2, 0), "")</f>
        <v/>
      </c>
      <c r="N137" s="165" t="str">
        <f t="shared" ref="N137" si="217">IFERROR(VLOOKUP(I137, tabla02, 2, 0), "")</f>
        <v/>
      </c>
      <c r="O137" s="165" t="str">
        <f t="shared" ref="O137" si="218">IFERROR(VLOOKUP(J137, tabla02, 2, 0), "")</f>
        <v/>
      </c>
      <c r="P137" s="165" t="str">
        <f t="shared" ref="P137" si="219">IFERROR(VLOOKUP(K137, tabla02, 2, 0), "")</f>
        <v/>
      </c>
      <c r="Q137" s="165" t="str">
        <f t="shared" ref="Q137" si="220">IF(SUM(L137:P137)=0, "", MAX(L137:P137))</f>
        <v/>
      </c>
      <c r="R137" s="159" t="str">
        <f>IFERROR(VLOOKUP(Q137, tabla04, 3, 0), "")</f>
        <v/>
      </c>
      <c r="S137" s="148"/>
      <c r="T137" s="148"/>
      <c r="U137" s="148"/>
      <c r="V137" s="148"/>
      <c r="W137" s="148"/>
      <c r="X137" s="163" t="str">
        <f>IFERROR(VLOOKUP(CONCATENATE(F137, "-", Q137), cuadrante_sev, 3, 0), "")</f>
        <v/>
      </c>
      <c r="Y137" s="163" t="str">
        <f t="shared" ref="Y137" si="221">IFERROR(IF(X137="Baja", 1, IF(X137="Moderada", 2, IF(X137="Alta", 3, IF(X137="Extrema", 4, "")))), "")</f>
        <v/>
      </c>
      <c r="Z137" s="172"/>
      <c r="AA137" s="188"/>
      <c r="AB137" s="172"/>
      <c r="AC137" s="172"/>
      <c r="AD137" s="175"/>
      <c r="AE137" s="70" t="s">
        <v>113</v>
      </c>
      <c r="AF137" s="135"/>
      <c r="AG137" s="74"/>
      <c r="AH137" s="72"/>
      <c r="AI137" s="72"/>
      <c r="AJ137" s="72"/>
      <c r="AK137" s="72"/>
      <c r="AL137" s="72"/>
      <c r="AM137" s="82" t="str">
        <f>IFERROR((Tablas!$C$1*VLOOKUP(AH137, tipo_control, 2, 0)+Tablas!$E$1*VLOOKUP(AI137, nat_control, 2, 0)+Tablas!$G$1*VLOOKUP(AJ137, ev_control, 2, 0)+Tablas!$I$1*VLOOKUP(AK137, frec_control, 2, 0)+Tablas!$K$1*VLOOKUP(AL137, doc_control, 2, 0))*0.1*peso_dis, "")</f>
        <v/>
      </c>
      <c r="AN137" s="72"/>
      <c r="AO137" s="72"/>
      <c r="AP137" s="72"/>
      <c r="AQ137" s="82" t="str">
        <f>IFERROR((Tablas!$C$9*VLOOKUP(AN137, amb_control, 2, 0)+Tablas!$E$9*VLOOKUP(AO137, ejec_control, 2, 0)+Tablas!$G$9*VLOOKUP(AP137, cub_control, 2, 0))*0.1*peso_ejec, "")</f>
        <v/>
      </c>
      <c r="AR137" s="96" t="str">
        <f t="shared" si="169"/>
        <v/>
      </c>
      <c r="AS137" s="97" t="str">
        <f t="shared" si="121"/>
        <v/>
      </c>
      <c r="AT137" s="87" t="str">
        <f t="shared" si="122"/>
        <v/>
      </c>
      <c r="AU137" s="97" t="str">
        <f>IF(AR137&lt;Tablas!$G$19, 0, IF(AND(AR137&gt;=Tablas!$G$19, AR137&lt;Tablas!$G$20), 1,  IF(AND(AR137&gt;=Tablas!$G$20, AR137&lt;Tablas!$G$21), 2,  IF(AND(AR137&gt;=Tablas!$G$21, AR137&lt;=Tablas!$G$22), 3,  ""))))</f>
        <v/>
      </c>
      <c r="AV137" s="97" t="str">
        <f t="shared" si="170"/>
        <v/>
      </c>
      <c r="AW137" s="103" t="str">
        <f t="shared" si="171"/>
        <v/>
      </c>
      <c r="AX137" s="176" t="str">
        <f t="shared" ref="AX137" si="222">IFERROR(VLOOKUP(AY137, tabla04, 2, 0), "")</f>
        <v/>
      </c>
      <c r="AY137" s="168" t="str">
        <f>IF(F137="", "", IF((F137-MAX(AV137:AV141))&lt;=0, 1, F137-MAX(AV137:AV141)))</f>
        <v/>
      </c>
      <c r="AZ137" s="178" t="str">
        <f t="shared" ref="AZ137" si="223">IFERROR(VLOOKUP(BA137, tabla04, 3, 0), "")</f>
        <v/>
      </c>
      <c r="BA137" s="168" t="str">
        <f>IF(Q137="", "", IF((Q137-MAX(AW137:AW141))&lt;=0, 1, Q137-MAX(AW137:AW141)))</f>
        <v/>
      </c>
      <c r="BB137" s="182"/>
      <c r="BC137" s="182"/>
      <c r="BD137" s="185"/>
      <c r="BE137" s="185"/>
      <c r="BF137" s="158" t="str">
        <f t="shared" ref="BF137:BF139" si="224">IFERROR(VLOOKUP(CONCATENATE(AY137, "-", BA137), cuadrante_sev, 3, 0), "")</f>
        <v/>
      </c>
      <c r="BG137" s="191"/>
    </row>
    <row r="138" spans="1:59" s="121" customFormat="1" ht="15" customHeight="1" x14ac:dyDescent="0.25">
      <c r="A138" s="167"/>
      <c r="B138" s="220"/>
      <c r="C138" s="161"/>
      <c r="D138" s="160"/>
      <c r="E138" s="161"/>
      <c r="F138" s="164"/>
      <c r="G138" s="167"/>
      <c r="H138" s="167"/>
      <c r="I138" s="167"/>
      <c r="J138" s="167"/>
      <c r="K138" s="167"/>
      <c r="L138" s="166"/>
      <c r="M138" s="166"/>
      <c r="N138" s="166"/>
      <c r="O138" s="166"/>
      <c r="P138" s="166"/>
      <c r="Q138" s="166"/>
      <c r="R138" s="177"/>
      <c r="S138" s="167"/>
      <c r="T138" s="167"/>
      <c r="U138" s="167"/>
      <c r="V138" s="167"/>
      <c r="W138" s="167"/>
      <c r="X138" s="164"/>
      <c r="Y138" s="164"/>
      <c r="Z138" s="172"/>
      <c r="AA138" s="188"/>
      <c r="AB138" s="172"/>
      <c r="AC138" s="172"/>
      <c r="AD138" s="175"/>
      <c r="AE138" s="62" t="s">
        <v>114</v>
      </c>
      <c r="AF138" s="133"/>
      <c r="AG138" s="65"/>
      <c r="AH138" s="64"/>
      <c r="AI138" s="64"/>
      <c r="AJ138" s="64"/>
      <c r="AK138" s="64"/>
      <c r="AL138" s="64"/>
      <c r="AM138" s="80" t="str">
        <f>IFERROR((Tablas!$C$1*VLOOKUP(AH138, tipo_control, 2, 0)+Tablas!$E$1*VLOOKUP(AI138, nat_control, 2, 0)+Tablas!$G$1*VLOOKUP(AJ138, ev_control, 2, 0)+Tablas!$I$1*VLOOKUP(AK138, frec_control, 2, 0)+Tablas!$K$1*VLOOKUP(AL138, doc_control, 2, 0))*0.1*peso_dis, "")</f>
        <v/>
      </c>
      <c r="AN138" s="64"/>
      <c r="AO138" s="64"/>
      <c r="AP138" s="64"/>
      <c r="AQ138" s="80" t="str">
        <f>IFERROR((Tablas!$C$9*VLOOKUP(AN138, amb_control, 2, 0)+Tablas!$E$9*VLOOKUP(AO138, ejec_control, 2, 0)+Tablas!$G$9*VLOOKUP(AP138, cub_control, 2, 0))*0.1*peso_ejec, "")</f>
        <v/>
      </c>
      <c r="AR138" s="91" t="str">
        <f t="shared" si="169"/>
        <v/>
      </c>
      <c r="AS138" s="85" t="str">
        <f t="shared" si="121"/>
        <v/>
      </c>
      <c r="AT138" s="85" t="str">
        <f t="shared" si="122"/>
        <v/>
      </c>
      <c r="AU138" s="85" t="str">
        <f>IF(AR138&lt;Tablas!$G$19, 0, IF(AND(AR138&gt;=Tablas!$G$19, AR138&lt;Tablas!$G$20), 1,  IF(AND(AR138&gt;=Tablas!$G$20, AR138&lt;Tablas!$G$21), 2,  IF(AND(AR138&gt;=Tablas!$G$21, AR138&lt;=Tablas!$G$22), 3,  ""))))</f>
        <v/>
      </c>
      <c r="AV138" s="85" t="str">
        <f t="shared" si="170"/>
        <v/>
      </c>
      <c r="AW138" s="101" t="str">
        <f t="shared" si="171"/>
        <v/>
      </c>
      <c r="AX138" s="177"/>
      <c r="AY138" s="169"/>
      <c r="AZ138" s="158"/>
      <c r="BA138" s="169"/>
      <c r="BB138" s="182"/>
      <c r="BC138" s="182"/>
      <c r="BD138" s="185"/>
      <c r="BE138" s="185"/>
      <c r="BF138" s="158" t="str">
        <f t="shared" si="224"/>
        <v/>
      </c>
      <c r="BG138" s="191"/>
    </row>
    <row r="139" spans="1:59" s="121" customFormat="1" ht="15" customHeight="1" x14ac:dyDescent="0.25">
      <c r="A139" s="167"/>
      <c r="B139" s="220"/>
      <c r="C139" s="161"/>
      <c r="D139" s="160"/>
      <c r="E139" s="161"/>
      <c r="F139" s="164"/>
      <c r="G139" s="167"/>
      <c r="H139" s="167"/>
      <c r="I139" s="167"/>
      <c r="J139" s="167"/>
      <c r="K139" s="167"/>
      <c r="L139" s="166"/>
      <c r="M139" s="166"/>
      <c r="N139" s="166"/>
      <c r="O139" s="166"/>
      <c r="P139" s="166"/>
      <c r="Q139" s="166"/>
      <c r="R139" s="177"/>
      <c r="S139" s="167"/>
      <c r="T139" s="167"/>
      <c r="U139" s="167"/>
      <c r="V139" s="167"/>
      <c r="W139" s="167"/>
      <c r="X139" s="164"/>
      <c r="Y139" s="164"/>
      <c r="Z139" s="172"/>
      <c r="AA139" s="188"/>
      <c r="AB139" s="172"/>
      <c r="AC139" s="172"/>
      <c r="AD139" s="175"/>
      <c r="AE139" s="62" t="s">
        <v>115</v>
      </c>
      <c r="AF139" s="133"/>
      <c r="AG139" s="65"/>
      <c r="AH139" s="64"/>
      <c r="AI139" s="64"/>
      <c r="AJ139" s="64"/>
      <c r="AK139" s="64"/>
      <c r="AL139" s="64"/>
      <c r="AM139" s="80" t="str">
        <f>IFERROR((Tablas!$C$1*VLOOKUP(AH139, tipo_control, 2, 0)+Tablas!$E$1*VLOOKUP(AI139, nat_control, 2, 0)+Tablas!$G$1*VLOOKUP(AJ139, ev_control, 2, 0)+Tablas!$I$1*VLOOKUP(AK139, frec_control, 2, 0)+Tablas!$K$1*VLOOKUP(AL139, doc_control, 2, 0))*0.1*peso_dis, "")</f>
        <v/>
      </c>
      <c r="AN139" s="64"/>
      <c r="AO139" s="64"/>
      <c r="AP139" s="64"/>
      <c r="AQ139" s="80" t="str">
        <f>IFERROR((Tablas!$C$9*VLOOKUP(AN139, amb_control, 2, 0)+Tablas!$E$9*VLOOKUP(AO139, ejec_control, 2, 0)+Tablas!$G$9*VLOOKUP(AP139, cub_control, 2, 0))*0.1*peso_ejec, "")</f>
        <v/>
      </c>
      <c r="AR139" s="91" t="str">
        <f t="shared" si="169"/>
        <v/>
      </c>
      <c r="AS139" s="85" t="str">
        <f t="shared" si="121"/>
        <v/>
      </c>
      <c r="AT139" s="85" t="str">
        <f t="shared" si="122"/>
        <v/>
      </c>
      <c r="AU139" s="85" t="str">
        <f>IF(AR139&lt;Tablas!$G$19, 0, IF(AND(AR139&gt;=Tablas!$G$19, AR139&lt;Tablas!$G$20), 1,  IF(AND(AR139&gt;=Tablas!$G$20, AR139&lt;Tablas!$G$21), 2,  IF(AND(AR139&gt;=Tablas!$G$21, AR139&lt;=Tablas!$G$22), 3,  ""))))</f>
        <v/>
      </c>
      <c r="AV139" s="85" t="str">
        <f t="shared" si="170"/>
        <v/>
      </c>
      <c r="AW139" s="101" t="str">
        <f t="shared" si="171"/>
        <v/>
      </c>
      <c r="AX139" s="177"/>
      <c r="AY139" s="169"/>
      <c r="AZ139" s="158"/>
      <c r="BA139" s="169"/>
      <c r="BB139" s="182"/>
      <c r="BC139" s="182"/>
      <c r="BD139" s="185"/>
      <c r="BE139" s="185"/>
      <c r="BF139" s="158" t="str">
        <f t="shared" si="224"/>
        <v/>
      </c>
      <c r="BG139" s="191"/>
    </row>
    <row r="140" spans="1:59" s="121" customFormat="1" ht="15" customHeight="1" x14ac:dyDescent="0.25">
      <c r="A140" s="167"/>
      <c r="B140" s="220"/>
      <c r="C140" s="161"/>
      <c r="D140" s="160"/>
      <c r="E140" s="161"/>
      <c r="F140" s="164"/>
      <c r="G140" s="167"/>
      <c r="H140" s="167"/>
      <c r="I140" s="167"/>
      <c r="J140" s="167"/>
      <c r="K140" s="167"/>
      <c r="L140" s="166"/>
      <c r="M140" s="166"/>
      <c r="N140" s="166"/>
      <c r="O140" s="166"/>
      <c r="P140" s="166"/>
      <c r="Q140" s="166"/>
      <c r="R140" s="177"/>
      <c r="S140" s="167"/>
      <c r="T140" s="167"/>
      <c r="U140" s="167"/>
      <c r="V140" s="167"/>
      <c r="W140" s="167"/>
      <c r="X140" s="164"/>
      <c r="Y140" s="164"/>
      <c r="Z140" s="172"/>
      <c r="AA140" s="188"/>
      <c r="AB140" s="172"/>
      <c r="AC140" s="172"/>
      <c r="AD140" s="175"/>
      <c r="AE140" s="62" t="s">
        <v>153</v>
      </c>
      <c r="AF140" s="133"/>
      <c r="AG140" s="65"/>
      <c r="AH140" s="64"/>
      <c r="AI140" s="64"/>
      <c r="AJ140" s="64"/>
      <c r="AK140" s="64"/>
      <c r="AL140" s="64"/>
      <c r="AM140" s="80" t="str">
        <f>IFERROR((Tablas!$C$1*VLOOKUP(AH140, tipo_control, 2, 0)+Tablas!$E$1*VLOOKUP(AI140, nat_control, 2, 0)+Tablas!$G$1*VLOOKUP(AJ140, ev_control, 2, 0)+Tablas!$I$1*VLOOKUP(AK140, frec_control, 2, 0)+Tablas!$K$1*VLOOKUP(AL140, doc_control, 2, 0))*0.1*peso_dis, "")</f>
        <v/>
      </c>
      <c r="AN140" s="64"/>
      <c r="AO140" s="64"/>
      <c r="AP140" s="64"/>
      <c r="AQ140" s="80" t="str">
        <f>IFERROR((Tablas!$C$9*VLOOKUP(AN140, amb_control, 2, 0)+Tablas!$E$9*VLOOKUP(AO140, ejec_control, 2, 0)+Tablas!$G$9*VLOOKUP(AP140, cub_control, 2, 0))*0.1*peso_ejec, "")</f>
        <v/>
      </c>
      <c r="AR140" s="91" t="str">
        <f t="shared" si="169"/>
        <v/>
      </c>
      <c r="AS140" s="85" t="str">
        <f t="shared" si="121"/>
        <v/>
      </c>
      <c r="AT140" s="85" t="str">
        <f t="shared" si="122"/>
        <v/>
      </c>
      <c r="AU140" s="85" t="str">
        <f>IF(AR140&lt;Tablas!$G$19, 0, IF(AND(AR140&gt;=Tablas!$G$19, AR140&lt;Tablas!$G$20), 1,  IF(AND(AR140&gt;=Tablas!$G$20, AR140&lt;Tablas!$G$21), 2,  IF(AND(AR140&gt;=Tablas!$G$21, AR140&lt;=Tablas!$G$22), 3,  ""))))</f>
        <v/>
      </c>
      <c r="AV140" s="85" t="str">
        <f t="shared" si="170"/>
        <v/>
      </c>
      <c r="AW140" s="101" t="str">
        <f t="shared" si="171"/>
        <v/>
      </c>
      <c r="AX140" s="177"/>
      <c r="AY140" s="169"/>
      <c r="AZ140" s="158"/>
      <c r="BA140" s="169"/>
      <c r="BB140" s="182"/>
      <c r="BC140" s="182"/>
      <c r="BD140" s="185"/>
      <c r="BE140" s="185"/>
      <c r="BF140" s="158"/>
      <c r="BG140" s="191"/>
    </row>
    <row r="141" spans="1:59" s="121" customFormat="1" ht="15" customHeight="1" thickBot="1" x14ac:dyDescent="0.3">
      <c r="A141" s="167"/>
      <c r="B141" s="220"/>
      <c r="C141" s="161"/>
      <c r="D141" s="160"/>
      <c r="E141" s="161"/>
      <c r="F141" s="165"/>
      <c r="G141" s="149"/>
      <c r="H141" s="149"/>
      <c r="I141" s="149"/>
      <c r="J141" s="149"/>
      <c r="K141" s="149"/>
      <c r="L141" s="166"/>
      <c r="M141" s="166"/>
      <c r="N141" s="166"/>
      <c r="O141" s="166"/>
      <c r="P141" s="166"/>
      <c r="Q141" s="166"/>
      <c r="R141" s="177"/>
      <c r="S141" s="149"/>
      <c r="T141" s="149"/>
      <c r="U141" s="149"/>
      <c r="V141" s="149"/>
      <c r="W141" s="149"/>
      <c r="X141" s="165"/>
      <c r="Y141" s="165"/>
      <c r="Z141" s="172"/>
      <c r="AA141" s="188"/>
      <c r="AB141" s="172"/>
      <c r="AC141" s="172"/>
      <c r="AD141" s="175"/>
      <c r="AE141" s="66" t="s">
        <v>154</v>
      </c>
      <c r="AF141" s="134"/>
      <c r="AG141" s="67"/>
      <c r="AH141" s="69"/>
      <c r="AI141" s="69"/>
      <c r="AJ141" s="69"/>
      <c r="AK141" s="69"/>
      <c r="AL141" s="69"/>
      <c r="AM141" s="81" t="str">
        <f>IFERROR((Tablas!$C$1*VLOOKUP(AH141, tipo_control, 2, 0)+Tablas!$E$1*VLOOKUP(AI141, nat_control, 2, 0)+Tablas!$G$1*VLOOKUP(AJ141, ev_control, 2, 0)+Tablas!$I$1*VLOOKUP(AK141, frec_control, 2, 0)+Tablas!$K$1*VLOOKUP(AL141, doc_control, 2, 0))*0.1*peso_dis, "")</f>
        <v/>
      </c>
      <c r="AN141" s="69"/>
      <c r="AO141" s="69"/>
      <c r="AP141" s="69"/>
      <c r="AQ141" s="81" t="str">
        <f>IFERROR((Tablas!$C$9*VLOOKUP(AN141, amb_control, 2, 0)+Tablas!$E$9*VLOOKUP(AO141, ejec_control, 2, 0)+Tablas!$G$9*VLOOKUP(AP141, cub_control, 2, 0))*0.1*peso_ejec, "")</f>
        <v/>
      </c>
      <c r="AR141" s="93" t="str">
        <f t="shared" si="169"/>
        <v/>
      </c>
      <c r="AS141" s="94" t="str">
        <f t="shared" si="121"/>
        <v/>
      </c>
      <c r="AT141" s="94" t="str">
        <f t="shared" si="122"/>
        <v/>
      </c>
      <c r="AU141" s="94" t="str">
        <f>IF(AR141&lt;Tablas!$G$19, 0, IF(AND(AR141&gt;=Tablas!$G$19, AR141&lt;Tablas!$G$20), 1,  IF(AND(AR141&gt;=Tablas!$G$20, AR141&lt;Tablas!$G$21), 2,  IF(AND(AR141&gt;=Tablas!$G$21, AR141&lt;=Tablas!$G$22), 3,  ""))))</f>
        <v/>
      </c>
      <c r="AV141" s="94" t="str">
        <f t="shared" si="170"/>
        <v/>
      </c>
      <c r="AW141" s="102" t="str">
        <f t="shared" si="171"/>
        <v/>
      </c>
      <c r="AX141" s="157"/>
      <c r="AY141" s="170"/>
      <c r="AZ141" s="179"/>
      <c r="BA141" s="170"/>
      <c r="BB141" s="182"/>
      <c r="BC141" s="182"/>
      <c r="BD141" s="185"/>
      <c r="BE141" s="185"/>
      <c r="BF141" s="159"/>
      <c r="BG141" s="191"/>
    </row>
    <row r="142" spans="1:59" s="121" customFormat="1" ht="15" customHeight="1" x14ac:dyDescent="0.25">
      <c r="A142" s="167"/>
      <c r="B142" s="220"/>
      <c r="C142" s="161" t="s">
        <v>181</v>
      </c>
      <c r="D142" s="160"/>
      <c r="E142" s="149"/>
      <c r="F142" s="163" t="str">
        <f t="shared" si="214"/>
        <v/>
      </c>
      <c r="G142" s="148"/>
      <c r="H142" s="148"/>
      <c r="I142" s="148"/>
      <c r="J142" s="148"/>
      <c r="K142" s="148"/>
      <c r="L142" s="165" t="str">
        <f t="shared" ref="L142" si="225">IFERROR(VLOOKUP(G142, tabla02, 2, 0), "")</f>
        <v/>
      </c>
      <c r="M142" s="165" t="str">
        <f t="shared" ref="M142" si="226">IFERROR(VLOOKUP(H142, tabla02, 2, 0), "")</f>
        <v/>
      </c>
      <c r="N142" s="165" t="str">
        <f t="shared" ref="N142" si="227">IFERROR(VLOOKUP(I142, tabla02, 2, 0), "")</f>
        <v/>
      </c>
      <c r="O142" s="165" t="str">
        <f t="shared" ref="O142" si="228">IFERROR(VLOOKUP(J142, tabla02, 2, 0), "")</f>
        <v/>
      </c>
      <c r="P142" s="165" t="str">
        <f t="shared" ref="P142" si="229">IFERROR(VLOOKUP(K142, tabla02, 2, 0), "")</f>
        <v/>
      </c>
      <c r="Q142" s="165" t="str">
        <f t="shared" ref="Q142" si="230">IF(SUM(L142:P142)=0, "", MAX(L142:P142))</f>
        <v/>
      </c>
      <c r="R142" s="159" t="str">
        <f>IFERROR(VLOOKUP(Q142, tabla04, 3, 0), "")</f>
        <v/>
      </c>
      <c r="S142" s="148"/>
      <c r="T142" s="148"/>
      <c r="U142" s="148"/>
      <c r="V142" s="148"/>
      <c r="W142" s="148"/>
      <c r="X142" s="163" t="str">
        <f>IFERROR(VLOOKUP(CONCATENATE(F142, "-", Q142), cuadrante_sev, 3, 0), "")</f>
        <v/>
      </c>
      <c r="Y142" s="163" t="str">
        <f t="shared" ref="Y142" si="231">IFERROR(IF(X142="Baja", 1, IF(X142="Moderada", 2, IF(X142="Alta", 3, IF(X142="Extrema", 4, "")))), "")</f>
        <v/>
      </c>
      <c r="Z142" s="172"/>
      <c r="AA142" s="188"/>
      <c r="AB142" s="172"/>
      <c r="AC142" s="172"/>
      <c r="AD142" s="175"/>
      <c r="AE142" s="70" t="s">
        <v>113</v>
      </c>
      <c r="AF142" s="135"/>
      <c r="AG142" s="74"/>
      <c r="AH142" s="72"/>
      <c r="AI142" s="72"/>
      <c r="AJ142" s="72"/>
      <c r="AK142" s="72"/>
      <c r="AL142" s="72"/>
      <c r="AM142" s="82" t="str">
        <f>IFERROR((Tablas!$C$1*VLOOKUP(AH142, tipo_control, 2, 0)+Tablas!$E$1*VLOOKUP(AI142, nat_control, 2, 0)+Tablas!$G$1*VLOOKUP(AJ142, ev_control, 2, 0)+Tablas!$I$1*VLOOKUP(AK142, frec_control, 2, 0)+Tablas!$K$1*VLOOKUP(AL142, doc_control, 2, 0))*0.1*peso_dis, "")</f>
        <v/>
      </c>
      <c r="AN142" s="72"/>
      <c r="AO142" s="72"/>
      <c r="AP142" s="72"/>
      <c r="AQ142" s="82" t="str">
        <f>IFERROR((Tablas!$C$9*VLOOKUP(AN142, amb_control, 2, 0)+Tablas!$E$9*VLOOKUP(AO142, ejec_control, 2, 0)+Tablas!$G$9*VLOOKUP(AP142, cub_control, 2, 0))*0.1*peso_ejec, "")</f>
        <v/>
      </c>
      <c r="AR142" s="96" t="str">
        <f t="shared" si="169"/>
        <v/>
      </c>
      <c r="AS142" s="97" t="str">
        <f t="shared" si="121"/>
        <v/>
      </c>
      <c r="AT142" s="87" t="str">
        <f t="shared" si="122"/>
        <v/>
      </c>
      <c r="AU142" s="97" t="str">
        <f>IF(AR142&lt;Tablas!$G$19, 0, IF(AND(AR142&gt;=Tablas!$G$19, AR142&lt;Tablas!$G$20), 1,  IF(AND(AR142&gt;=Tablas!$G$20, AR142&lt;Tablas!$G$21), 2,  IF(AND(AR142&gt;=Tablas!$G$21, AR142&lt;=Tablas!$G$22), 3,  ""))))</f>
        <v/>
      </c>
      <c r="AV142" s="97" t="str">
        <f t="shared" si="170"/>
        <v/>
      </c>
      <c r="AW142" s="103" t="str">
        <f t="shared" si="171"/>
        <v/>
      </c>
      <c r="AX142" s="176" t="str">
        <f t="shared" ref="AX142" si="232">IFERROR(VLOOKUP(AY142, tabla04, 2, 0), "")</f>
        <v/>
      </c>
      <c r="AY142" s="168" t="str">
        <f>IF(F142="", "", IF((F142-MAX(AV142:AV146))&lt;=0, 1, F142-MAX(AV142:AV146)))</f>
        <v/>
      </c>
      <c r="AZ142" s="178" t="str">
        <f t="shared" ref="AZ142" si="233">IFERROR(VLOOKUP(BA142, tabla04, 3, 0), "")</f>
        <v/>
      </c>
      <c r="BA142" s="168" t="str">
        <f>IF(Q142="", "", IF((Q142-MAX(AW142:AW146))&lt;=0, 1, Q142-MAX(AW142:AW146)))</f>
        <v/>
      </c>
      <c r="BB142" s="182"/>
      <c r="BC142" s="182"/>
      <c r="BD142" s="185"/>
      <c r="BE142" s="185"/>
      <c r="BF142" s="158" t="str">
        <f t="shared" ref="BF142:BF144" si="234">IFERROR(VLOOKUP(CONCATENATE(AY142, "-", BA142), cuadrante_sev, 3, 0), "")</f>
        <v/>
      </c>
      <c r="BG142" s="191"/>
    </row>
    <row r="143" spans="1:59" s="121" customFormat="1" ht="15" customHeight="1" x14ac:dyDescent="0.25">
      <c r="A143" s="167"/>
      <c r="B143" s="220"/>
      <c r="C143" s="161"/>
      <c r="D143" s="160"/>
      <c r="E143" s="161"/>
      <c r="F143" s="164"/>
      <c r="G143" s="167"/>
      <c r="H143" s="167"/>
      <c r="I143" s="167"/>
      <c r="J143" s="167"/>
      <c r="K143" s="167"/>
      <c r="L143" s="166"/>
      <c r="M143" s="166"/>
      <c r="N143" s="166"/>
      <c r="O143" s="166"/>
      <c r="P143" s="166"/>
      <c r="Q143" s="166"/>
      <c r="R143" s="177"/>
      <c r="S143" s="167"/>
      <c r="T143" s="167"/>
      <c r="U143" s="167"/>
      <c r="V143" s="167"/>
      <c r="W143" s="167"/>
      <c r="X143" s="164"/>
      <c r="Y143" s="164"/>
      <c r="Z143" s="172"/>
      <c r="AA143" s="188"/>
      <c r="AB143" s="172"/>
      <c r="AC143" s="172"/>
      <c r="AD143" s="175"/>
      <c r="AE143" s="62" t="s">
        <v>114</v>
      </c>
      <c r="AF143" s="133"/>
      <c r="AG143" s="65"/>
      <c r="AH143" s="64"/>
      <c r="AI143" s="64"/>
      <c r="AJ143" s="64"/>
      <c r="AK143" s="64"/>
      <c r="AL143" s="64"/>
      <c r="AM143" s="80" t="str">
        <f>IFERROR((Tablas!$C$1*VLOOKUP(AH143, tipo_control, 2, 0)+Tablas!$E$1*VLOOKUP(AI143, nat_control, 2, 0)+Tablas!$G$1*VLOOKUP(AJ143, ev_control, 2, 0)+Tablas!$I$1*VLOOKUP(AK143, frec_control, 2, 0)+Tablas!$K$1*VLOOKUP(AL143, doc_control, 2, 0))*0.1*peso_dis, "")</f>
        <v/>
      </c>
      <c r="AN143" s="64"/>
      <c r="AO143" s="64"/>
      <c r="AP143" s="64"/>
      <c r="AQ143" s="80" t="str">
        <f>IFERROR((Tablas!$C$9*VLOOKUP(AN143, amb_control, 2, 0)+Tablas!$E$9*VLOOKUP(AO143, ejec_control, 2, 0)+Tablas!$G$9*VLOOKUP(AP143, cub_control, 2, 0))*0.1*peso_ejec, "")</f>
        <v/>
      </c>
      <c r="AR143" s="91" t="str">
        <f t="shared" si="169"/>
        <v/>
      </c>
      <c r="AS143" s="85" t="str">
        <f t="shared" si="121"/>
        <v/>
      </c>
      <c r="AT143" s="85" t="str">
        <f t="shared" si="122"/>
        <v/>
      </c>
      <c r="AU143" s="85" t="str">
        <f>IF(AR143&lt;Tablas!$G$19, 0, IF(AND(AR143&gt;=Tablas!$G$19, AR143&lt;Tablas!$G$20), 1,  IF(AND(AR143&gt;=Tablas!$G$20, AR143&lt;Tablas!$G$21), 2,  IF(AND(AR143&gt;=Tablas!$G$21, AR143&lt;=Tablas!$G$22), 3,  ""))))</f>
        <v/>
      </c>
      <c r="AV143" s="85" t="str">
        <f t="shared" si="170"/>
        <v/>
      </c>
      <c r="AW143" s="101" t="str">
        <f t="shared" si="171"/>
        <v/>
      </c>
      <c r="AX143" s="177"/>
      <c r="AY143" s="169"/>
      <c r="AZ143" s="158"/>
      <c r="BA143" s="169"/>
      <c r="BB143" s="182"/>
      <c r="BC143" s="182"/>
      <c r="BD143" s="185"/>
      <c r="BE143" s="185"/>
      <c r="BF143" s="158" t="str">
        <f t="shared" si="234"/>
        <v/>
      </c>
      <c r="BG143" s="191"/>
    </row>
    <row r="144" spans="1:59" s="121" customFormat="1" ht="15" customHeight="1" x14ac:dyDescent="0.25">
      <c r="A144" s="167"/>
      <c r="B144" s="220"/>
      <c r="C144" s="161"/>
      <c r="D144" s="160"/>
      <c r="E144" s="161"/>
      <c r="F144" s="164"/>
      <c r="G144" s="167"/>
      <c r="H144" s="167"/>
      <c r="I144" s="167"/>
      <c r="J144" s="167"/>
      <c r="K144" s="167"/>
      <c r="L144" s="166"/>
      <c r="M144" s="166"/>
      <c r="N144" s="166"/>
      <c r="O144" s="166"/>
      <c r="P144" s="166"/>
      <c r="Q144" s="166"/>
      <c r="R144" s="177"/>
      <c r="S144" s="167"/>
      <c r="T144" s="167"/>
      <c r="U144" s="167"/>
      <c r="V144" s="167"/>
      <c r="W144" s="167"/>
      <c r="X144" s="164"/>
      <c r="Y144" s="164"/>
      <c r="Z144" s="172"/>
      <c r="AA144" s="188"/>
      <c r="AB144" s="172"/>
      <c r="AC144" s="172"/>
      <c r="AD144" s="175"/>
      <c r="AE144" s="62" t="s">
        <v>115</v>
      </c>
      <c r="AF144" s="133"/>
      <c r="AG144" s="65"/>
      <c r="AH144" s="64"/>
      <c r="AI144" s="64"/>
      <c r="AJ144" s="64"/>
      <c r="AK144" s="64"/>
      <c r="AL144" s="64"/>
      <c r="AM144" s="80" t="str">
        <f>IFERROR((Tablas!$C$1*VLOOKUP(AH144, tipo_control, 2, 0)+Tablas!$E$1*VLOOKUP(AI144, nat_control, 2, 0)+Tablas!$G$1*VLOOKUP(AJ144, ev_control, 2, 0)+Tablas!$I$1*VLOOKUP(AK144, frec_control, 2, 0)+Tablas!$K$1*VLOOKUP(AL144, doc_control, 2, 0))*0.1*peso_dis, "")</f>
        <v/>
      </c>
      <c r="AN144" s="64"/>
      <c r="AO144" s="64"/>
      <c r="AP144" s="64"/>
      <c r="AQ144" s="80" t="str">
        <f>IFERROR((Tablas!$C$9*VLOOKUP(AN144, amb_control, 2, 0)+Tablas!$E$9*VLOOKUP(AO144, ejec_control, 2, 0)+Tablas!$G$9*VLOOKUP(AP144, cub_control, 2, 0))*0.1*peso_ejec, "")</f>
        <v/>
      </c>
      <c r="AR144" s="91" t="str">
        <f t="shared" si="169"/>
        <v/>
      </c>
      <c r="AS144" s="85" t="str">
        <f t="shared" si="121"/>
        <v/>
      </c>
      <c r="AT144" s="85" t="str">
        <f t="shared" si="122"/>
        <v/>
      </c>
      <c r="AU144" s="85" t="str">
        <f>IF(AR144&lt;Tablas!$G$19, 0, IF(AND(AR144&gt;=Tablas!$G$19, AR144&lt;Tablas!$G$20), 1,  IF(AND(AR144&gt;=Tablas!$G$20, AR144&lt;Tablas!$G$21), 2,  IF(AND(AR144&gt;=Tablas!$G$21, AR144&lt;=Tablas!$G$22), 3,  ""))))</f>
        <v/>
      </c>
      <c r="AV144" s="85" t="str">
        <f t="shared" si="170"/>
        <v/>
      </c>
      <c r="AW144" s="101" t="str">
        <f t="shared" si="171"/>
        <v/>
      </c>
      <c r="AX144" s="177"/>
      <c r="AY144" s="169"/>
      <c r="AZ144" s="158"/>
      <c r="BA144" s="169"/>
      <c r="BB144" s="182"/>
      <c r="BC144" s="182"/>
      <c r="BD144" s="185"/>
      <c r="BE144" s="185"/>
      <c r="BF144" s="158" t="str">
        <f t="shared" si="234"/>
        <v/>
      </c>
      <c r="BG144" s="191"/>
    </row>
    <row r="145" spans="1:59" s="121" customFormat="1" ht="15" customHeight="1" x14ac:dyDescent="0.25">
      <c r="A145" s="167"/>
      <c r="B145" s="220"/>
      <c r="C145" s="161"/>
      <c r="D145" s="160"/>
      <c r="E145" s="161"/>
      <c r="F145" s="164"/>
      <c r="G145" s="167"/>
      <c r="H145" s="167"/>
      <c r="I145" s="167"/>
      <c r="J145" s="167"/>
      <c r="K145" s="167"/>
      <c r="L145" s="166"/>
      <c r="M145" s="166"/>
      <c r="N145" s="166"/>
      <c r="O145" s="166"/>
      <c r="P145" s="166"/>
      <c r="Q145" s="166"/>
      <c r="R145" s="177"/>
      <c r="S145" s="167"/>
      <c r="T145" s="167"/>
      <c r="U145" s="167"/>
      <c r="V145" s="167"/>
      <c r="W145" s="167"/>
      <c r="X145" s="164"/>
      <c r="Y145" s="164"/>
      <c r="Z145" s="172"/>
      <c r="AA145" s="188"/>
      <c r="AB145" s="172"/>
      <c r="AC145" s="172"/>
      <c r="AD145" s="175"/>
      <c r="AE145" s="62" t="s">
        <v>153</v>
      </c>
      <c r="AF145" s="133"/>
      <c r="AG145" s="65"/>
      <c r="AH145" s="64"/>
      <c r="AI145" s="64"/>
      <c r="AJ145" s="64"/>
      <c r="AK145" s="64"/>
      <c r="AL145" s="64"/>
      <c r="AM145" s="80" t="str">
        <f>IFERROR((Tablas!$C$1*VLOOKUP(AH145, tipo_control, 2, 0)+Tablas!$E$1*VLOOKUP(AI145, nat_control, 2, 0)+Tablas!$G$1*VLOOKUP(AJ145, ev_control, 2, 0)+Tablas!$I$1*VLOOKUP(AK145, frec_control, 2, 0)+Tablas!$K$1*VLOOKUP(AL145, doc_control, 2, 0))*0.1*peso_dis, "")</f>
        <v/>
      </c>
      <c r="AN145" s="64"/>
      <c r="AO145" s="64"/>
      <c r="AP145" s="64"/>
      <c r="AQ145" s="80" t="str">
        <f>IFERROR((Tablas!$C$9*VLOOKUP(AN145, amb_control, 2, 0)+Tablas!$E$9*VLOOKUP(AO145, ejec_control, 2, 0)+Tablas!$G$9*VLOOKUP(AP145, cub_control, 2, 0))*0.1*peso_ejec, "")</f>
        <v/>
      </c>
      <c r="AR145" s="91" t="str">
        <f t="shared" si="169"/>
        <v/>
      </c>
      <c r="AS145" s="85" t="str">
        <f t="shared" si="121"/>
        <v/>
      </c>
      <c r="AT145" s="85" t="str">
        <f t="shared" si="122"/>
        <v/>
      </c>
      <c r="AU145" s="85" t="str">
        <f>IF(AR145&lt;Tablas!$G$19, 0, IF(AND(AR145&gt;=Tablas!$G$19, AR145&lt;Tablas!$G$20), 1,  IF(AND(AR145&gt;=Tablas!$G$20, AR145&lt;Tablas!$G$21), 2,  IF(AND(AR145&gt;=Tablas!$G$21, AR145&lt;=Tablas!$G$22), 3,  ""))))</f>
        <v/>
      </c>
      <c r="AV145" s="85" t="str">
        <f t="shared" si="170"/>
        <v/>
      </c>
      <c r="AW145" s="101" t="str">
        <f t="shared" si="171"/>
        <v/>
      </c>
      <c r="AX145" s="177"/>
      <c r="AY145" s="169"/>
      <c r="AZ145" s="158"/>
      <c r="BA145" s="169"/>
      <c r="BB145" s="182"/>
      <c r="BC145" s="182"/>
      <c r="BD145" s="185"/>
      <c r="BE145" s="185"/>
      <c r="BF145" s="158"/>
      <c r="BG145" s="191"/>
    </row>
    <row r="146" spans="1:59" s="121" customFormat="1" ht="15" customHeight="1" thickBot="1" x14ac:dyDescent="0.3">
      <c r="A146" s="167"/>
      <c r="B146" s="220"/>
      <c r="C146" s="161"/>
      <c r="D146" s="160"/>
      <c r="E146" s="161"/>
      <c r="F146" s="165"/>
      <c r="G146" s="149"/>
      <c r="H146" s="149"/>
      <c r="I146" s="149"/>
      <c r="J146" s="149"/>
      <c r="K146" s="149"/>
      <c r="L146" s="166"/>
      <c r="M146" s="166"/>
      <c r="N146" s="166"/>
      <c r="O146" s="166"/>
      <c r="P146" s="166"/>
      <c r="Q146" s="166"/>
      <c r="R146" s="177"/>
      <c r="S146" s="149"/>
      <c r="T146" s="149"/>
      <c r="U146" s="149"/>
      <c r="V146" s="149"/>
      <c r="W146" s="149"/>
      <c r="X146" s="165"/>
      <c r="Y146" s="165"/>
      <c r="Z146" s="172"/>
      <c r="AA146" s="188"/>
      <c r="AB146" s="172"/>
      <c r="AC146" s="172"/>
      <c r="AD146" s="175"/>
      <c r="AE146" s="66" t="s">
        <v>154</v>
      </c>
      <c r="AF146" s="134"/>
      <c r="AG146" s="67"/>
      <c r="AH146" s="69"/>
      <c r="AI146" s="69"/>
      <c r="AJ146" s="69"/>
      <c r="AK146" s="69"/>
      <c r="AL146" s="69"/>
      <c r="AM146" s="81" t="str">
        <f>IFERROR((Tablas!$C$1*VLOOKUP(AH146, tipo_control, 2, 0)+Tablas!$E$1*VLOOKUP(AI146, nat_control, 2, 0)+Tablas!$G$1*VLOOKUP(AJ146, ev_control, 2, 0)+Tablas!$I$1*VLOOKUP(AK146, frec_control, 2, 0)+Tablas!$K$1*VLOOKUP(AL146, doc_control, 2, 0))*0.1*peso_dis, "")</f>
        <v/>
      </c>
      <c r="AN146" s="69"/>
      <c r="AO146" s="69"/>
      <c r="AP146" s="69"/>
      <c r="AQ146" s="81" t="str">
        <f>IFERROR((Tablas!$C$9*VLOOKUP(AN146, amb_control, 2, 0)+Tablas!$E$9*VLOOKUP(AO146, ejec_control, 2, 0)+Tablas!$G$9*VLOOKUP(AP146, cub_control, 2, 0))*0.1*peso_ejec, "")</f>
        <v/>
      </c>
      <c r="AR146" s="93" t="str">
        <f t="shared" si="169"/>
        <v/>
      </c>
      <c r="AS146" s="94" t="str">
        <f t="shared" ref="AS146:AS209" si="235">IFERROR(VLOOKUP(AH146, tabla03, 12, 0), "")</f>
        <v/>
      </c>
      <c r="AT146" s="94" t="str">
        <f t="shared" ref="AT146:AT209" si="236">IFERROR(VLOOKUP(AH146, tabla03, 13, 0), "")</f>
        <v/>
      </c>
      <c r="AU146" s="94" t="str">
        <f>IF(AR146&lt;Tablas!$G$19, 0, IF(AND(AR146&gt;=Tablas!$G$19, AR146&lt;Tablas!$G$20), 1,  IF(AND(AR146&gt;=Tablas!$G$20, AR146&lt;Tablas!$G$21), 2,  IF(AND(AR146&gt;=Tablas!$G$21, AR146&lt;=Tablas!$G$22), 3,  ""))))</f>
        <v/>
      </c>
      <c r="AV146" s="94" t="str">
        <f t="shared" si="170"/>
        <v/>
      </c>
      <c r="AW146" s="102" t="str">
        <f t="shared" si="171"/>
        <v/>
      </c>
      <c r="AX146" s="157"/>
      <c r="AY146" s="170"/>
      <c r="AZ146" s="179"/>
      <c r="BA146" s="170"/>
      <c r="BB146" s="182"/>
      <c r="BC146" s="182"/>
      <c r="BD146" s="185"/>
      <c r="BE146" s="185"/>
      <c r="BF146" s="159"/>
      <c r="BG146" s="191"/>
    </row>
    <row r="147" spans="1:59" s="121" customFormat="1" ht="15" customHeight="1" x14ac:dyDescent="0.25">
      <c r="A147" s="167"/>
      <c r="B147" s="220"/>
      <c r="C147" s="161" t="s">
        <v>182</v>
      </c>
      <c r="D147" s="160"/>
      <c r="E147" s="149"/>
      <c r="F147" s="163" t="str">
        <f t="shared" si="214"/>
        <v/>
      </c>
      <c r="G147" s="148"/>
      <c r="H147" s="148"/>
      <c r="I147" s="148"/>
      <c r="J147" s="148"/>
      <c r="K147" s="148"/>
      <c r="L147" s="165" t="str">
        <f t="shared" ref="L147" si="237">IFERROR(VLOOKUP(G147, tabla02, 2, 0), "")</f>
        <v/>
      </c>
      <c r="M147" s="165" t="str">
        <f t="shared" ref="M147" si="238">IFERROR(VLOOKUP(H147, tabla02, 2, 0), "")</f>
        <v/>
      </c>
      <c r="N147" s="165" t="str">
        <f t="shared" ref="N147" si="239">IFERROR(VLOOKUP(I147, tabla02, 2, 0), "")</f>
        <v/>
      </c>
      <c r="O147" s="165" t="str">
        <f t="shared" ref="O147" si="240">IFERROR(VLOOKUP(J147, tabla02, 2, 0), "")</f>
        <v/>
      </c>
      <c r="P147" s="165" t="str">
        <f t="shared" ref="P147" si="241">IFERROR(VLOOKUP(K147, tabla02, 2, 0), "")</f>
        <v/>
      </c>
      <c r="Q147" s="165" t="str">
        <f t="shared" ref="Q147" si="242">IF(SUM(L147:P147)=0, "", MAX(L147:P147))</f>
        <v/>
      </c>
      <c r="R147" s="159" t="str">
        <f>IFERROR(VLOOKUP(Q147, tabla04, 3, 0), "")</f>
        <v/>
      </c>
      <c r="S147" s="148"/>
      <c r="T147" s="148"/>
      <c r="U147" s="148"/>
      <c r="V147" s="148"/>
      <c r="W147" s="148"/>
      <c r="X147" s="163" t="str">
        <f>IFERROR(VLOOKUP(CONCATENATE(F147, "-", Q147), cuadrante_sev, 3, 0), "")</f>
        <v/>
      </c>
      <c r="Y147" s="163" t="str">
        <f t="shared" ref="Y147" si="243">IFERROR(IF(X147="Baja", 1, IF(X147="Moderada", 2, IF(X147="Alta", 3, IF(X147="Extrema", 4, "")))), "")</f>
        <v/>
      </c>
      <c r="Z147" s="172"/>
      <c r="AA147" s="188"/>
      <c r="AB147" s="172"/>
      <c r="AC147" s="172"/>
      <c r="AD147" s="175"/>
      <c r="AE147" s="70" t="s">
        <v>113</v>
      </c>
      <c r="AF147" s="135"/>
      <c r="AG147" s="74"/>
      <c r="AH147" s="72"/>
      <c r="AI147" s="72"/>
      <c r="AJ147" s="72"/>
      <c r="AK147" s="72"/>
      <c r="AL147" s="72"/>
      <c r="AM147" s="82" t="str">
        <f>IFERROR((Tablas!$C$1*VLOOKUP(AH147, tipo_control, 2, 0)+Tablas!$E$1*VLOOKUP(AI147, nat_control, 2, 0)+Tablas!$G$1*VLOOKUP(AJ147, ev_control, 2, 0)+Tablas!$I$1*VLOOKUP(AK147, frec_control, 2, 0)+Tablas!$K$1*VLOOKUP(AL147, doc_control, 2, 0))*0.1*peso_dis, "")</f>
        <v/>
      </c>
      <c r="AN147" s="72"/>
      <c r="AO147" s="72"/>
      <c r="AP147" s="72"/>
      <c r="AQ147" s="82" t="str">
        <f>IFERROR((Tablas!$C$9*VLOOKUP(AN147, amb_control, 2, 0)+Tablas!$E$9*VLOOKUP(AO147, ejec_control, 2, 0)+Tablas!$G$9*VLOOKUP(AP147, cub_control, 2, 0))*0.1*peso_ejec, "")</f>
        <v/>
      </c>
      <c r="AR147" s="96" t="str">
        <f t="shared" si="169"/>
        <v/>
      </c>
      <c r="AS147" s="97" t="str">
        <f t="shared" si="235"/>
        <v/>
      </c>
      <c r="AT147" s="87" t="str">
        <f t="shared" si="236"/>
        <v/>
      </c>
      <c r="AU147" s="97" t="str">
        <f>IF(AR147&lt;Tablas!$G$19, 0, IF(AND(AR147&gt;=Tablas!$G$19, AR147&lt;Tablas!$G$20), 1,  IF(AND(AR147&gt;=Tablas!$G$20, AR147&lt;Tablas!$G$21), 2,  IF(AND(AR147&gt;=Tablas!$G$21, AR147&lt;=Tablas!$G$22), 3,  ""))))</f>
        <v/>
      </c>
      <c r="AV147" s="97" t="str">
        <f t="shared" si="170"/>
        <v/>
      </c>
      <c r="AW147" s="103" t="str">
        <f t="shared" si="171"/>
        <v/>
      </c>
      <c r="AX147" s="176" t="str">
        <f t="shared" ref="AX147" si="244">IFERROR(VLOOKUP(AY147, tabla04, 2, 0), "")</f>
        <v/>
      </c>
      <c r="AY147" s="168" t="str">
        <f>IF(F147="", "", IF((F147-MAX(AV147:AV151))&lt;=0, 1, F147-MAX(AV147:AV151)))</f>
        <v/>
      </c>
      <c r="AZ147" s="178" t="str">
        <f t="shared" ref="AZ147" si="245">IFERROR(VLOOKUP(BA147, tabla04, 3, 0), "")</f>
        <v/>
      </c>
      <c r="BA147" s="168" t="str">
        <f>IF(Q147="", "", IF((Q147-MAX(AW147:AW151))&lt;=0, 1, Q147-MAX(AW147:AW151)))</f>
        <v/>
      </c>
      <c r="BB147" s="182"/>
      <c r="BC147" s="182"/>
      <c r="BD147" s="185"/>
      <c r="BE147" s="185"/>
      <c r="BF147" s="158" t="str">
        <f t="shared" ref="BF147:BF149" si="246">IFERROR(VLOOKUP(CONCATENATE(AY147, "-", BA147), cuadrante_sev, 3, 0), "")</f>
        <v/>
      </c>
      <c r="BG147" s="191"/>
    </row>
    <row r="148" spans="1:59" s="121" customFormat="1" ht="15" customHeight="1" x14ac:dyDescent="0.25">
      <c r="A148" s="167"/>
      <c r="B148" s="220"/>
      <c r="C148" s="161"/>
      <c r="D148" s="160"/>
      <c r="E148" s="161"/>
      <c r="F148" s="164"/>
      <c r="G148" s="167"/>
      <c r="H148" s="167"/>
      <c r="I148" s="167"/>
      <c r="J148" s="167"/>
      <c r="K148" s="167"/>
      <c r="L148" s="166"/>
      <c r="M148" s="166"/>
      <c r="N148" s="166"/>
      <c r="O148" s="166"/>
      <c r="P148" s="166"/>
      <c r="Q148" s="166"/>
      <c r="R148" s="177"/>
      <c r="S148" s="167"/>
      <c r="T148" s="167"/>
      <c r="U148" s="167"/>
      <c r="V148" s="167"/>
      <c r="W148" s="167"/>
      <c r="X148" s="164"/>
      <c r="Y148" s="164"/>
      <c r="Z148" s="172"/>
      <c r="AA148" s="188"/>
      <c r="AB148" s="172"/>
      <c r="AC148" s="172"/>
      <c r="AD148" s="175"/>
      <c r="AE148" s="62" t="s">
        <v>114</v>
      </c>
      <c r="AF148" s="133"/>
      <c r="AG148" s="65"/>
      <c r="AH148" s="64"/>
      <c r="AI148" s="64"/>
      <c r="AJ148" s="64"/>
      <c r="AK148" s="64"/>
      <c r="AL148" s="64"/>
      <c r="AM148" s="80" t="str">
        <f>IFERROR((Tablas!$C$1*VLOOKUP(AH148, tipo_control, 2, 0)+Tablas!$E$1*VLOOKUP(AI148, nat_control, 2, 0)+Tablas!$G$1*VLOOKUP(AJ148, ev_control, 2, 0)+Tablas!$I$1*VLOOKUP(AK148, frec_control, 2, 0)+Tablas!$K$1*VLOOKUP(AL148, doc_control, 2, 0))*0.1*peso_dis, "")</f>
        <v/>
      </c>
      <c r="AN148" s="64"/>
      <c r="AO148" s="64"/>
      <c r="AP148" s="64"/>
      <c r="AQ148" s="80" t="str">
        <f>IFERROR((Tablas!$C$9*VLOOKUP(AN148, amb_control, 2, 0)+Tablas!$E$9*VLOOKUP(AO148, ejec_control, 2, 0)+Tablas!$G$9*VLOOKUP(AP148, cub_control, 2, 0))*0.1*peso_ejec, "")</f>
        <v/>
      </c>
      <c r="AR148" s="91" t="str">
        <f t="shared" si="169"/>
        <v/>
      </c>
      <c r="AS148" s="85" t="str">
        <f t="shared" si="235"/>
        <v/>
      </c>
      <c r="AT148" s="85" t="str">
        <f t="shared" si="236"/>
        <v/>
      </c>
      <c r="AU148" s="85" t="str">
        <f>IF(AR148&lt;Tablas!$G$19, 0, IF(AND(AR148&gt;=Tablas!$G$19, AR148&lt;Tablas!$G$20), 1,  IF(AND(AR148&gt;=Tablas!$G$20, AR148&lt;Tablas!$G$21), 2,  IF(AND(AR148&gt;=Tablas!$G$21, AR148&lt;=Tablas!$G$22), 3,  ""))))</f>
        <v/>
      </c>
      <c r="AV148" s="85" t="str">
        <f t="shared" si="170"/>
        <v/>
      </c>
      <c r="AW148" s="101" t="str">
        <f t="shared" si="171"/>
        <v/>
      </c>
      <c r="AX148" s="177"/>
      <c r="AY148" s="169"/>
      <c r="AZ148" s="158"/>
      <c r="BA148" s="169"/>
      <c r="BB148" s="182"/>
      <c r="BC148" s="182"/>
      <c r="BD148" s="185"/>
      <c r="BE148" s="185"/>
      <c r="BF148" s="158" t="str">
        <f t="shared" si="246"/>
        <v/>
      </c>
      <c r="BG148" s="191"/>
    </row>
    <row r="149" spans="1:59" s="121" customFormat="1" ht="15" customHeight="1" x14ac:dyDescent="0.25">
      <c r="A149" s="167"/>
      <c r="B149" s="220"/>
      <c r="C149" s="161"/>
      <c r="D149" s="160"/>
      <c r="E149" s="161"/>
      <c r="F149" s="164"/>
      <c r="G149" s="167"/>
      <c r="H149" s="167"/>
      <c r="I149" s="167"/>
      <c r="J149" s="167"/>
      <c r="K149" s="167"/>
      <c r="L149" s="166"/>
      <c r="M149" s="166"/>
      <c r="N149" s="166"/>
      <c r="O149" s="166"/>
      <c r="P149" s="166"/>
      <c r="Q149" s="166"/>
      <c r="R149" s="177"/>
      <c r="S149" s="167"/>
      <c r="T149" s="167"/>
      <c r="U149" s="167"/>
      <c r="V149" s="167"/>
      <c r="W149" s="167"/>
      <c r="X149" s="164"/>
      <c r="Y149" s="164"/>
      <c r="Z149" s="172"/>
      <c r="AA149" s="188"/>
      <c r="AB149" s="172"/>
      <c r="AC149" s="172"/>
      <c r="AD149" s="175"/>
      <c r="AE149" s="62" t="s">
        <v>115</v>
      </c>
      <c r="AF149" s="133"/>
      <c r="AG149" s="65"/>
      <c r="AH149" s="64"/>
      <c r="AI149" s="64"/>
      <c r="AJ149" s="64"/>
      <c r="AK149" s="64"/>
      <c r="AL149" s="64"/>
      <c r="AM149" s="80" t="str">
        <f>IFERROR((Tablas!$C$1*VLOOKUP(AH149, tipo_control, 2, 0)+Tablas!$E$1*VLOOKUP(AI149, nat_control, 2, 0)+Tablas!$G$1*VLOOKUP(AJ149, ev_control, 2, 0)+Tablas!$I$1*VLOOKUP(AK149, frec_control, 2, 0)+Tablas!$K$1*VLOOKUP(AL149, doc_control, 2, 0))*0.1*peso_dis, "")</f>
        <v/>
      </c>
      <c r="AN149" s="64"/>
      <c r="AO149" s="64"/>
      <c r="AP149" s="64"/>
      <c r="AQ149" s="80" t="str">
        <f>IFERROR((Tablas!$C$9*VLOOKUP(AN149, amb_control, 2, 0)+Tablas!$E$9*VLOOKUP(AO149, ejec_control, 2, 0)+Tablas!$G$9*VLOOKUP(AP149, cub_control, 2, 0))*0.1*peso_ejec, "")</f>
        <v/>
      </c>
      <c r="AR149" s="91" t="str">
        <f t="shared" si="169"/>
        <v/>
      </c>
      <c r="AS149" s="85" t="str">
        <f t="shared" si="235"/>
        <v/>
      </c>
      <c r="AT149" s="85" t="str">
        <f t="shared" si="236"/>
        <v/>
      </c>
      <c r="AU149" s="85" t="str">
        <f>IF(AR149&lt;Tablas!$G$19, 0, IF(AND(AR149&gt;=Tablas!$G$19, AR149&lt;Tablas!$G$20), 1,  IF(AND(AR149&gt;=Tablas!$G$20, AR149&lt;Tablas!$G$21), 2,  IF(AND(AR149&gt;=Tablas!$G$21, AR149&lt;=Tablas!$G$22), 3,  ""))))</f>
        <v/>
      </c>
      <c r="AV149" s="85" t="str">
        <f t="shared" si="170"/>
        <v/>
      </c>
      <c r="AW149" s="101" t="str">
        <f t="shared" si="171"/>
        <v/>
      </c>
      <c r="AX149" s="177"/>
      <c r="AY149" s="169"/>
      <c r="AZ149" s="158"/>
      <c r="BA149" s="169"/>
      <c r="BB149" s="182"/>
      <c r="BC149" s="182"/>
      <c r="BD149" s="185"/>
      <c r="BE149" s="185"/>
      <c r="BF149" s="158" t="str">
        <f t="shared" si="246"/>
        <v/>
      </c>
      <c r="BG149" s="191"/>
    </row>
    <row r="150" spans="1:59" s="121" customFormat="1" ht="15" customHeight="1" x14ac:dyDescent="0.25">
      <c r="A150" s="167"/>
      <c r="B150" s="220"/>
      <c r="C150" s="161"/>
      <c r="D150" s="160"/>
      <c r="E150" s="161"/>
      <c r="F150" s="164"/>
      <c r="G150" s="167"/>
      <c r="H150" s="167"/>
      <c r="I150" s="167"/>
      <c r="J150" s="167"/>
      <c r="K150" s="167"/>
      <c r="L150" s="166"/>
      <c r="M150" s="166"/>
      <c r="N150" s="166"/>
      <c r="O150" s="166"/>
      <c r="P150" s="166"/>
      <c r="Q150" s="166"/>
      <c r="R150" s="177"/>
      <c r="S150" s="167"/>
      <c r="T150" s="167"/>
      <c r="U150" s="167"/>
      <c r="V150" s="167"/>
      <c r="W150" s="167"/>
      <c r="X150" s="164"/>
      <c r="Y150" s="164"/>
      <c r="Z150" s="172"/>
      <c r="AA150" s="188"/>
      <c r="AB150" s="172"/>
      <c r="AC150" s="172"/>
      <c r="AD150" s="175"/>
      <c r="AE150" s="62" t="s">
        <v>153</v>
      </c>
      <c r="AF150" s="133"/>
      <c r="AG150" s="65"/>
      <c r="AH150" s="64"/>
      <c r="AI150" s="64"/>
      <c r="AJ150" s="64"/>
      <c r="AK150" s="64"/>
      <c r="AL150" s="64"/>
      <c r="AM150" s="80" t="str">
        <f>IFERROR((Tablas!$C$1*VLOOKUP(AH150, tipo_control, 2, 0)+Tablas!$E$1*VLOOKUP(AI150, nat_control, 2, 0)+Tablas!$G$1*VLOOKUP(AJ150, ev_control, 2, 0)+Tablas!$I$1*VLOOKUP(AK150, frec_control, 2, 0)+Tablas!$K$1*VLOOKUP(AL150, doc_control, 2, 0))*0.1*peso_dis, "")</f>
        <v/>
      </c>
      <c r="AN150" s="64"/>
      <c r="AO150" s="64"/>
      <c r="AP150" s="64"/>
      <c r="AQ150" s="80" t="str">
        <f>IFERROR((Tablas!$C$9*VLOOKUP(AN150, amb_control, 2, 0)+Tablas!$E$9*VLOOKUP(AO150, ejec_control, 2, 0)+Tablas!$G$9*VLOOKUP(AP150, cub_control, 2, 0))*0.1*peso_ejec, "")</f>
        <v/>
      </c>
      <c r="AR150" s="91" t="str">
        <f t="shared" si="169"/>
        <v/>
      </c>
      <c r="AS150" s="85" t="str">
        <f t="shared" si="235"/>
        <v/>
      </c>
      <c r="AT150" s="85" t="str">
        <f t="shared" si="236"/>
        <v/>
      </c>
      <c r="AU150" s="85" t="str">
        <f>IF(AR150&lt;Tablas!$G$19, 0, IF(AND(AR150&gt;=Tablas!$G$19, AR150&lt;Tablas!$G$20), 1,  IF(AND(AR150&gt;=Tablas!$G$20, AR150&lt;Tablas!$G$21), 2,  IF(AND(AR150&gt;=Tablas!$G$21, AR150&lt;=Tablas!$G$22), 3,  ""))))</f>
        <v/>
      </c>
      <c r="AV150" s="85" t="str">
        <f t="shared" si="170"/>
        <v/>
      </c>
      <c r="AW150" s="101" t="str">
        <f t="shared" si="171"/>
        <v/>
      </c>
      <c r="AX150" s="177"/>
      <c r="AY150" s="169"/>
      <c r="AZ150" s="158"/>
      <c r="BA150" s="169"/>
      <c r="BB150" s="182"/>
      <c r="BC150" s="182"/>
      <c r="BD150" s="185"/>
      <c r="BE150" s="185"/>
      <c r="BF150" s="158"/>
      <c r="BG150" s="191"/>
    </row>
    <row r="151" spans="1:59" s="121" customFormat="1" ht="15" customHeight="1" thickBot="1" x14ac:dyDescent="0.3">
      <c r="A151" s="167"/>
      <c r="B151" s="220"/>
      <c r="C151" s="161"/>
      <c r="D151" s="160"/>
      <c r="E151" s="161"/>
      <c r="F151" s="165"/>
      <c r="G151" s="149"/>
      <c r="H151" s="149"/>
      <c r="I151" s="149"/>
      <c r="J151" s="149"/>
      <c r="K151" s="149"/>
      <c r="L151" s="166"/>
      <c r="M151" s="166"/>
      <c r="N151" s="166"/>
      <c r="O151" s="166"/>
      <c r="P151" s="166"/>
      <c r="Q151" s="166"/>
      <c r="R151" s="177"/>
      <c r="S151" s="149"/>
      <c r="T151" s="149"/>
      <c r="U151" s="149"/>
      <c r="V151" s="149"/>
      <c r="W151" s="149"/>
      <c r="X151" s="165"/>
      <c r="Y151" s="165"/>
      <c r="Z151" s="172"/>
      <c r="AA151" s="188"/>
      <c r="AB151" s="172"/>
      <c r="AC151" s="172"/>
      <c r="AD151" s="175"/>
      <c r="AE151" s="66" t="s">
        <v>154</v>
      </c>
      <c r="AF151" s="134"/>
      <c r="AG151" s="67"/>
      <c r="AH151" s="69"/>
      <c r="AI151" s="69"/>
      <c r="AJ151" s="69"/>
      <c r="AK151" s="69"/>
      <c r="AL151" s="69"/>
      <c r="AM151" s="81" t="str">
        <f>IFERROR((Tablas!$C$1*VLOOKUP(AH151, tipo_control, 2, 0)+Tablas!$E$1*VLOOKUP(AI151, nat_control, 2, 0)+Tablas!$G$1*VLOOKUP(AJ151, ev_control, 2, 0)+Tablas!$I$1*VLOOKUP(AK151, frec_control, 2, 0)+Tablas!$K$1*VLOOKUP(AL151, doc_control, 2, 0))*0.1*peso_dis, "")</f>
        <v/>
      </c>
      <c r="AN151" s="69"/>
      <c r="AO151" s="69"/>
      <c r="AP151" s="69"/>
      <c r="AQ151" s="81" t="str">
        <f>IFERROR((Tablas!$C$9*VLOOKUP(AN151, amb_control, 2, 0)+Tablas!$E$9*VLOOKUP(AO151, ejec_control, 2, 0)+Tablas!$G$9*VLOOKUP(AP151, cub_control, 2, 0))*0.1*peso_ejec, "")</f>
        <v/>
      </c>
      <c r="AR151" s="93" t="str">
        <f t="shared" si="169"/>
        <v/>
      </c>
      <c r="AS151" s="94" t="str">
        <f t="shared" si="235"/>
        <v/>
      </c>
      <c r="AT151" s="94" t="str">
        <f t="shared" si="236"/>
        <v/>
      </c>
      <c r="AU151" s="94" t="str">
        <f>IF(AR151&lt;Tablas!$G$19, 0, IF(AND(AR151&gt;=Tablas!$G$19, AR151&lt;Tablas!$G$20), 1,  IF(AND(AR151&gt;=Tablas!$G$20, AR151&lt;Tablas!$G$21), 2,  IF(AND(AR151&gt;=Tablas!$G$21, AR151&lt;=Tablas!$G$22), 3,  ""))))</f>
        <v/>
      </c>
      <c r="AV151" s="94" t="str">
        <f t="shared" si="170"/>
        <v/>
      </c>
      <c r="AW151" s="102" t="str">
        <f t="shared" si="171"/>
        <v/>
      </c>
      <c r="AX151" s="157"/>
      <c r="AY151" s="170"/>
      <c r="AZ151" s="179"/>
      <c r="BA151" s="170"/>
      <c r="BB151" s="182"/>
      <c r="BC151" s="182"/>
      <c r="BD151" s="185"/>
      <c r="BE151" s="185"/>
      <c r="BF151" s="159"/>
      <c r="BG151" s="191"/>
    </row>
    <row r="152" spans="1:59" s="121" customFormat="1" ht="15" customHeight="1" x14ac:dyDescent="0.25">
      <c r="A152" s="167"/>
      <c r="B152" s="220"/>
      <c r="C152" s="161" t="s">
        <v>183</v>
      </c>
      <c r="D152" s="160"/>
      <c r="E152" s="149"/>
      <c r="F152" s="163" t="str">
        <f t="shared" si="214"/>
        <v/>
      </c>
      <c r="G152" s="148"/>
      <c r="H152" s="148"/>
      <c r="I152" s="148"/>
      <c r="J152" s="148"/>
      <c r="K152" s="148"/>
      <c r="L152" s="165" t="str">
        <f t="shared" ref="L152" si="247">IFERROR(VLOOKUP(G152, tabla02, 2, 0), "")</f>
        <v/>
      </c>
      <c r="M152" s="165" t="str">
        <f t="shared" ref="M152" si="248">IFERROR(VLOOKUP(H152, tabla02, 2, 0), "")</f>
        <v/>
      </c>
      <c r="N152" s="165" t="str">
        <f t="shared" ref="N152" si="249">IFERROR(VLOOKUP(I152, tabla02, 2, 0), "")</f>
        <v/>
      </c>
      <c r="O152" s="165" t="str">
        <f t="shared" ref="O152" si="250">IFERROR(VLOOKUP(J152, tabla02, 2, 0), "")</f>
        <v/>
      </c>
      <c r="P152" s="165" t="str">
        <f t="shared" ref="P152" si="251">IFERROR(VLOOKUP(K152, tabla02, 2, 0), "")</f>
        <v/>
      </c>
      <c r="Q152" s="165" t="str">
        <f t="shared" ref="Q152" si="252">IF(SUM(L152:P152)=0, "", MAX(L152:P152))</f>
        <v/>
      </c>
      <c r="R152" s="159" t="str">
        <f>IFERROR(VLOOKUP(Q152, tabla04, 3, 0), "")</f>
        <v/>
      </c>
      <c r="S152" s="148"/>
      <c r="T152" s="148"/>
      <c r="U152" s="148"/>
      <c r="V152" s="148"/>
      <c r="W152" s="148"/>
      <c r="X152" s="163" t="str">
        <f>IFERROR(VLOOKUP(CONCATENATE(F152, "-", Q152), cuadrante_sev, 3, 0), "")</f>
        <v/>
      </c>
      <c r="Y152" s="163" t="str">
        <f t="shared" ref="Y152" si="253">IFERROR(IF(X152="Baja", 1, IF(X152="Moderada", 2, IF(X152="Alta", 3, IF(X152="Extrema", 4, "")))), "")</f>
        <v/>
      </c>
      <c r="Z152" s="172"/>
      <c r="AA152" s="188"/>
      <c r="AB152" s="172"/>
      <c r="AC152" s="172"/>
      <c r="AD152" s="175"/>
      <c r="AE152" s="70" t="s">
        <v>113</v>
      </c>
      <c r="AF152" s="135"/>
      <c r="AG152" s="74"/>
      <c r="AH152" s="72"/>
      <c r="AI152" s="72"/>
      <c r="AJ152" s="72"/>
      <c r="AK152" s="72"/>
      <c r="AL152" s="72"/>
      <c r="AM152" s="82" t="str">
        <f>IFERROR((Tablas!$C$1*VLOOKUP(AH152, tipo_control, 2, 0)+Tablas!$E$1*VLOOKUP(AI152, nat_control, 2, 0)+Tablas!$G$1*VLOOKUP(AJ152, ev_control, 2, 0)+Tablas!$I$1*VLOOKUP(AK152, frec_control, 2, 0)+Tablas!$K$1*VLOOKUP(AL152, doc_control, 2, 0))*0.1*peso_dis, "")</f>
        <v/>
      </c>
      <c r="AN152" s="72"/>
      <c r="AO152" s="72"/>
      <c r="AP152" s="72"/>
      <c r="AQ152" s="82" t="str">
        <f>IFERROR((Tablas!$C$9*VLOOKUP(AN152, amb_control, 2, 0)+Tablas!$E$9*VLOOKUP(AO152, ejec_control, 2, 0)+Tablas!$G$9*VLOOKUP(AP152, cub_control, 2, 0))*0.1*peso_ejec, "")</f>
        <v/>
      </c>
      <c r="AR152" s="96" t="str">
        <f t="shared" si="169"/>
        <v/>
      </c>
      <c r="AS152" s="97" t="str">
        <f t="shared" si="235"/>
        <v/>
      </c>
      <c r="AT152" s="87" t="str">
        <f t="shared" si="236"/>
        <v/>
      </c>
      <c r="AU152" s="97" t="str">
        <f>IF(AR152&lt;Tablas!$G$19, 0, IF(AND(AR152&gt;=Tablas!$G$19, AR152&lt;Tablas!$G$20), 1,  IF(AND(AR152&gt;=Tablas!$G$20, AR152&lt;Tablas!$G$21), 2,  IF(AND(AR152&gt;=Tablas!$G$21, AR152&lt;=Tablas!$G$22), 3,  ""))))</f>
        <v/>
      </c>
      <c r="AV152" s="97" t="str">
        <f t="shared" si="170"/>
        <v/>
      </c>
      <c r="AW152" s="103" t="str">
        <f t="shared" si="171"/>
        <v/>
      </c>
      <c r="AX152" s="176" t="str">
        <f t="shared" ref="AX152" si="254">IFERROR(VLOOKUP(AY152, tabla04, 2, 0), "")</f>
        <v/>
      </c>
      <c r="AY152" s="168" t="str">
        <f>IF(F152="", "", IF((F152-MAX(AV152:AV156))&lt;=0, 1, F152-MAX(AV152:AV156)))</f>
        <v/>
      </c>
      <c r="AZ152" s="178" t="str">
        <f t="shared" ref="AZ152" si="255">IFERROR(VLOOKUP(BA152, tabla04, 3, 0), "")</f>
        <v/>
      </c>
      <c r="BA152" s="168" t="str">
        <f>IF(Q152="", "", IF((Q152-MAX(AW152:AW156))&lt;=0, 1, Q152-MAX(AW152:AW156)))</f>
        <v/>
      </c>
      <c r="BB152" s="182"/>
      <c r="BC152" s="182"/>
      <c r="BD152" s="185"/>
      <c r="BE152" s="185"/>
      <c r="BF152" s="158" t="str">
        <f t="shared" ref="BF152:BF154" si="256">IFERROR(VLOOKUP(CONCATENATE(AY152, "-", BA152), cuadrante_sev, 3, 0), "")</f>
        <v/>
      </c>
      <c r="BG152" s="191"/>
    </row>
    <row r="153" spans="1:59" s="121" customFormat="1" ht="15" customHeight="1" x14ac:dyDescent="0.25">
      <c r="A153" s="167"/>
      <c r="B153" s="220"/>
      <c r="C153" s="161"/>
      <c r="D153" s="160"/>
      <c r="E153" s="161"/>
      <c r="F153" s="164"/>
      <c r="G153" s="167"/>
      <c r="H153" s="167"/>
      <c r="I153" s="167"/>
      <c r="J153" s="167"/>
      <c r="K153" s="167"/>
      <c r="L153" s="166"/>
      <c r="M153" s="166"/>
      <c r="N153" s="166"/>
      <c r="O153" s="166"/>
      <c r="P153" s="166"/>
      <c r="Q153" s="166"/>
      <c r="R153" s="177"/>
      <c r="S153" s="167"/>
      <c r="T153" s="167"/>
      <c r="U153" s="167"/>
      <c r="V153" s="167"/>
      <c r="W153" s="167"/>
      <c r="X153" s="164"/>
      <c r="Y153" s="164"/>
      <c r="Z153" s="172"/>
      <c r="AA153" s="188"/>
      <c r="AB153" s="172"/>
      <c r="AC153" s="172"/>
      <c r="AD153" s="175"/>
      <c r="AE153" s="62" t="s">
        <v>114</v>
      </c>
      <c r="AF153" s="133"/>
      <c r="AG153" s="65"/>
      <c r="AH153" s="64"/>
      <c r="AI153" s="64"/>
      <c r="AJ153" s="64"/>
      <c r="AK153" s="64"/>
      <c r="AL153" s="64"/>
      <c r="AM153" s="80" t="str">
        <f>IFERROR((Tablas!$C$1*VLOOKUP(AH153, tipo_control, 2, 0)+Tablas!$E$1*VLOOKUP(AI153, nat_control, 2, 0)+Tablas!$G$1*VLOOKUP(AJ153, ev_control, 2, 0)+Tablas!$I$1*VLOOKUP(AK153, frec_control, 2, 0)+Tablas!$K$1*VLOOKUP(AL153, doc_control, 2, 0))*0.1*peso_dis, "")</f>
        <v/>
      </c>
      <c r="AN153" s="64"/>
      <c r="AO153" s="64"/>
      <c r="AP153" s="64"/>
      <c r="AQ153" s="80" t="str">
        <f>IFERROR((Tablas!$C$9*VLOOKUP(AN153, amb_control, 2, 0)+Tablas!$E$9*VLOOKUP(AO153, ejec_control, 2, 0)+Tablas!$G$9*VLOOKUP(AP153, cub_control, 2, 0))*0.1*peso_ejec, "")</f>
        <v/>
      </c>
      <c r="AR153" s="91" t="str">
        <f t="shared" si="169"/>
        <v/>
      </c>
      <c r="AS153" s="85" t="str">
        <f t="shared" si="235"/>
        <v/>
      </c>
      <c r="AT153" s="85" t="str">
        <f t="shared" si="236"/>
        <v/>
      </c>
      <c r="AU153" s="85" t="str">
        <f>IF(AR153&lt;Tablas!$G$19, 0, IF(AND(AR153&gt;=Tablas!$G$19, AR153&lt;Tablas!$G$20), 1,  IF(AND(AR153&gt;=Tablas!$G$20, AR153&lt;Tablas!$G$21), 2,  IF(AND(AR153&gt;=Tablas!$G$21, AR153&lt;=Tablas!$G$22), 3,  ""))))</f>
        <v/>
      </c>
      <c r="AV153" s="85" t="str">
        <f t="shared" si="170"/>
        <v/>
      </c>
      <c r="AW153" s="101" t="str">
        <f t="shared" si="171"/>
        <v/>
      </c>
      <c r="AX153" s="177"/>
      <c r="AY153" s="169"/>
      <c r="AZ153" s="158"/>
      <c r="BA153" s="169"/>
      <c r="BB153" s="182"/>
      <c r="BC153" s="182"/>
      <c r="BD153" s="185"/>
      <c r="BE153" s="185"/>
      <c r="BF153" s="158" t="str">
        <f t="shared" si="256"/>
        <v/>
      </c>
      <c r="BG153" s="191"/>
    </row>
    <row r="154" spans="1:59" s="121" customFormat="1" ht="15" customHeight="1" x14ac:dyDescent="0.25">
      <c r="A154" s="167"/>
      <c r="B154" s="220"/>
      <c r="C154" s="161"/>
      <c r="D154" s="160"/>
      <c r="E154" s="161"/>
      <c r="F154" s="164"/>
      <c r="G154" s="167"/>
      <c r="H154" s="167"/>
      <c r="I154" s="167"/>
      <c r="J154" s="167"/>
      <c r="K154" s="167"/>
      <c r="L154" s="166"/>
      <c r="M154" s="166"/>
      <c r="N154" s="166"/>
      <c r="O154" s="166"/>
      <c r="P154" s="166"/>
      <c r="Q154" s="166"/>
      <c r="R154" s="177"/>
      <c r="S154" s="167"/>
      <c r="T154" s="167"/>
      <c r="U154" s="167"/>
      <c r="V154" s="167"/>
      <c r="W154" s="167"/>
      <c r="X154" s="164"/>
      <c r="Y154" s="164"/>
      <c r="Z154" s="172"/>
      <c r="AA154" s="188"/>
      <c r="AB154" s="172"/>
      <c r="AC154" s="172"/>
      <c r="AD154" s="175"/>
      <c r="AE154" s="62" t="s">
        <v>115</v>
      </c>
      <c r="AF154" s="133"/>
      <c r="AG154" s="65"/>
      <c r="AH154" s="64"/>
      <c r="AI154" s="64"/>
      <c r="AJ154" s="64"/>
      <c r="AK154" s="64"/>
      <c r="AL154" s="64"/>
      <c r="AM154" s="80" t="str">
        <f>IFERROR((Tablas!$C$1*VLOOKUP(AH154, tipo_control, 2, 0)+Tablas!$E$1*VLOOKUP(AI154, nat_control, 2, 0)+Tablas!$G$1*VLOOKUP(AJ154, ev_control, 2, 0)+Tablas!$I$1*VLOOKUP(AK154, frec_control, 2, 0)+Tablas!$K$1*VLOOKUP(AL154, doc_control, 2, 0))*0.1*peso_dis, "")</f>
        <v/>
      </c>
      <c r="AN154" s="64"/>
      <c r="AO154" s="64"/>
      <c r="AP154" s="64"/>
      <c r="AQ154" s="80" t="str">
        <f>IFERROR((Tablas!$C$9*VLOOKUP(AN154, amb_control, 2, 0)+Tablas!$E$9*VLOOKUP(AO154, ejec_control, 2, 0)+Tablas!$G$9*VLOOKUP(AP154, cub_control, 2, 0))*0.1*peso_ejec, "")</f>
        <v/>
      </c>
      <c r="AR154" s="91" t="str">
        <f t="shared" si="169"/>
        <v/>
      </c>
      <c r="AS154" s="85" t="str">
        <f t="shared" si="235"/>
        <v/>
      </c>
      <c r="AT154" s="85" t="str">
        <f t="shared" si="236"/>
        <v/>
      </c>
      <c r="AU154" s="85" t="str">
        <f>IF(AR154&lt;Tablas!$G$19, 0, IF(AND(AR154&gt;=Tablas!$G$19, AR154&lt;Tablas!$G$20), 1,  IF(AND(AR154&gt;=Tablas!$G$20, AR154&lt;Tablas!$G$21), 2,  IF(AND(AR154&gt;=Tablas!$G$21, AR154&lt;=Tablas!$G$22), 3,  ""))))</f>
        <v/>
      </c>
      <c r="AV154" s="85" t="str">
        <f t="shared" si="170"/>
        <v/>
      </c>
      <c r="AW154" s="101" t="str">
        <f t="shared" si="171"/>
        <v/>
      </c>
      <c r="AX154" s="177"/>
      <c r="AY154" s="169"/>
      <c r="AZ154" s="158"/>
      <c r="BA154" s="169"/>
      <c r="BB154" s="182"/>
      <c r="BC154" s="182"/>
      <c r="BD154" s="185"/>
      <c r="BE154" s="185"/>
      <c r="BF154" s="158" t="str">
        <f t="shared" si="256"/>
        <v/>
      </c>
      <c r="BG154" s="191"/>
    </row>
    <row r="155" spans="1:59" s="121" customFormat="1" ht="15" customHeight="1" x14ac:dyDescent="0.25">
      <c r="A155" s="167"/>
      <c r="B155" s="220"/>
      <c r="C155" s="161"/>
      <c r="D155" s="160"/>
      <c r="E155" s="161"/>
      <c r="F155" s="164"/>
      <c r="G155" s="167"/>
      <c r="H155" s="167"/>
      <c r="I155" s="167"/>
      <c r="J155" s="167"/>
      <c r="K155" s="167"/>
      <c r="L155" s="166"/>
      <c r="M155" s="166"/>
      <c r="N155" s="166"/>
      <c r="O155" s="166"/>
      <c r="P155" s="166"/>
      <c r="Q155" s="166"/>
      <c r="R155" s="177"/>
      <c r="S155" s="167"/>
      <c r="T155" s="167"/>
      <c r="U155" s="167"/>
      <c r="V155" s="167"/>
      <c r="W155" s="167"/>
      <c r="X155" s="164"/>
      <c r="Y155" s="164"/>
      <c r="Z155" s="172"/>
      <c r="AA155" s="188"/>
      <c r="AB155" s="172"/>
      <c r="AC155" s="172"/>
      <c r="AD155" s="175"/>
      <c r="AE155" s="62" t="s">
        <v>153</v>
      </c>
      <c r="AF155" s="133"/>
      <c r="AG155" s="65"/>
      <c r="AH155" s="64"/>
      <c r="AI155" s="64"/>
      <c r="AJ155" s="64"/>
      <c r="AK155" s="64"/>
      <c r="AL155" s="64"/>
      <c r="AM155" s="80" t="str">
        <f>IFERROR((Tablas!$C$1*VLOOKUP(AH155, tipo_control, 2, 0)+Tablas!$E$1*VLOOKUP(AI155, nat_control, 2, 0)+Tablas!$G$1*VLOOKUP(AJ155, ev_control, 2, 0)+Tablas!$I$1*VLOOKUP(AK155, frec_control, 2, 0)+Tablas!$K$1*VLOOKUP(AL155, doc_control, 2, 0))*0.1*peso_dis, "")</f>
        <v/>
      </c>
      <c r="AN155" s="64"/>
      <c r="AO155" s="64"/>
      <c r="AP155" s="64"/>
      <c r="AQ155" s="80" t="str">
        <f>IFERROR((Tablas!$C$9*VLOOKUP(AN155, amb_control, 2, 0)+Tablas!$E$9*VLOOKUP(AO155, ejec_control, 2, 0)+Tablas!$G$9*VLOOKUP(AP155, cub_control, 2, 0))*0.1*peso_ejec, "")</f>
        <v/>
      </c>
      <c r="AR155" s="91" t="str">
        <f t="shared" si="169"/>
        <v/>
      </c>
      <c r="AS155" s="85" t="str">
        <f t="shared" si="235"/>
        <v/>
      </c>
      <c r="AT155" s="85" t="str">
        <f t="shared" si="236"/>
        <v/>
      </c>
      <c r="AU155" s="85" t="str">
        <f>IF(AR155&lt;Tablas!$G$19, 0, IF(AND(AR155&gt;=Tablas!$G$19, AR155&lt;Tablas!$G$20), 1,  IF(AND(AR155&gt;=Tablas!$G$20, AR155&lt;Tablas!$G$21), 2,  IF(AND(AR155&gt;=Tablas!$G$21, AR155&lt;=Tablas!$G$22), 3,  ""))))</f>
        <v/>
      </c>
      <c r="AV155" s="85" t="str">
        <f t="shared" si="170"/>
        <v/>
      </c>
      <c r="AW155" s="101" t="str">
        <f t="shared" si="171"/>
        <v/>
      </c>
      <c r="AX155" s="177"/>
      <c r="AY155" s="169"/>
      <c r="AZ155" s="158"/>
      <c r="BA155" s="169"/>
      <c r="BB155" s="182"/>
      <c r="BC155" s="182"/>
      <c r="BD155" s="185"/>
      <c r="BE155" s="185"/>
      <c r="BF155" s="158"/>
      <c r="BG155" s="191"/>
    </row>
    <row r="156" spans="1:59" s="121" customFormat="1" ht="15" customHeight="1" thickBot="1" x14ac:dyDescent="0.3">
      <c r="A156" s="149"/>
      <c r="B156" s="221"/>
      <c r="C156" s="161"/>
      <c r="D156" s="160"/>
      <c r="E156" s="161"/>
      <c r="F156" s="165"/>
      <c r="G156" s="149"/>
      <c r="H156" s="149"/>
      <c r="I156" s="149"/>
      <c r="J156" s="149"/>
      <c r="K156" s="149"/>
      <c r="L156" s="166"/>
      <c r="M156" s="166"/>
      <c r="N156" s="166"/>
      <c r="O156" s="166"/>
      <c r="P156" s="166"/>
      <c r="Q156" s="166"/>
      <c r="R156" s="177"/>
      <c r="S156" s="149"/>
      <c r="T156" s="149"/>
      <c r="U156" s="149"/>
      <c r="V156" s="149"/>
      <c r="W156" s="149"/>
      <c r="X156" s="165"/>
      <c r="Y156" s="165"/>
      <c r="Z156" s="173"/>
      <c r="AA156" s="189"/>
      <c r="AB156" s="173"/>
      <c r="AC156" s="173"/>
      <c r="AD156" s="175"/>
      <c r="AE156" s="75" t="s">
        <v>154</v>
      </c>
      <c r="AF156" s="136"/>
      <c r="AG156" s="68"/>
      <c r="AH156" s="76"/>
      <c r="AI156" s="76"/>
      <c r="AJ156" s="76"/>
      <c r="AK156" s="76"/>
      <c r="AL156" s="76"/>
      <c r="AM156" s="83" t="str">
        <f>IFERROR((Tablas!$C$1*VLOOKUP(AH156, tipo_control, 2, 0)+Tablas!$E$1*VLOOKUP(AI156, nat_control, 2, 0)+Tablas!$G$1*VLOOKUP(AJ156, ev_control, 2, 0)+Tablas!$I$1*VLOOKUP(AK156, frec_control, 2, 0)+Tablas!$K$1*VLOOKUP(AL156, doc_control, 2, 0))*0.1*peso_dis, "")</f>
        <v/>
      </c>
      <c r="AN156" s="76"/>
      <c r="AO156" s="76"/>
      <c r="AP156" s="76"/>
      <c r="AQ156" s="83" t="str">
        <f>IFERROR((Tablas!$C$9*VLOOKUP(AN156, amb_control, 2, 0)+Tablas!$E$9*VLOOKUP(AO156, ejec_control, 2, 0)+Tablas!$G$9*VLOOKUP(AP156, cub_control, 2, 0))*0.1*peso_ejec, "")</f>
        <v/>
      </c>
      <c r="AR156" s="99" t="str">
        <f t="shared" si="169"/>
        <v/>
      </c>
      <c r="AS156" s="86" t="str">
        <f t="shared" si="235"/>
        <v/>
      </c>
      <c r="AT156" s="86" t="str">
        <f t="shared" si="236"/>
        <v/>
      </c>
      <c r="AU156" s="86" t="str">
        <f>IF(AR156&lt;Tablas!$G$19, 0, IF(AND(AR156&gt;=Tablas!$G$19, AR156&lt;Tablas!$G$20), 1,  IF(AND(AR156&gt;=Tablas!$G$20, AR156&lt;Tablas!$G$21), 2,  IF(AND(AR156&gt;=Tablas!$G$21, AR156&lt;=Tablas!$G$22), 3,  ""))))</f>
        <v/>
      </c>
      <c r="AV156" s="86" t="str">
        <f t="shared" si="170"/>
        <v/>
      </c>
      <c r="AW156" s="84" t="str">
        <f t="shared" si="171"/>
        <v/>
      </c>
      <c r="AX156" s="157"/>
      <c r="AY156" s="170"/>
      <c r="AZ156" s="179"/>
      <c r="BA156" s="170"/>
      <c r="BB156" s="183"/>
      <c r="BC156" s="183"/>
      <c r="BD156" s="186"/>
      <c r="BE156" s="186"/>
      <c r="BF156" s="159"/>
      <c r="BG156" s="191"/>
    </row>
    <row r="157" spans="1:59" ht="15" customHeight="1" x14ac:dyDescent="0.25">
      <c r="A157" s="148" t="s">
        <v>186</v>
      </c>
      <c r="B157" s="194" t="s">
        <v>235</v>
      </c>
      <c r="C157" s="161" t="s">
        <v>14</v>
      </c>
      <c r="D157" s="160"/>
      <c r="E157" s="149"/>
      <c r="F157" s="163" t="str">
        <f t="shared" si="214"/>
        <v/>
      </c>
      <c r="G157" s="148"/>
      <c r="H157" s="148"/>
      <c r="I157" s="148"/>
      <c r="J157" s="148"/>
      <c r="K157" s="148"/>
      <c r="L157" s="165" t="str">
        <f>IFERROR(VLOOKUP(G157, tabla02, 2, 0), "")</f>
        <v/>
      </c>
      <c r="M157" s="165" t="str">
        <f>IFERROR(VLOOKUP(H157, tabla02, 2, 0), "")</f>
        <v/>
      </c>
      <c r="N157" s="165" t="str">
        <f>IFERROR(VLOOKUP(I157, tabla02, 2, 0), "")</f>
        <v/>
      </c>
      <c r="O157" s="165" t="str">
        <f>IFERROR(VLOOKUP(J157, tabla02, 2, 0), "")</f>
        <v/>
      </c>
      <c r="P157" s="165" t="str">
        <f>IFERROR(VLOOKUP(K157, tabla02, 2, 0), "")</f>
        <v/>
      </c>
      <c r="Q157" s="165" t="str">
        <f t="shared" ref="Q157" si="257">IF(SUM(L157:P157)=0, "", MAX(L157:P157))</f>
        <v/>
      </c>
      <c r="R157" s="159" t="str">
        <f>IFERROR(VLOOKUP(Q157, tabla04, 3, 0), "")</f>
        <v/>
      </c>
      <c r="S157" s="148"/>
      <c r="T157" s="148"/>
      <c r="U157" s="148"/>
      <c r="V157" s="148"/>
      <c r="W157" s="148"/>
      <c r="X157" s="164" t="str">
        <f>IFERROR(VLOOKUP(CONCATENATE(F157, "-", Q157), cuadrante_sev, 3, 0), "")</f>
        <v/>
      </c>
      <c r="Y157" s="163" t="str">
        <f>IFERROR(IF(X157="Baja", 1, IF(X157="Moderada", 2, IF(X157="Alta", 3, IF(X157="Extrema", 4, "")))), "")</f>
        <v/>
      </c>
      <c r="Z157" s="171">
        <f t="shared" ref="Z157" si="258">MAX(F157:F206)</f>
        <v>0</v>
      </c>
      <c r="AA157" s="187">
        <f t="shared" ref="AA157" si="259">MAX(Q157:Q206)</f>
        <v>0</v>
      </c>
      <c r="AB157" s="171" t="str">
        <f>IFERROR(VLOOKUP(Z157, tabla04, 2, 0), "")</f>
        <v/>
      </c>
      <c r="AC157" s="171" t="str">
        <f>IFERROR(VLOOKUP(AA157, tabla04, 3, 0), "")</f>
        <v/>
      </c>
      <c r="AD157" s="174" t="str">
        <f>IFERROR(VLOOKUP(CONCATENATE(Z157, "-", AA157), cuadrante_sev, 3, 0), "")</f>
        <v/>
      </c>
      <c r="AE157" s="59" t="s">
        <v>113</v>
      </c>
      <c r="AF157" s="132"/>
      <c r="AG157" s="60"/>
      <c r="AH157" s="61"/>
      <c r="AI157" s="61"/>
      <c r="AJ157" s="61"/>
      <c r="AK157" s="61"/>
      <c r="AL157" s="61"/>
      <c r="AM157" s="79" t="str">
        <f>IFERROR((Tablas!$C$1*VLOOKUP(AH157, tipo_control, 2, 0)+Tablas!$E$1*VLOOKUP(AI157, nat_control, 2, 0)+Tablas!$G$1*VLOOKUP(AJ157, ev_control, 2, 0)+Tablas!$I$1*VLOOKUP(AK157, frec_control, 2, 0)+Tablas!$K$1*VLOOKUP(AL157, doc_control, 2, 0))*0.1*peso_dis, "")</f>
        <v/>
      </c>
      <c r="AN157" s="61"/>
      <c r="AO157" s="61"/>
      <c r="AP157" s="61"/>
      <c r="AQ157" s="79" t="str">
        <f>IFERROR((Tablas!$C$9*VLOOKUP(AN157, amb_control, 2, 0)+Tablas!$E$9*VLOOKUP(AO157, ejec_control, 2, 0)+Tablas!$G$9*VLOOKUP(AP157, cub_control, 2, 0))*0.1*peso_ejec, "")</f>
        <v/>
      </c>
      <c r="AR157" s="89" t="str">
        <f>IFERROR(AM157+AQ157, "")</f>
        <v/>
      </c>
      <c r="AS157" s="87" t="str">
        <f t="shared" si="235"/>
        <v/>
      </c>
      <c r="AT157" s="87" t="str">
        <f t="shared" si="236"/>
        <v/>
      </c>
      <c r="AU157" s="87" t="str">
        <f>IF(AR157&lt;Tablas!$G$19, 0, IF(AND(AR157&gt;=Tablas!$G$19, AR157&lt;Tablas!$G$20), 1,  IF(AND(AR157&gt;=Tablas!$G$20, AR157&lt;Tablas!$G$21), 2,  IF(AND(AR157&gt;=Tablas!$G$21, AR157&lt;=Tablas!$G$22), 3,  ""))))</f>
        <v/>
      </c>
      <c r="AV157" s="87" t="str">
        <f>IF(AS157="Sí",AU157,"")</f>
        <v/>
      </c>
      <c r="AW157" s="100" t="str">
        <f>IF(AT157="Sí",AU157,"")</f>
        <v/>
      </c>
      <c r="AX157" s="176" t="str">
        <f>IFERROR(VLOOKUP(AY157, tabla04, 2, 0), "")</f>
        <v/>
      </c>
      <c r="AY157" s="168" t="str">
        <f>IF(F157="", "", IF((F157-MAX(AV157:AV161))&lt;=0, 1, F157-MAX(AV157:AV161)))</f>
        <v/>
      </c>
      <c r="AZ157" s="178" t="str">
        <f>IFERROR(VLOOKUP(BA157, tabla04, 3, 0), "")</f>
        <v/>
      </c>
      <c r="BA157" s="168" t="str">
        <f>IF(Q157="", "", IF((Q157-MAX(AW157:AW161))&lt;=0, 1, Q157-MAX(AW157:AW161)))</f>
        <v/>
      </c>
      <c r="BB157" s="170">
        <f>IFERROR(MAX(AY157:AY206), "")</f>
        <v>0</v>
      </c>
      <c r="BC157" s="170">
        <f>IFERROR(MAX(BA157:BA206), "")</f>
        <v>0</v>
      </c>
      <c r="BD157" s="184" t="str">
        <f>IFERROR(VLOOKUP(BB157, tabla04, 2, 0), "")</f>
        <v/>
      </c>
      <c r="BE157" s="184" t="str">
        <f>IFERROR(VLOOKUP(BC157, tabla04, 3, 0), "")</f>
        <v/>
      </c>
      <c r="BF157" s="158" t="str">
        <f>IFERROR(VLOOKUP(CONCATENATE(AY157, "-", BA157), cuadrante_sev, 3, 0), "")</f>
        <v/>
      </c>
      <c r="BG157" s="190" t="str">
        <f>IFERROR(VLOOKUP(CONCATENATE(BB157, "-", BC157), cuadrante_sev, 3, 0), "")</f>
        <v/>
      </c>
    </row>
    <row r="158" spans="1:59" ht="15" customHeight="1" x14ac:dyDescent="0.25">
      <c r="A158" s="167"/>
      <c r="B158" s="195"/>
      <c r="C158" s="161"/>
      <c r="D158" s="160"/>
      <c r="E158" s="161"/>
      <c r="F158" s="164"/>
      <c r="G158" s="167"/>
      <c r="H158" s="167"/>
      <c r="I158" s="167"/>
      <c r="J158" s="167"/>
      <c r="K158" s="167"/>
      <c r="L158" s="166"/>
      <c r="M158" s="166"/>
      <c r="N158" s="166"/>
      <c r="O158" s="166"/>
      <c r="P158" s="166"/>
      <c r="Q158" s="166"/>
      <c r="R158" s="177"/>
      <c r="S158" s="167"/>
      <c r="T158" s="167"/>
      <c r="U158" s="167"/>
      <c r="V158" s="167"/>
      <c r="W158" s="167"/>
      <c r="X158" s="164"/>
      <c r="Y158" s="164"/>
      <c r="Z158" s="172"/>
      <c r="AA158" s="188"/>
      <c r="AB158" s="172"/>
      <c r="AC158" s="172"/>
      <c r="AD158" s="175"/>
      <c r="AE158" s="62" t="s">
        <v>114</v>
      </c>
      <c r="AF158" s="133"/>
      <c r="AG158" s="63"/>
      <c r="AH158" s="64"/>
      <c r="AI158" s="64"/>
      <c r="AJ158" s="64"/>
      <c r="AK158" s="64"/>
      <c r="AL158" s="64"/>
      <c r="AM158" s="80" t="str">
        <f>IFERROR((Tablas!$C$1*VLOOKUP(AH158, tipo_control, 2, 0)+Tablas!$E$1*VLOOKUP(AI158, nat_control, 2, 0)+Tablas!$G$1*VLOOKUP(AJ158, ev_control, 2, 0)+Tablas!$I$1*VLOOKUP(AK158, frec_control, 2, 0)+Tablas!$K$1*VLOOKUP(AL158, doc_control, 2, 0))*0.1*peso_dis, "")</f>
        <v/>
      </c>
      <c r="AN158" s="64"/>
      <c r="AO158" s="64"/>
      <c r="AP158" s="64"/>
      <c r="AQ158" s="80" t="str">
        <f>IFERROR((Tablas!$C$9*VLOOKUP(AN158, amb_control, 2, 0)+Tablas!$E$9*VLOOKUP(AO158, ejec_control, 2, 0)+Tablas!$G$9*VLOOKUP(AP158, cub_control, 2, 0))*0.1*peso_ejec, "")</f>
        <v/>
      </c>
      <c r="AR158" s="91" t="str">
        <f t="shared" ref="AR158:AR206" si="260">IFERROR(AM158+AQ158, "")</f>
        <v/>
      </c>
      <c r="AS158" s="87" t="str">
        <f t="shared" si="235"/>
        <v/>
      </c>
      <c r="AT158" s="85" t="str">
        <f t="shared" si="236"/>
        <v/>
      </c>
      <c r="AU158" s="85" t="str">
        <f>IF(AR158&lt;Tablas!$G$19, 0, IF(AND(AR158&gt;=Tablas!$G$19, AR158&lt;Tablas!$G$20), 1,  IF(AND(AR158&gt;=Tablas!$G$20, AR158&lt;Tablas!$G$21), 2,  IF(AND(AR158&gt;=Tablas!$G$21, AR158&lt;=Tablas!$G$22), 3,  ""))))</f>
        <v/>
      </c>
      <c r="AV158" s="85" t="str">
        <f t="shared" ref="AV158:AV206" si="261">IF(AS158="Sí",AU158,"")</f>
        <v/>
      </c>
      <c r="AW158" s="101" t="str">
        <f t="shared" ref="AW158:AW206" si="262">IF(AT158="Sí",AU158,"")</f>
        <v/>
      </c>
      <c r="AX158" s="177"/>
      <c r="AY158" s="169"/>
      <c r="AZ158" s="158"/>
      <c r="BA158" s="169"/>
      <c r="BB158" s="182"/>
      <c r="BC158" s="182"/>
      <c r="BD158" s="185"/>
      <c r="BE158" s="185"/>
      <c r="BF158" s="158"/>
      <c r="BG158" s="191"/>
    </row>
    <row r="159" spans="1:59" ht="15" customHeight="1" x14ac:dyDescent="0.25">
      <c r="A159" s="167"/>
      <c r="B159" s="195"/>
      <c r="C159" s="161"/>
      <c r="D159" s="160"/>
      <c r="E159" s="161"/>
      <c r="F159" s="164"/>
      <c r="G159" s="167"/>
      <c r="H159" s="167"/>
      <c r="I159" s="167"/>
      <c r="J159" s="167"/>
      <c r="K159" s="167"/>
      <c r="L159" s="166"/>
      <c r="M159" s="166"/>
      <c r="N159" s="166"/>
      <c r="O159" s="166"/>
      <c r="P159" s="166"/>
      <c r="Q159" s="166"/>
      <c r="R159" s="177"/>
      <c r="S159" s="167"/>
      <c r="T159" s="167"/>
      <c r="U159" s="167"/>
      <c r="V159" s="167"/>
      <c r="W159" s="167"/>
      <c r="X159" s="164"/>
      <c r="Y159" s="164"/>
      <c r="Z159" s="172"/>
      <c r="AA159" s="188"/>
      <c r="AB159" s="172"/>
      <c r="AC159" s="172"/>
      <c r="AD159" s="175"/>
      <c r="AE159" s="62" t="s">
        <v>115</v>
      </c>
      <c r="AF159" s="133"/>
      <c r="AG159" s="65"/>
      <c r="AH159" s="64"/>
      <c r="AI159" s="64"/>
      <c r="AJ159" s="64"/>
      <c r="AK159" s="64"/>
      <c r="AL159" s="64"/>
      <c r="AM159" s="80" t="str">
        <f>IFERROR((Tablas!$C$1*VLOOKUP(AH159, tipo_control, 2, 0)+Tablas!$E$1*VLOOKUP(AI159, nat_control, 2, 0)+Tablas!$G$1*VLOOKUP(AJ159, ev_control, 2, 0)+Tablas!$I$1*VLOOKUP(AK159, frec_control, 2, 0)+Tablas!$K$1*VLOOKUP(AL159, doc_control, 2, 0))*0.1*peso_dis, "")</f>
        <v/>
      </c>
      <c r="AN159" s="64"/>
      <c r="AO159" s="64"/>
      <c r="AP159" s="64"/>
      <c r="AQ159" s="80" t="str">
        <f>IFERROR((Tablas!$C$9*VLOOKUP(AN159, amb_control, 2, 0)+Tablas!$E$9*VLOOKUP(AO159, ejec_control, 2, 0)+Tablas!$G$9*VLOOKUP(AP159, cub_control, 2, 0))*0.1*peso_ejec, "")</f>
        <v/>
      </c>
      <c r="AR159" s="91" t="str">
        <f t="shared" si="260"/>
        <v/>
      </c>
      <c r="AS159" s="87" t="str">
        <f t="shared" si="235"/>
        <v/>
      </c>
      <c r="AT159" s="85" t="str">
        <f t="shared" si="236"/>
        <v/>
      </c>
      <c r="AU159" s="85" t="str">
        <f>IF(AR159&lt;Tablas!$G$19, 0, IF(AND(AR159&gt;=Tablas!$G$19, AR159&lt;Tablas!$G$20), 1,  IF(AND(AR159&gt;=Tablas!$G$20, AR159&lt;Tablas!$G$21), 2,  IF(AND(AR159&gt;=Tablas!$G$21, AR159&lt;=Tablas!$G$22), 3,  ""))))</f>
        <v/>
      </c>
      <c r="AV159" s="85" t="str">
        <f t="shared" si="261"/>
        <v/>
      </c>
      <c r="AW159" s="101" t="str">
        <f t="shared" si="262"/>
        <v/>
      </c>
      <c r="AX159" s="177"/>
      <c r="AY159" s="169"/>
      <c r="AZ159" s="158"/>
      <c r="BA159" s="169"/>
      <c r="BB159" s="182"/>
      <c r="BC159" s="182"/>
      <c r="BD159" s="185"/>
      <c r="BE159" s="185"/>
      <c r="BF159" s="158"/>
      <c r="BG159" s="191"/>
    </row>
    <row r="160" spans="1:59" ht="15" customHeight="1" x14ac:dyDescent="0.25">
      <c r="A160" s="167"/>
      <c r="B160" s="195"/>
      <c r="C160" s="161"/>
      <c r="D160" s="160"/>
      <c r="E160" s="161"/>
      <c r="F160" s="164"/>
      <c r="G160" s="167"/>
      <c r="H160" s="167"/>
      <c r="I160" s="167"/>
      <c r="J160" s="167"/>
      <c r="K160" s="167"/>
      <c r="L160" s="166"/>
      <c r="M160" s="166"/>
      <c r="N160" s="166"/>
      <c r="O160" s="166"/>
      <c r="P160" s="166"/>
      <c r="Q160" s="166"/>
      <c r="R160" s="177"/>
      <c r="S160" s="167"/>
      <c r="T160" s="167"/>
      <c r="U160" s="167"/>
      <c r="V160" s="167"/>
      <c r="W160" s="167"/>
      <c r="X160" s="164"/>
      <c r="Y160" s="164"/>
      <c r="Z160" s="172"/>
      <c r="AA160" s="188"/>
      <c r="AB160" s="172"/>
      <c r="AC160" s="172"/>
      <c r="AD160" s="175"/>
      <c r="AE160" s="62" t="s">
        <v>153</v>
      </c>
      <c r="AF160" s="133"/>
      <c r="AG160" s="65"/>
      <c r="AH160" s="64"/>
      <c r="AI160" s="64"/>
      <c r="AJ160" s="64"/>
      <c r="AK160" s="64"/>
      <c r="AL160" s="64"/>
      <c r="AM160" s="80" t="str">
        <f>IFERROR((Tablas!$C$1*VLOOKUP(AH160, tipo_control, 2, 0)+Tablas!$E$1*VLOOKUP(AI160, nat_control, 2, 0)+Tablas!$G$1*VLOOKUP(AJ160, ev_control, 2, 0)+Tablas!$I$1*VLOOKUP(AK160, frec_control, 2, 0)+Tablas!$K$1*VLOOKUP(AL160, doc_control, 2, 0))*0.1*peso_dis, "")</f>
        <v/>
      </c>
      <c r="AN160" s="64"/>
      <c r="AO160" s="64"/>
      <c r="AP160" s="64"/>
      <c r="AQ160" s="80" t="str">
        <f>IFERROR((Tablas!$C$9*VLOOKUP(AN160, amb_control, 2, 0)+Tablas!$E$9*VLOOKUP(AO160, ejec_control, 2, 0)+Tablas!$G$9*VLOOKUP(AP160, cub_control, 2, 0))*0.1*peso_ejec, "")</f>
        <v/>
      </c>
      <c r="AR160" s="91" t="str">
        <f t="shared" si="260"/>
        <v/>
      </c>
      <c r="AS160" s="87" t="str">
        <f t="shared" si="235"/>
        <v/>
      </c>
      <c r="AT160" s="85" t="str">
        <f t="shared" si="236"/>
        <v/>
      </c>
      <c r="AU160" s="85" t="str">
        <f>IF(AR160&lt;Tablas!$G$19, 0, IF(AND(AR160&gt;=Tablas!$G$19, AR160&lt;Tablas!$G$20), 1,  IF(AND(AR160&gt;=Tablas!$G$20, AR160&lt;Tablas!$G$21), 2,  IF(AND(AR160&gt;=Tablas!$G$21, AR160&lt;=Tablas!$G$22), 3,  ""))))</f>
        <v/>
      </c>
      <c r="AV160" s="85" t="str">
        <f t="shared" si="261"/>
        <v/>
      </c>
      <c r="AW160" s="101" t="str">
        <f t="shared" si="262"/>
        <v/>
      </c>
      <c r="AX160" s="177"/>
      <c r="AY160" s="169"/>
      <c r="AZ160" s="158"/>
      <c r="BA160" s="169"/>
      <c r="BB160" s="182"/>
      <c r="BC160" s="182"/>
      <c r="BD160" s="185"/>
      <c r="BE160" s="185"/>
      <c r="BF160" s="158"/>
      <c r="BG160" s="191"/>
    </row>
    <row r="161" spans="1:59" ht="15" customHeight="1" thickBot="1" x14ac:dyDescent="0.3">
      <c r="A161" s="167"/>
      <c r="B161" s="195"/>
      <c r="C161" s="161"/>
      <c r="D161" s="160"/>
      <c r="E161" s="161"/>
      <c r="F161" s="165"/>
      <c r="G161" s="149"/>
      <c r="H161" s="149"/>
      <c r="I161" s="149"/>
      <c r="J161" s="149"/>
      <c r="K161" s="149"/>
      <c r="L161" s="166"/>
      <c r="M161" s="166"/>
      <c r="N161" s="166"/>
      <c r="O161" s="166"/>
      <c r="P161" s="166"/>
      <c r="Q161" s="166"/>
      <c r="R161" s="177"/>
      <c r="S161" s="149"/>
      <c r="T161" s="149"/>
      <c r="U161" s="149"/>
      <c r="V161" s="149"/>
      <c r="W161" s="149"/>
      <c r="X161" s="165"/>
      <c r="Y161" s="165"/>
      <c r="Z161" s="172"/>
      <c r="AA161" s="188"/>
      <c r="AB161" s="172"/>
      <c r="AC161" s="172"/>
      <c r="AD161" s="175"/>
      <c r="AE161" s="66" t="s">
        <v>154</v>
      </c>
      <c r="AF161" s="134"/>
      <c r="AG161" s="67"/>
      <c r="AH161" s="69"/>
      <c r="AI161" s="69"/>
      <c r="AJ161" s="69"/>
      <c r="AK161" s="69"/>
      <c r="AL161" s="69"/>
      <c r="AM161" s="81" t="str">
        <f>IFERROR((Tablas!$C$1*VLOOKUP(AH161, tipo_control, 2, 0)+Tablas!$E$1*VLOOKUP(AI161, nat_control, 2, 0)+Tablas!$G$1*VLOOKUP(AJ161, ev_control, 2, 0)+Tablas!$I$1*VLOOKUP(AK161, frec_control, 2, 0)+Tablas!$K$1*VLOOKUP(AL161, doc_control, 2, 0))*0.1*peso_dis, "")</f>
        <v/>
      </c>
      <c r="AN161" s="69"/>
      <c r="AO161" s="69"/>
      <c r="AP161" s="69"/>
      <c r="AQ161" s="81" t="str">
        <f>IFERROR((Tablas!$C$9*VLOOKUP(AN161, amb_control, 2, 0)+Tablas!$E$9*VLOOKUP(AO161, ejec_control, 2, 0)+Tablas!$G$9*VLOOKUP(AP161, cub_control, 2, 0))*0.1*peso_ejec, "")</f>
        <v/>
      </c>
      <c r="AR161" s="93" t="str">
        <f t="shared" si="260"/>
        <v/>
      </c>
      <c r="AS161" s="87" t="str">
        <f t="shared" si="235"/>
        <v/>
      </c>
      <c r="AT161" s="94" t="str">
        <f t="shared" si="236"/>
        <v/>
      </c>
      <c r="AU161" s="94" t="str">
        <f>IF(AR161&lt;Tablas!$G$19, 0, IF(AND(AR161&gt;=Tablas!$G$19, AR161&lt;Tablas!$G$20), 1,  IF(AND(AR161&gt;=Tablas!$G$20, AR161&lt;Tablas!$G$21), 2,  IF(AND(AR161&gt;=Tablas!$G$21, AR161&lt;=Tablas!$G$22), 3,  ""))))</f>
        <v/>
      </c>
      <c r="AV161" s="94" t="str">
        <f t="shared" si="261"/>
        <v/>
      </c>
      <c r="AW161" s="102" t="str">
        <f t="shared" si="262"/>
        <v/>
      </c>
      <c r="AX161" s="157"/>
      <c r="AY161" s="170"/>
      <c r="AZ161" s="179"/>
      <c r="BA161" s="170"/>
      <c r="BB161" s="182"/>
      <c r="BC161" s="182"/>
      <c r="BD161" s="185"/>
      <c r="BE161" s="185"/>
      <c r="BF161" s="159"/>
      <c r="BG161" s="191"/>
    </row>
    <row r="162" spans="1:59" ht="15" customHeight="1" x14ac:dyDescent="0.25">
      <c r="A162" s="167"/>
      <c r="B162" s="195"/>
      <c r="C162" s="161" t="s">
        <v>15</v>
      </c>
      <c r="D162" s="160"/>
      <c r="E162" s="149"/>
      <c r="F162" s="163" t="str">
        <f t="shared" si="214"/>
        <v/>
      </c>
      <c r="G162" s="148"/>
      <c r="H162" s="148"/>
      <c r="I162" s="148"/>
      <c r="J162" s="148"/>
      <c r="K162" s="148"/>
      <c r="L162" s="165" t="str">
        <f>IFERROR(VLOOKUP(G162, tabla02, 2, 0), "")</f>
        <v/>
      </c>
      <c r="M162" s="165" t="str">
        <f>IFERROR(VLOOKUP(H162, tabla02, 2, 0), "")</f>
        <v/>
      </c>
      <c r="N162" s="165" t="str">
        <f>IFERROR(VLOOKUP(I162, tabla02, 2, 0), "")</f>
        <v/>
      </c>
      <c r="O162" s="165" t="str">
        <f>IFERROR(VLOOKUP(J162, tabla02, 2, 0), "")</f>
        <v/>
      </c>
      <c r="P162" s="165" t="str">
        <f>IFERROR(VLOOKUP(K162, tabla02, 2, 0), "")</f>
        <v/>
      </c>
      <c r="Q162" s="165" t="str">
        <f t="shared" ref="Q162" si="263">IF(SUM(L162:P162)=0, "", MAX(L162:P162))</f>
        <v/>
      </c>
      <c r="R162" s="159" t="str">
        <f>IFERROR(VLOOKUP(Q162, tabla04, 3, 0), "")</f>
        <v/>
      </c>
      <c r="S162" s="148"/>
      <c r="T162" s="148"/>
      <c r="U162" s="148"/>
      <c r="V162" s="148"/>
      <c r="W162" s="148"/>
      <c r="X162" s="163" t="str">
        <f>IFERROR(VLOOKUP(CONCATENATE(F162, "-", Q162), cuadrante_sev, 3, 0), "")</f>
        <v/>
      </c>
      <c r="Y162" s="163" t="str">
        <f t="shared" ref="Y162" si="264">IFERROR(IF(X162="Baja", 1, IF(X162="Moderada", 2, IF(X162="Alta", 3, IF(X162="Extrema", 4, "")))), "")</f>
        <v/>
      </c>
      <c r="Z162" s="172"/>
      <c r="AA162" s="188"/>
      <c r="AB162" s="172"/>
      <c r="AC162" s="172"/>
      <c r="AD162" s="175"/>
      <c r="AE162" s="70" t="s">
        <v>113</v>
      </c>
      <c r="AF162" s="135"/>
      <c r="AG162" s="74"/>
      <c r="AH162" s="72"/>
      <c r="AI162" s="72"/>
      <c r="AJ162" s="72"/>
      <c r="AK162" s="72"/>
      <c r="AL162" s="72"/>
      <c r="AM162" s="82" t="str">
        <f>IFERROR((Tablas!$C$1*VLOOKUP(AH162, tipo_control, 2, 0)+Tablas!$E$1*VLOOKUP(AI162, nat_control, 2, 0)+Tablas!$G$1*VLOOKUP(AJ162, ev_control, 2, 0)+Tablas!$I$1*VLOOKUP(AK162, frec_control, 2, 0)+Tablas!$K$1*VLOOKUP(AL162, doc_control, 2, 0))*0.1*peso_dis, "")</f>
        <v/>
      </c>
      <c r="AN162" s="72"/>
      <c r="AO162" s="72"/>
      <c r="AP162" s="72"/>
      <c r="AQ162" s="82" t="str">
        <f>IFERROR((Tablas!$C$9*VLOOKUP(AN162, amb_control, 2, 0)+Tablas!$E$9*VLOOKUP(AO162, ejec_control, 2, 0)+Tablas!$G$9*VLOOKUP(AP162, cub_control, 2, 0))*0.1*peso_ejec, "")</f>
        <v/>
      </c>
      <c r="AR162" s="96" t="str">
        <f t="shared" si="260"/>
        <v/>
      </c>
      <c r="AS162" s="97" t="str">
        <f t="shared" si="235"/>
        <v/>
      </c>
      <c r="AT162" s="87" t="str">
        <f t="shared" si="236"/>
        <v/>
      </c>
      <c r="AU162" s="97" t="str">
        <f>IF(AR162&lt;Tablas!$G$19, 0, IF(AND(AR162&gt;=Tablas!$G$19, AR162&lt;Tablas!$G$20), 1,  IF(AND(AR162&gt;=Tablas!$G$20, AR162&lt;Tablas!$G$21), 2,  IF(AND(AR162&gt;=Tablas!$G$21, AR162&lt;=Tablas!$G$22), 3,  ""))))</f>
        <v/>
      </c>
      <c r="AV162" s="97" t="str">
        <f t="shared" si="261"/>
        <v/>
      </c>
      <c r="AW162" s="103" t="str">
        <f t="shared" si="262"/>
        <v/>
      </c>
      <c r="AX162" s="176" t="str">
        <f t="shared" ref="AX162" si="265">IFERROR(VLOOKUP(AY162, tabla04, 2, 0), "")</f>
        <v/>
      </c>
      <c r="AY162" s="168" t="str">
        <f>IF(F162="", "", IF((F162-MAX(AV162:AV166))&lt;=0, 1, F162-MAX(AV162:AV166)))</f>
        <v/>
      </c>
      <c r="AZ162" s="178" t="str">
        <f t="shared" ref="AZ162" si="266">IFERROR(VLOOKUP(BA162, tabla04, 3, 0), "")</f>
        <v/>
      </c>
      <c r="BA162" s="168" t="str">
        <f>IF(Q162="", "", IF((Q162-MAX(AW162:AW166))&lt;=0, 1, Q162-MAX(AW162:AW166)))</f>
        <v/>
      </c>
      <c r="BB162" s="182"/>
      <c r="BC162" s="182"/>
      <c r="BD162" s="185"/>
      <c r="BE162" s="185"/>
      <c r="BF162" s="158" t="str">
        <f t="shared" ref="BF162:BF164" si="267">IFERROR(VLOOKUP(CONCATENATE(AY162, "-", BA162), cuadrante_sev, 3, 0), "")</f>
        <v/>
      </c>
      <c r="BG162" s="191"/>
    </row>
    <row r="163" spans="1:59" ht="15" customHeight="1" x14ac:dyDescent="0.25">
      <c r="A163" s="167"/>
      <c r="B163" s="195"/>
      <c r="C163" s="161"/>
      <c r="D163" s="160"/>
      <c r="E163" s="161"/>
      <c r="F163" s="164"/>
      <c r="G163" s="167"/>
      <c r="H163" s="167"/>
      <c r="I163" s="167"/>
      <c r="J163" s="167"/>
      <c r="K163" s="167"/>
      <c r="L163" s="166"/>
      <c r="M163" s="166"/>
      <c r="N163" s="166"/>
      <c r="O163" s="166"/>
      <c r="P163" s="166"/>
      <c r="Q163" s="166"/>
      <c r="R163" s="177"/>
      <c r="S163" s="167"/>
      <c r="T163" s="167"/>
      <c r="U163" s="167"/>
      <c r="V163" s="167"/>
      <c r="W163" s="167"/>
      <c r="X163" s="164"/>
      <c r="Y163" s="164"/>
      <c r="Z163" s="172"/>
      <c r="AA163" s="188"/>
      <c r="AB163" s="172"/>
      <c r="AC163" s="172"/>
      <c r="AD163" s="175"/>
      <c r="AE163" s="62" t="s">
        <v>114</v>
      </c>
      <c r="AF163" s="133"/>
      <c r="AG163" s="65"/>
      <c r="AH163" s="64"/>
      <c r="AI163" s="64"/>
      <c r="AJ163" s="64"/>
      <c r="AK163" s="64"/>
      <c r="AL163" s="64"/>
      <c r="AM163" s="80" t="str">
        <f>IFERROR((Tablas!$C$1*VLOOKUP(AH163, tipo_control, 2, 0)+Tablas!$E$1*VLOOKUP(AI163, nat_control, 2, 0)+Tablas!$G$1*VLOOKUP(AJ163, ev_control, 2, 0)+Tablas!$I$1*VLOOKUP(AK163, frec_control, 2, 0)+Tablas!$K$1*VLOOKUP(AL163, doc_control, 2, 0))*0.1*peso_dis, "")</f>
        <v/>
      </c>
      <c r="AN163" s="64"/>
      <c r="AO163" s="64"/>
      <c r="AP163" s="64"/>
      <c r="AQ163" s="80" t="str">
        <f>IFERROR((Tablas!$C$9*VLOOKUP(AN163, amb_control, 2, 0)+Tablas!$E$9*VLOOKUP(AO163, ejec_control, 2, 0)+Tablas!$G$9*VLOOKUP(AP163, cub_control, 2, 0))*0.1*peso_ejec, "")</f>
        <v/>
      </c>
      <c r="AR163" s="91" t="str">
        <f t="shared" si="260"/>
        <v/>
      </c>
      <c r="AS163" s="85" t="str">
        <f t="shared" si="235"/>
        <v/>
      </c>
      <c r="AT163" s="85" t="str">
        <f t="shared" si="236"/>
        <v/>
      </c>
      <c r="AU163" s="85" t="str">
        <f>IF(AR163&lt;Tablas!$G$19, 0, IF(AND(AR163&gt;=Tablas!$G$19, AR163&lt;Tablas!$G$20), 1,  IF(AND(AR163&gt;=Tablas!$G$20, AR163&lt;Tablas!$G$21), 2,  IF(AND(AR163&gt;=Tablas!$G$21, AR163&lt;=Tablas!$G$22), 3,  ""))))</f>
        <v/>
      </c>
      <c r="AV163" s="85" t="str">
        <f t="shared" si="261"/>
        <v/>
      </c>
      <c r="AW163" s="101" t="str">
        <f t="shared" si="262"/>
        <v/>
      </c>
      <c r="AX163" s="177"/>
      <c r="AY163" s="169"/>
      <c r="AZ163" s="158"/>
      <c r="BA163" s="169"/>
      <c r="BB163" s="182"/>
      <c r="BC163" s="182"/>
      <c r="BD163" s="185"/>
      <c r="BE163" s="185"/>
      <c r="BF163" s="158" t="str">
        <f t="shared" si="267"/>
        <v/>
      </c>
      <c r="BG163" s="191"/>
    </row>
    <row r="164" spans="1:59" ht="15" customHeight="1" x14ac:dyDescent="0.25">
      <c r="A164" s="167"/>
      <c r="B164" s="195"/>
      <c r="C164" s="161"/>
      <c r="D164" s="160"/>
      <c r="E164" s="161"/>
      <c r="F164" s="164"/>
      <c r="G164" s="167"/>
      <c r="H164" s="167"/>
      <c r="I164" s="167"/>
      <c r="J164" s="167"/>
      <c r="K164" s="167"/>
      <c r="L164" s="166"/>
      <c r="M164" s="166"/>
      <c r="N164" s="166"/>
      <c r="O164" s="166"/>
      <c r="P164" s="166"/>
      <c r="Q164" s="166"/>
      <c r="R164" s="177"/>
      <c r="S164" s="167"/>
      <c r="T164" s="167"/>
      <c r="U164" s="167"/>
      <c r="V164" s="167"/>
      <c r="W164" s="167"/>
      <c r="X164" s="164"/>
      <c r="Y164" s="164"/>
      <c r="Z164" s="172"/>
      <c r="AA164" s="188"/>
      <c r="AB164" s="172"/>
      <c r="AC164" s="172"/>
      <c r="AD164" s="175"/>
      <c r="AE164" s="62" t="s">
        <v>115</v>
      </c>
      <c r="AF164" s="133"/>
      <c r="AG164" s="65"/>
      <c r="AH164" s="64"/>
      <c r="AI164" s="64"/>
      <c r="AJ164" s="64"/>
      <c r="AK164" s="64"/>
      <c r="AL164" s="64"/>
      <c r="AM164" s="80" t="str">
        <f>IFERROR((Tablas!$C$1*VLOOKUP(AH164, tipo_control, 2, 0)+Tablas!$E$1*VLOOKUP(AI164, nat_control, 2, 0)+Tablas!$G$1*VLOOKUP(AJ164, ev_control, 2, 0)+Tablas!$I$1*VLOOKUP(AK164, frec_control, 2, 0)+Tablas!$K$1*VLOOKUP(AL164, doc_control, 2, 0))*0.1*peso_dis, "")</f>
        <v/>
      </c>
      <c r="AN164" s="64"/>
      <c r="AO164" s="64"/>
      <c r="AP164" s="64"/>
      <c r="AQ164" s="80" t="str">
        <f>IFERROR((Tablas!$C$9*VLOOKUP(AN164, amb_control, 2, 0)+Tablas!$E$9*VLOOKUP(AO164, ejec_control, 2, 0)+Tablas!$G$9*VLOOKUP(AP164, cub_control, 2, 0))*0.1*peso_ejec, "")</f>
        <v/>
      </c>
      <c r="AR164" s="91" t="str">
        <f t="shared" si="260"/>
        <v/>
      </c>
      <c r="AS164" s="85" t="str">
        <f t="shared" si="235"/>
        <v/>
      </c>
      <c r="AT164" s="85" t="str">
        <f t="shared" si="236"/>
        <v/>
      </c>
      <c r="AU164" s="85" t="str">
        <f>IF(AR164&lt;Tablas!$G$19, 0, IF(AND(AR164&gt;=Tablas!$G$19, AR164&lt;Tablas!$G$20), 1,  IF(AND(AR164&gt;=Tablas!$G$20, AR164&lt;Tablas!$G$21), 2,  IF(AND(AR164&gt;=Tablas!$G$21, AR164&lt;=Tablas!$G$22), 3,  ""))))</f>
        <v/>
      </c>
      <c r="AV164" s="85" t="str">
        <f t="shared" si="261"/>
        <v/>
      </c>
      <c r="AW164" s="101" t="str">
        <f t="shared" si="262"/>
        <v/>
      </c>
      <c r="AX164" s="177"/>
      <c r="AY164" s="169"/>
      <c r="AZ164" s="158"/>
      <c r="BA164" s="169"/>
      <c r="BB164" s="182"/>
      <c r="BC164" s="182"/>
      <c r="BD164" s="185"/>
      <c r="BE164" s="185"/>
      <c r="BF164" s="158" t="str">
        <f t="shared" si="267"/>
        <v/>
      </c>
      <c r="BG164" s="191"/>
    </row>
    <row r="165" spans="1:59" ht="15" customHeight="1" x14ac:dyDescent="0.25">
      <c r="A165" s="167"/>
      <c r="B165" s="195"/>
      <c r="C165" s="161"/>
      <c r="D165" s="160"/>
      <c r="E165" s="161"/>
      <c r="F165" s="164"/>
      <c r="G165" s="167"/>
      <c r="H165" s="167"/>
      <c r="I165" s="167"/>
      <c r="J165" s="167"/>
      <c r="K165" s="167"/>
      <c r="L165" s="166"/>
      <c r="M165" s="166"/>
      <c r="N165" s="166"/>
      <c r="O165" s="166"/>
      <c r="P165" s="166"/>
      <c r="Q165" s="166"/>
      <c r="R165" s="177"/>
      <c r="S165" s="167"/>
      <c r="T165" s="167"/>
      <c r="U165" s="167"/>
      <c r="V165" s="167"/>
      <c r="W165" s="167"/>
      <c r="X165" s="164"/>
      <c r="Y165" s="164"/>
      <c r="Z165" s="172"/>
      <c r="AA165" s="188"/>
      <c r="AB165" s="172"/>
      <c r="AC165" s="172"/>
      <c r="AD165" s="175"/>
      <c r="AE165" s="62" t="s">
        <v>153</v>
      </c>
      <c r="AF165" s="133"/>
      <c r="AG165" s="65"/>
      <c r="AH165" s="64"/>
      <c r="AI165" s="64"/>
      <c r="AJ165" s="64"/>
      <c r="AK165" s="64"/>
      <c r="AL165" s="64"/>
      <c r="AM165" s="80" t="str">
        <f>IFERROR((Tablas!$C$1*VLOOKUP(AH165, tipo_control, 2, 0)+Tablas!$E$1*VLOOKUP(AI165, nat_control, 2, 0)+Tablas!$G$1*VLOOKUP(AJ165, ev_control, 2, 0)+Tablas!$I$1*VLOOKUP(AK165, frec_control, 2, 0)+Tablas!$K$1*VLOOKUP(AL165, doc_control, 2, 0))*0.1*peso_dis, "")</f>
        <v/>
      </c>
      <c r="AN165" s="64"/>
      <c r="AO165" s="64"/>
      <c r="AP165" s="64"/>
      <c r="AQ165" s="80" t="str">
        <f>IFERROR((Tablas!$C$9*VLOOKUP(AN165, amb_control, 2, 0)+Tablas!$E$9*VLOOKUP(AO165, ejec_control, 2, 0)+Tablas!$G$9*VLOOKUP(AP165, cub_control, 2, 0))*0.1*peso_ejec, "")</f>
        <v/>
      </c>
      <c r="AR165" s="91" t="str">
        <f t="shared" si="260"/>
        <v/>
      </c>
      <c r="AS165" s="85" t="str">
        <f t="shared" si="235"/>
        <v/>
      </c>
      <c r="AT165" s="85" t="str">
        <f t="shared" si="236"/>
        <v/>
      </c>
      <c r="AU165" s="85" t="str">
        <f>IF(AR165&lt;Tablas!$G$19, 0, IF(AND(AR165&gt;=Tablas!$G$19, AR165&lt;Tablas!$G$20), 1,  IF(AND(AR165&gt;=Tablas!$G$20, AR165&lt;Tablas!$G$21), 2,  IF(AND(AR165&gt;=Tablas!$G$21, AR165&lt;=Tablas!$G$22), 3,  ""))))</f>
        <v/>
      </c>
      <c r="AV165" s="85" t="str">
        <f t="shared" si="261"/>
        <v/>
      </c>
      <c r="AW165" s="101" t="str">
        <f t="shared" si="262"/>
        <v/>
      </c>
      <c r="AX165" s="177"/>
      <c r="AY165" s="169"/>
      <c r="AZ165" s="158"/>
      <c r="BA165" s="169"/>
      <c r="BB165" s="182"/>
      <c r="BC165" s="182"/>
      <c r="BD165" s="185"/>
      <c r="BE165" s="185"/>
      <c r="BF165" s="158"/>
      <c r="BG165" s="191"/>
    </row>
    <row r="166" spans="1:59" ht="15" customHeight="1" thickBot="1" x14ac:dyDescent="0.3">
      <c r="A166" s="167"/>
      <c r="B166" s="195"/>
      <c r="C166" s="161"/>
      <c r="D166" s="160"/>
      <c r="E166" s="161"/>
      <c r="F166" s="165"/>
      <c r="G166" s="149"/>
      <c r="H166" s="149"/>
      <c r="I166" s="149"/>
      <c r="J166" s="149"/>
      <c r="K166" s="149"/>
      <c r="L166" s="166"/>
      <c r="M166" s="166"/>
      <c r="N166" s="166"/>
      <c r="O166" s="166"/>
      <c r="P166" s="166"/>
      <c r="Q166" s="166"/>
      <c r="R166" s="177"/>
      <c r="S166" s="149"/>
      <c r="T166" s="149"/>
      <c r="U166" s="149"/>
      <c r="V166" s="149"/>
      <c r="W166" s="149"/>
      <c r="X166" s="165"/>
      <c r="Y166" s="165"/>
      <c r="Z166" s="172"/>
      <c r="AA166" s="188"/>
      <c r="AB166" s="172"/>
      <c r="AC166" s="172"/>
      <c r="AD166" s="175"/>
      <c r="AE166" s="66" t="s">
        <v>154</v>
      </c>
      <c r="AF166" s="134"/>
      <c r="AG166" s="67"/>
      <c r="AH166" s="69"/>
      <c r="AI166" s="69"/>
      <c r="AJ166" s="69"/>
      <c r="AK166" s="69"/>
      <c r="AL166" s="69"/>
      <c r="AM166" s="81" t="str">
        <f>IFERROR((Tablas!$C$1*VLOOKUP(AH166, tipo_control, 2, 0)+Tablas!$E$1*VLOOKUP(AI166, nat_control, 2, 0)+Tablas!$G$1*VLOOKUP(AJ166, ev_control, 2, 0)+Tablas!$I$1*VLOOKUP(AK166, frec_control, 2, 0)+Tablas!$K$1*VLOOKUP(AL166, doc_control, 2, 0))*0.1*peso_dis, "")</f>
        <v/>
      </c>
      <c r="AN166" s="69"/>
      <c r="AO166" s="69"/>
      <c r="AP166" s="69"/>
      <c r="AQ166" s="81" t="str">
        <f>IFERROR((Tablas!$C$9*VLOOKUP(AN166, amb_control, 2, 0)+Tablas!$E$9*VLOOKUP(AO166, ejec_control, 2, 0)+Tablas!$G$9*VLOOKUP(AP166, cub_control, 2, 0))*0.1*peso_ejec, "")</f>
        <v/>
      </c>
      <c r="AR166" s="93" t="str">
        <f t="shared" si="260"/>
        <v/>
      </c>
      <c r="AS166" s="94" t="str">
        <f t="shared" si="235"/>
        <v/>
      </c>
      <c r="AT166" s="94" t="str">
        <f t="shared" si="236"/>
        <v/>
      </c>
      <c r="AU166" s="94" t="str">
        <f>IF(AR166&lt;Tablas!$G$19, 0, IF(AND(AR166&gt;=Tablas!$G$19, AR166&lt;Tablas!$G$20), 1,  IF(AND(AR166&gt;=Tablas!$G$20, AR166&lt;Tablas!$G$21), 2,  IF(AND(AR166&gt;=Tablas!$G$21, AR166&lt;=Tablas!$G$22), 3,  ""))))</f>
        <v/>
      </c>
      <c r="AV166" s="94" t="str">
        <f t="shared" si="261"/>
        <v/>
      </c>
      <c r="AW166" s="102" t="str">
        <f t="shared" si="262"/>
        <v/>
      </c>
      <c r="AX166" s="157"/>
      <c r="AY166" s="170"/>
      <c r="AZ166" s="179"/>
      <c r="BA166" s="170"/>
      <c r="BB166" s="182"/>
      <c r="BC166" s="182"/>
      <c r="BD166" s="185"/>
      <c r="BE166" s="185"/>
      <c r="BF166" s="159"/>
      <c r="BG166" s="191"/>
    </row>
    <row r="167" spans="1:59" ht="15" customHeight="1" x14ac:dyDescent="0.25">
      <c r="A167" s="167"/>
      <c r="B167" s="195"/>
      <c r="C167" s="161" t="s">
        <v>16</v>
      </c>
      <c r="D167" s="160"/>
      <c r="E167" s="149"/>
      <c r="F167" s="163" t="str">
        <f t="shared" si="214"/>
        <v/>
      </c>
      <c r="G167" s="148"/>
      <c r="H167" s="148"/>
      <c r="I167" s="148"/>
      <c r="J167" s="148"/>
      <c r="K167" s="148"/>
      <c r="L167" s="165" t="str">
        <f>IFERROR(VLOOKUP(G167, tabla02, 2, 0), "")</f>
        <v/>
      </c>
      <c r="M167" s="165" t="str">
        <f>IFERROR(VLOOKUP(H167, tabla02, 2, 0), "")</f>
        <v/>
      </c>
      <c r="N167" s="165" t="str">
        <f>IFERROR(VLOOKUP(I167, tabla02, 2, 0), "")</f>
        <v/>
      </c>
      <c r="O167" s="165" t="str">
        <f>IFERROR(VLOOKUP(J167, tabla02, 2, 0), "")</f>
        <v/>
      </c>
      <c r="P167" s="165" t="str">
        <f>IFERROR(VLOOKUP(K167, tabla02, 2, 0), "")</f>
        <v/>
      </c>
      <c r="Q167" s="165" t="str">
        <f t="shared" ref="Q167" si="268">IF(SUM(L167:P167)=0, "", MAX(L167:P167))</f>
        <v/>
      </c>
      <c r="R167" s="159" t="str">
        <f>IFERROR(VLOOKUP(Q167, tabla04, 3, 0), "")</f>
        <v/>
      </c>
      <c r="S167" s="148"/>
      <c r="T167" s="148"/>
      <c r="U167" s="148"/>
      <c r="V167" s="148"/>
      <c r="W167" s="148"/>
      <c r="X167" s="163" t="str">
        <f>IFERROR(VLOOKUP(CONCATENATE(F167, "-", Q167), cuadrante_sev, 3, 0), "")</f>
        <v/>
      </c>
      <c r="Y167" s="163" t="str">
        <f t="shared" ref="Y167" si="269">IFERROR(IF(X167="Baja", 1, IF(X167="Moderada", 2, IF(X167="Alta", 3, IF(X167="Extrema", 4, "")))), "")</f>
        <v/>
      </c>
      <c r="Z167" s="172"/>
      <c r="AA167" s="188"/>
      <c r="AB167" s="172"/>
      <c r="AC167" s="172"/>
      <c r="AD167" s="175"/>
      <c r="AE167" s="70" t="s">
        <v>113</v>
      </c>
      <c r="AF167" s="135"/>
      <c r="AG167" s="77"/>
      <c r="AH167" s="61"/>
      <c r="AI167" s="61"/>
      <c r="AJ167" s="61"/>
      <c r="AK167" s="61"/>
      <c r="AL167" s="61"/>
      <c r="AM167" s="82" t="str">
        <f>IFERROR((Tablas!$C$1*VLOOKUP(AH167, tipo_control, 2, 0)+Tablas!$E$1*VLOOKUP(AI167, nat_control, 2, 0)+Tablas!$G$1*VLOOKUP(AJ167, ev_control, 2, 0)+Tablas!$I$1*VLOOKUP(AK167, frec_control, 2, 0)+Tablas!$K$1*VLOOKUP(AL167, doc_control, 2, 0))*0.1*peso_dis, "")</f>
        <v/>
      </c>
      <c r="AN167" s="61"/>
      <c r="AO167" s="61"/>
      <c r="AP167" s="61"/>
      <c r="AQ167" s="82" t="str">
        <f>IFERROR((Tablas!$C$9*VLOOKUP(AN167, amb_control, 2, 0)+Tablas!$E$9*VLOOKUP(AO167, ejec_control, 2, 0)+Tablas!$G$9*VLOOKUP(AP167, cub_control, 2, 0))*0.1*peso_ejec, "")</f>
        <v/>
      </c>
      <c r="AR167" s="96" t="str">
        <f t="shared" si="260"/>
        <v/>
      </c>
      <c r="AS167" s="97" t="str">
        <f t="shared" si="235"/>
        <v/>
      </c>
      <c r="AT167" s="87" t="str">
        <f t="shared" si="236"/>
        <v/>
      </c>
      <c r="AU167" s="97" t="str">
        <f>IF(AR167&lt;Tablas!$G$19, 0, IF(AND(AR167&gt;=Tablas!$G$19, AR167&lt;Tablas!$G$20), 1,  IF(AND(AR167&gt;=Tablas!$G$20, AR167&lt;Tablas!$G$21), 2,  IF(AND(AR167&gt;=Tablas!$G$21, AR167&lt;=Tablas!$G$22), 3,  ""))))</f>
        <v/>
      </c>
      <c r="AV167" s="97" t="str">
        <f t="shared" si="261"/>
        <v/>
      </c>
      <c r="AW167" s="103" t="str">
        <f t="shared" si="262"/>
        <v/>
      </c>
      <c r="AX167" s="176" t="str">
        <f t="shared" ref="AX167" si="270">IFERROR(VLOOKUP(AY167, tabla04, 2, 0), "")</f>
        <v/>
      </c>
      <c r="AY167" s="168" t="str">
        <f>IF(F167="", "", IF((F167-MAX(AV167:AV171))&lt;=0, 1, F167-MAX(AV167:AV171)))</f>
        <v/>
      </c>
      <c r="AZ167" s="178" t="str">
        <f t="shared" ref="AZ167" si="271">IFERROR(VLOOKUP(BA167, tabla04, 3, 0), "")</f>
        <v/>
      </c>
      <c r="BA167" s="168" t="str">
        <f>IF(Q167="", "", IF((Q167-MAX(AW167:AW171))&lt;=0, 1, Q167-MAX(AW167:AW171)))</f>
        <v/>
      </c>
      <c r="BB167" s="182"/>
      <c r="BC167" s="182"/>
      <c r="BD167" s="185"/>
      <c r="BE167" s="185"/>
      <c r="BF167" s="158" t="str">
        <f t="shared" ref="BF167:BF169" si="272">IFERROR(VLOOKUP(CONCATENATE(AY167, "-", BA167), cuadrante_sev, 3, 0), "")</f>
        <v/>
      </c>
      <c r="BG167" s="191"/>
    </row>
    <row r="168" spans="1:59" ht="15" customHeight="1" x14ac:dyDescent="0.25">
      <c r="A168" s="167"/>
      <c r="B168" s="195"/>
      <c r="C168" s="161"/>
      <c r="D168" s="160"/>
      <c r="E168" s="161"/>
      <c r="F168" s="164"/>
      <c r="G168" s="167"/>
      <c r="H168" s="167"/>
      <c r="I168" s="167"/>
      <c r="J168" s="167"/>
      <c r="K168" s="167"/>
      <c r="L168" s="166"/>
      <c r="M168" s="166"/>
      <c r="N168" s="166"/>
      <c r="O168" s="166"/>
      <c r="P168" s="166"/>
      <c r="Q168" s="166"/>
      <c r="R168" s="177"/>
      <c r="S168" s="167"/>
      <c r="T168" s="167"/>
      <c r="U168" s="167"/>
      <c r="V168" s="167"/>
      <c r="W168" s="167"/>
      <c r="X168" s="164"/>
      <c r="Y168" s="164"/>
      <c r="Z168" s="172"/>
      <c r="AA168" s="188"/>
      <c r="AB168" s="172"/>
      <c r="AC168" s="172"/>
      <c r="AD168" s="175"/>
      <c r="AE168" s="62" t="s">
        <v>114</v>
      </c>
      <c r="AF168" s="133"/>
      <c r="AG168" s="65"/>
      <c r="AH168" s="64"/>
      <c r="AI168" s="64"/>
      <c r="AJ168" s="64"/>
      <c r="AK168" s="64"/>
      <c r="AL168" s="64"/>
      <c r="AM168" s="80" t="str">
        <f>IFERROR((Tablas!$C$1*VLOOKUP(AH168, tipo_control, 2, 0)+Tablas!$E$1*VLOOKUP(AI168, nat_control, 2, 0)+Tablas!$G$1*VLOOKUP(AJ168, ev_control, 2, 0)+Tablas!$I$1*VLOOKUP(AK168, frec_control, 2, 0)+Tablas!$K$1*VLOOKUP(AL168, doc_control, 2, 0))*0.1*peso_dis, "")</f>
        <v/>
      </c>
      <c r="AN168" s="64"/>
      <c r="AO168" s="64"/>
      <c r="AP168" s="64"/>
      <c r="AQ168" s="80" t="str">
        <f>IFERROR((Tablas!$C$9*VLOOKUP(AN168, amb_control, 2, 0)+Tablas!$E$9*VLOOKUP(AO168, ejec_control, 2, 0)+Tablas!$G$9*VLOOKUP(AP168, cub_control, 2, 0))*0.1*peso_ejec, "")</f>
        <v/>
      </c>
      <c r="AR168" s="91" t="str">
        <f t="shared" si="260"/>
        <v/>
      </c>
      <c r="AS168" s="85" t="str">
        <f t="shared" si="235"/>
        <v/>
      </c>
      <c r="AT168" s="85" t="str">
        <f t="shared" si="236"/>
        <v/>
      </c>
      <c r="AU168" s="85" t="str">
        <f>IF(AR168&lt;Tablas!$G$19, 0, IF(AND(AR168&gt;=Tablas!$G$19, AR168&lt;Tablas!$G$20), 1,  IF(AND(AR168&gt;=Tablas!$G$20, AR168&lt;Tablas!$G$21), 2,  IF(AND(AR168&gt;=Tablas!$G$21, AR168&lt;=Tablas!$G$22), 3,  ""))))</f>
        <v/>
      </c>
      <c r="AV168" s="85" t="str">
        <f t="shared" si="261"/>
        <v/>
      </c>
      <c r="AW168" s="101" t="str">
        <f t="shared" si="262"/>
        <v/>
      </c>
      <c r="AX168" s="177"/>
      <c r="AY168" s="169"/>
      <c r="AZ168" s="158"/>
      <c r="BA168" s="169"/>
      <c r="BB168" s="182"/>
      <c r="BC168" s="182"/>
      <c r="BD168" s="185"/>
      <c r="BE168" s="185"/>
      <c r="BF168" s="158" t="str">
        <f t="shared" si="272"/>
        <v/>
      </c>
      <c r="BG168" s="191"/>
    </row>
    <row r="169" spans="1:59" ht="15" customHeight="1" x14ac:dyDescent="0.25">
      <c r="A169" s="167"/>
      <c r="B169" s="195"/>
      <c r="C169" s="161"/>
      <c r="D169" s="160"/>
      <c r="E169" s="161"/>
      <c r="F169" s="164"/>
      <c r="G169" s="167"/>
      <c r="H169" s="167"/>
      <c r="I169" s="167"/>
      <c r="J169" s="167"/>
      <c r="K169" s="167"/>
      <c r="L169" s="166"/>
      <c r="M169" s="166"/>
      <c r="N169" s="166"/>
      <c r="O169" s="166"/>
      <c r="P169" s="166"/>
      <c r="Q169" s="166"/>
      <c r="R169" s="177"/>
      <c r="S169" s="167"/>
      <c r="T169" s="167"/>
      <c r="U169" s="167"/>
      <c r="V169" s="167"/>
      <c r="W169" s="167"/>
      <c r="X169" s="164"/>
      <c r="Y169" s="164"/>
      <c r="Z169" s="172"/>
      <c r="AA169" s="188"/>
      <c r="AB169" s="172"/>
      <c r="AC169" s="172"/>
      <c r="AD169" s="175"/>
      <c r="AE169" s="62" t="s">
        <v>115</v>
      </c>
      <c r="AF169" s="133"/>
      <c r="AG169" s="65"/>
      <c r="AH169" s="64"/>
      <c r="AI169" s="64"/>
      <c r="AJ169" s="64"/>
      <c r="AK169" s="64"/>
      <c r="AL169" s="64"/>
      <c r="AM169" s="80" t="str">
        <f>IFERROR((Tablas!$C$1*VLOOKUP(AH169, tipo_control, 2, 0)+Tablas!$E$1*VLOOKUP(AI169, nat_control, 2, 0)+Tablas!$G$1*VLOOKUP(AJ169, ev_control, 2, 0)+Tablas!$I$1*VLOOKUP(AK169, frec_control, 2, 0)+Tablas!$K$1*VLOOKUP(AL169, doc_control, 2, 0))*0.1*peso_dis, "")</f>
        <v/>
      </c>
      <c r="AN169" s="64"/>
      <c r="AO169" s="64"/>
      <c r="AP169" s="64"/>
      <c r="AQ169" s="80" t="str">
        <f>IFERROR((Tablas!$C$9*VLOOKUP(AN169, amb_control, 2, 0)+Tablas!$E$9*VLOOKUP(AO169, ejec_control, 2, 0)+Tablas!$G$9*VLOOKUP(AP169, cub_control, 2, 0))*0.1*peso_ejec, "")</f>
        <v/>
      </c>
      <c r="AR169" s="91" t="str">
        <f t="shared" si="260"/>
        <v/>
      </c>
      <c r="AS169" s="85" t="str">
        <f t="shared" si="235"/>
        <v/>
      </c>
      <c r="AT169" s="85" t="str">
        <f t="shared" si="236"/>
        <v/>
      </c>
      <c r="AU169" s="85" t="str">
        <f>IF(AR169&lt;Tablas!$G$19, 0, IF(AND(AR169&gt;=Tablas!$G$19, AR169&lt;Tablas!$G$20), 1,  IF(AND(AR169&gt;=Tablas!$G$20, AR169&lt;Tablas!$G$21), 2,  IF(AND(AR169&gt;=Tablas!$G$21, AR169&lt;=Tablas!$G$22), 3,  ""))))</f>
        <v/>
      </c>
      <c r="AV169" s="85" t="str">
        <f t="shared" si="261"/>
        <v/>
      </c>
      <c r="AW169" s="101" t="str">
        <f t="shared" si="262"/>
        <v/>
      </c>
      <c r="AX169" s="177"/>
      <c r="AY169" s="169"/>
      <c r="AZ169" s="158"/>
      <c r="BA169" s="169"/>
      <c r="BB169" s="182"/>
      <c r="BC169" s="182"/>
      <c r="BD169" s="185"/>
      <c r="BE169" s="185"/>
      <c r="BF169" s="158" t="str">
        <f t="shared" si="272"/>
        <v/>
      </c>
      <c r="BG169" s="191"/>
    </row>
    <row r="170" spans="1:59" ht="15" customHeight="1" x14ac:dyDescent="0.25">
      <c r="A170" s="167"/>
      <c r="B170" s="195"/>
      <c r="C170" s="161"/>
      <c r="D170" s="160"/>
      <c r="E170" s="161"/>
      <c r="F170" s="164"/>
      <c r="G170" s="167"/>
      <c r="H170" s="167"/>
      <c r="I170" s="167"/>
      <c r="J170" s="167"/>
      <c r="K170" s="167"/>
      <c r="L170" s="166"/>
      <c r="M170" s="166"/>
      <c r="N170" s="166"/>
      <c r="O170" s="166"/>
      <c r="P170" s="166"/>
      <c r="Q170" s="166"/>
      <c r="R170" s="177"/>
      <c r="S170" s="167"/>
      <c r="T170" s="167"/>
      <c r="U170" s="167"/>
      <c r="V170" s="167"/>
      <c r="W170" s="167"/>
      <c r="X170" s="164"/>
      <c r="Y170" s="164"/>
      <c r="Z170" s="172"/>
      <c r="AA170" s="188"/>
      <c r="AB170" s="172"/>
      <c r="AC170" s="172"/>
      <c r="AD170" s="175"/>
      <c r="AE170" s="62" t="s">
        <v>153</v>
      </c>
      <c r="AF170" s="133"/>
      <c r="AG170" s="65"/>
      <c r="AH170" s="64"/>
      <c r="AI170" s="64"/>
      <c r="AJ170" s="64"/>
      <c r="AK170" s="64"/>
      <c r="AL170" s="64"/>
      <c r="AM170" s="80" t="str">
        <f>IFERROR((Tablas!$C$1*VLOOKUP(AH170, tipo_control, 2, 0)+Tablas!$E$1*VLOOKUP(AI170, nat_control, 2, 0)+Tablas!$G$1*VLOOKUP(AJ170, ev_control, 2, 0)+Tablas!$I$1*VLOOKUP(AK170, frec_control, 2, 0)+Tablas!$K$1*VLOOKUP(AL170, doc_control, 2, 0))*0.1*peso_dis, "")</f>
        <v/>
      </c>
      <c r="AN170" s="64"/>
      <c r="AO170" s="64"/>
      <c r="AP170" s="64"/>
      <c r="AQ170" s="80" t="str">
        <f>IFERROR((Tablas!$C$9*VLOOKUP(AN170, amb_control, 2, 0)+Tablas!$E$9*VLOOKUP(AO170, ejec_control, 2, 0)+Tablas!$G$9*VLOOKUP(AP170, cub_control, 2, 0))*0.1*peso_ejec, "")</f>
        <v/>
      </c>
      <c r="AR170" s="91" t="str">
        <f t="shared" si="260"/>
        <v/>
      </c>
      <c r="AS170" s="85" t="str">
        <f t="shared" si="235"/>
        <v/>
      </c>
      <c r="AT170" s="85" t="str">
        <f t="shared" si="236"/>
        <v/>
      </c>
      <c r="AU170" s="85" t="str">
        <f>IF(AR170&lt;Tablas!$G$19, 0, IF(AND(AR170&gt;=Tablas!$G$19, AR170&lt;Tablas!$G$20), 1,  IF(AND(AR170&gt;=Tablas!$G$20, AR170&lt;Tablas!$G$21), 2,  IF(AND(AR170&gt;=Tablas!$G$21, AR170&lt;=Tablas!$G$22), 3,  ""))))</f>
        <v/>
      </c>
      <c r="AV170" s="85" t="str">
        <f t="shared" si="261"/>
        <v/>
      </c>
      <c r="AW170" s="101" t="str">
        <f t="shared" si="262"/>
        <v/>
      </c>
      <c r="AX170" s="177"/>
      <c r="AY170" s="169"/>
      <c r="AZ170" s="158"/>
      <c r="BA170" s="169"/>
      <c r="BB170" s="182"/>
      <c r="BC170" s="182"/>
      <c r="BD170" s="185"/>
      <c r="BE170" s="185"/>
      <c r="BF170" s="158"/>
      <c r="BG170" s="191"/>
    </row>
    <row r="171" spans="1:59" ht="15" customHeight="1" thickBot="1" x14ac:dyDescent="0.3">
      <c r="A171" s="167"/>
      <c r="B171" s="195"/>
      <c r="C171" s="161"/>
      <c r="D171" s="160"/>
      <c r="E171" s="161"/>
      <c r="F171" s="165"/>
      <c r="G171" s="149"/>
      <c r="H171" s="149"/>
      <c r="I171" s="149"/>
      <c r="J171" s="149"/>
      <c r="K171" s="149"/>
      <c r="L171" s="166"/>
      <c r="M171" s="166"/>
      <c r="N171" s="166"/>
      <c r="O171" s="166"/>
      <c r="P171" s="166"/>
      <c r="Q171" s="166"/>
      <c r="R171" s="177"/>
      <c r="S171" s="149"/>
      <c r="T171" s="149"/>
      <c r="U171" s="149"/>
      <c r="V171" s="149"/>
      <c r="W171" s="149"/>
      <c r="X171" s="165"/>
      <c r="Y171" s="165"/>
      <c r="Z171" s="172"/>
      <c r="AA171" s="188"/>
      <c r="AB171" s="172"/>
      <c r="AC171" s="172"/>
      <c r="AD171" s="175"/>
      <c r="AE171" s="66" t="s">
        <v>154</v>
      </c>
      <c r="AF171" s="134"/>
      <c r="AG171" s="67"/>
      <c r="AH171" s="69"/>
      <c r="AI171" s="69"/>
      <c r="AJ171" s="69"/>
      <c r="AK171" s="69"/>
      <c r="AL171" s="69"/>
      <c r="AM171" s="81" t="str">
        <f>IFERROR((Tablas!$C$1*VLOOKUP(AH171, tipo_control, 2, 0)+Tablas!$E$1*VLOOKUP(AI171, nat_control, 2, 0)+Tablas!$G$1*VLOOKUP(AJ171, ev_control, 2, 0)+Tablas!$I$1*VLOOKUP(AK171, frec_control, 2, 0)+Tablas!$K$1*VLOOKUP(AL171, doc_control, 2, 0))*0.1*peso_dis, "")</f>
        <v/>
      </c>
      <c r="AN171" s="69"/>
      <c r="AO171" s="69"/>
      <c r="AP171" s="69"/>
      <c r="AQ171" s="81" t="str">
        <f>IFERROR((Tablas!$C$9*VLOOKUP(AN171, amb_control, 2, 0)+Tablas!$E$9*VLOOKUP(AO171, ejec_control, 2, 0)+Tablas!$G$9*VLOOKUP(AP171, cub_control, 2, 0))*0.1*peso_ejec, "")</f>
        <v/>
      </c>
      <c r="AR171" s="93" t="str">
        <f t="shared" si="260"/>
        <v/>
      </c>
      <c r="AS171" s="94" t="str">
        <f t="shared" si="235"/>
        <v/>
      </c>
      <c r="AT171" s="94" t="str">
        <f t="shared" si="236"/>
        <v/>
      </c>
      <c r="AU171" s="94" t="str">
        <f>IF(AR171&lt;Tablas!$G$19, 0, IF(AND(AR171&gt;=Tablas!$G$19, AR171&lt;Tablas!$G$20), 1,  IF(AND(AR171&gt;=Tablas!$G$20, AR171&lt;Tablas!$G$21), 2,  IF(AND(AR171&gt;=Tablas!$G$21, AR171&lt;=Tablas!$G$22), 3,  ""))))</f>
        <v/>
      </c>
      <c r="AV171" s="94" t="str">
        <f t="shared" si="261"/>
        <v/>
      </c>
      <c r="AW171" s="102" t="str">
        <f t="shared" si="262"/>
        <v/>
      </c>
      <c r="AX171" s="157"/>
      <c r="AY171" s="170"/>
      <c r="AZ171" s="179"/>
      <c r="BA171" s="170"/>
      <c r="BB171" s="182"/>
      <c r="BC171" s="182"/>
      <c r="BD171" s="185"/>
      <c r="BE171" s="185"/>
      <c r="BF171" s="159"/>
      <c r="BG171" s="191"/>
    </row>
    <row r="172" spans="1:59" ht="15" customHeight="1" x14ac:dyDescent="0.25">
      <c r="A172" s="167"/>
      <c r="B172" s="195"/>
      <c r="C172" s="161" t="s">
        <v>18</v>
      </c>
      <c r="D172" s="160"/>
      <c r="E172" s="149"/>
      <c r="F172" s="163" t="str">
        <f t="shared" si="214"/>
        <v/>
      </c>
      <c r="G172" s="148"/>
      <c r="H172" s="148"/>
      <c r="I172" s="148"/>
      <c r="J172" s="148"/>
      <c r="K172" s="148"/>
      <c r="L172" s="165" t="str">
        <f t="shared" ref="L172" si="273">IFERROR(VLOOKUP(G172, tabla02, 2, 0), "")</f>
        <v/>
      </c>
      <c r="M172" s="165" t="str">
        <f t="shared" ref="M172" si="274">IFERROR(VLOOKUP(H172, tabla02, 2, 0), "")</f>
        <v/>
      </c>
      <c r="N172" s="165" t="str">
        <f t="shared" ref="N172" si="275">IFERROR(VLOOKUP(I172, tabla02, 2, 0), "")</f>
        <v/>
      </c>
      <c r="O172" s="165" t="str">
        <f t="shared" ref="O172" si="276">IFERROR(VLOOKUP(J172, tabla02, 2, 0), "")</f>
        <v/>
      </c>
      <c r="P172" s="165" t="str">
        <f t="shared" ref="P172" si="277">IFERROR(VLOOKUP(K172, tabla02, 2, 0), "")</f>
        <v/>
      </c>
      <c r="Q172" s="165" t="str">
        <f t="shared" ref="Q172" si="278">IF(SUM(L172:P172)=0, "", MAX(L172:P172))</f>
        <v/>
      </c>
      <c r="R172" s="159" t="str">
        <f>IFERROR(VLOOKUP(Q172, tabla04, 3, 0), "")</f>
        <v/>
      </c>
      <c r="S172" s="148"/>
      <c r="T172" s="148"/>
      <c r="U172" s="148"/>
      <c r="V172" s="148"/>
      <c r="W172" s="148"/>
      <c r="X172" s="163" t="str">
        <f>IFERROR(VLOOKUP(CONCATENATE(F172, "-", Q172), cuadrante_sev, 3, 0), "")</f>
        <v/>
      </c>
      <c r="Y172" s="163" t="str">
        <f t="shared" ref="Y172" si="279">IFERROR(IF(X172="Baja", 1, IF(X172="Moderada", 2, IF(X172="Alta", 3, IF(X172="Extrema", 4, "")))), "")</f>
        <v/>
      </c>
      <c r="Z172" s="172"/>
      <c r="AA172" s="188"/>
      <c r="AB172" s="172"/>
      <c r="AC172" s="172"/>
      <c r="AD172" s="175"/>
      <c r="AE172" s="70" t="s">
        <v>113</v>
      </c>
      <c r="AF172" s="135"/>
      <c r="AG172" s="77"/>
      <c r="AH172" s="61"/>
      <c r="AI172" s="61"/>
      <c r="AJ172" s="61"/>
      <c r="AK172" s="61"/>
      <c r="AL172" s="61"/>
      <c r="AM172" s="82" t="str">
        <f>IFERROR((Tablas!$C$1*VLOOKUP(AH172, tipo_control, 2, 0)+Tablas!$E$1*VLOOKUP(AI172, nat_control, 2, 0)+Tablas!$G$1*VLOOKUP(AJ172, ev_control, 2, 0)+Tablas!$I$1*VLOOKUP(AK172, frec_control, 2, 0)+Tablas!$K$1*VLOOKUP(AL172, doc_control, 2, 0))*0.1*peso_dis, "")</f>
        <v/>
      </c>
      <c r="AN172" s="61"/>
      <c r="AO172" s="61"/>
      <c r="AP172" s="61"/>
      <c r="AQ172" s="82" t="str">
        <f>IFERROR((Tablas!$C$9*VLOOKUP(AN172, amb_control, 2, 0)+Tablas!$E$9*VLOOKUP(AO172, ejec_control, 2, 0)+Tablas!$G$9*VLOOKUP(AP172, cub_control, 2, 0))*0.1*peso_ejec, "")</f>
        <v/>
      </c>
      <c r="AR172" s="96" t="str">
        <f t="shared" si="260"/>
        <v/>
      </c>
      <c r="AS172" s="97" t="str">
        <f t="shared" si="235"/>
        <v/>
      </c>
      <c r="AT172" s="87" t="str">
        <f t="shared" si="236"/>
        <v/>
      </c>
      <c r="AU172" s="97" t="str">
        <f>IF(AR172&lt;Tablas!$G$19, 0, IF(AND(AR172&gt;=Tablas!$G$19, AR172&lt;Tablas!$G$20), 1,  IF(AND(AR172&gt;=Tablas!$G$20, AR172&lt;Tablas!$G$21), 2,  IF(AND(AR172&gt;=Tablas!$G$21, AR172&lt;=Tablas!$G$22), 3,  ""))))</f>
        <v/>
      </c>
      <c r="AV172" s="97" t="str">
        <f t="shared" si="261"/>
        <v/>
      </c>
      <c r="AW172" s="103" t="str">
        <f t="shared" si="262"/>
        <v/>
      </c>
      <c r="AX172" s="176" t="str">
        <f t="shared" ref="AX172" si="280">IFERROR(VLOOKUP(AY172, tabla04, 2, 0), "")</f>
        <v/>
      </c>
      <c r="AY172" s="168" t="str">
        <f>IF(F172="", "", IF((F172-MAX(AV172:AV176))&lt;=0, 1, F172-MAX(AV172:AV176)))</f>
        <v/>
      </c>
      <c r="AZ172" s="178" t="str">
        <f t="shared" ref="AZ172" si="281">IFERROR(VLOOKUP(BA172, tabla04, 3, 0), "")</f>
        <v/>
      </c>
      <c r="BA172" s="168" t="str">
        <f>IF(Q172="", "", IF((Q172-MAX(AW172:AW176))&lt;=0, 1, Q172-MAX(AW172:AW176)))</f>
        <v/>
      </c>
      <c r="BB172" s="182"/>
      <c r="BC172" s="182"/>
      <c r="BD172" s="185"/>
      <c r="BE172" s="185"/>
      <c r="BF172" s="158" t="str">
        <f t="shared" ref="BF172:BF174" si="282">IFERROR(VLOOKUP(CONCATENATE(AY172, "-", BA172), cuadrante_sev, 3, 0), "")</f>
        <v/>
      </c>
      <c r="BG172" s="191"/>
    </row>
    <row r="173" spans="1:59" ht="15" customHeight="1" x14ac:dyDescent="0.25">
      <c r="A173" s="167"/>
      <c r="B173" s="195"/>
      <c r="C173" s="161"/>
      <c r="D173" s="160"/>
      <c r="E173" s="161"/>
      <c r="F173" s="164"/>
      <c r="G173" s="167"/>
      <c r="H173" s="167"/>
      <c r="I173" s="167"/>
      <c r="J173" s="167"/>
      <c r="K173" s="167"/>
      <c r="L173" s="166"/>
      <c r="M173" s="166"/>
      <c r="N173" s="166"/>
      <c r="O173" s="166"/>
      <c r="P173" s="166"/>
      <c r="Q173" s="166"/>
      <c r="R173" s="177"/>
      <c r="S173" s="167"/>
      <c r="T173" s="167"/>
      <c r="U173" s="167"/>
      <c r="V173" s="167"/>
      <c r="W173" s="167"/>
      <c r="X173" s="164"/>
      <c r="Y173" s="164"/>
      <c r="Z173" s="172"/>
      <c r="AA173" s="188"/>
      <c r="AB173" s="172"/>
      <c r="AC173" s="172"/>
      <c r="AD173" s="175"/>
      <c r="AE173" s="62" t="s">
        <v>114</v>
      </c>
      <c r="AF173" s="133"/>
      <c r="AG173" s="65"/>
      <c r="AH173" s="64"/>
      <c r="AI173" s="64"/>
      <c r="AJ173" s="64"/>
      <c r="AK173" s="64"/>
      <c r="AL173" s="64"/>
      <c r="AM173" s="80" t="str">
        <f>IFERROR((Tablas!$C$1*VLOOKUP(AH173, tipo_control, 2, 0)+Tablas!$E$1*VLOOKUP(AI173, nat_control, 2, 0)+Tablas!$G$1*VLOOKUP(AJ173, ev_control, 2, 0)+Tablas!$I$1*VLOOKUP(AK173, frec_control, 2, 0)+Tablas!$K$1*VLOOKUP(AL173, doc_control, 2, 0))*0.1*peso_dis, "")</f>
        <v/>
      </c>
      <c r="AN173" s="64"/>
      <c r="AO173" s="64"/>
      <c r="AP173" s="64"/>
      <c r="AQ173" s="80" t="str">
        <f>IFERROR((Tablas!$C$9*VLOOKUP(AN173, amb_control, 2, 0)+Tablas!$E$9*VLOOKUP(AO173, ejec_control, 2, 0)+Tablas!$G$9*VLOOKUP(AP173, cub_control, 2, 0))*0.1*peso_ejec, "")</f>
        <v/>
      </c>
      <c r="AR173" s="91" t="str">
        <f t="shared" si="260"/>
        <v/>
      </c>
      <c r="AS173" s="85" t="str">
        <f t="shared" si="235"/>
        <v/>
      </c>
      <c r="AT173" s="85" t="str">
        <f t="shared" si="236"/>
        <v/>
      </c>
      <c r="AU173" s="85" t="str">
        <f>IF(AR173&lt;Tablas!$G$19, 0, IF(AND(AR173&gt;=Tablas!$G$19, AR173&lt;Tablas!$G$20), 1,  IF(AND(AR173&gt;=Tablas!$G$20, AR173&lt;Tablas!$G$21), 2,  IF(AND(AR173&gt;=Tablas!$G$21, AR173&lt;=Tablas!$G$22), 3,  ""))))</f>
        <v/>
      </c>
      <c r="AV173" s="85" t="str">
        <f t="shared" si="261"/>
        <v/>
      </c>
      <c r="AW173" s="101" t="str">
        <f t="shared" si="262"/>
        <v/>
      </c>
      <c r="AX173" s="177"/>
      <c r="AY173" s="169"/>
      <c r="AZ173" s="158"/>
      <c r="BA173" s="169"/>
      <c r="BB173" s="182"/>
      <c r="BC173" s="182"/>
      <c r="BD173" s="185"/>
      <c r="BE173" s="185"/>
      <c r="BF173" s="158" t="str">
        <f t="shared" si="282"/>
        <v/>
      </c>
      <c r="BG173" s="191"/>
    </row>
    <row r="174" spans="1:59" ht="15" customHeight="1" x14ac:dyDescent="0.25">
      <c r="A174" s="167"/>
      <c r="B174" s="195"/>
      <c r="C174" s="161"/>
      <c r="D174" s="160"/>
      <c r="E174" s="161"/>
      <c r="F174" s="164"/>
      <c r="G174" s="167"/>
      <c r="H174" s="167"/>
      <c r="I174" s="167"/>
      <c r="J174" s="167"/>
      <c r="K174" s="167"/>
      <c r="L174" s="166"/>
      <c r="M174" s="166"/>
      <c r="N174" s="166"/>
      <c r="O174" s="166"/>
      <c r="P174" s="166"/>
      <c r="Q174" s="166"/>
      <c r="R174" s="177"/>
      <c r="S174" s="167"/>
      <c r="T174" s="167"/>
      <c r="U174" s="167"/>
      <c r="V174" s="167"/>
      <c r="W174" s="167"/>
      <c r="X174" s="164"/>
      <c r="Y174" s="164"/>
      <c r="Z174" s="172"/>
      <c r="AA174" s="188"/>
      <c r="AB174" s="172"/>
      <c r="AC174" s="172"/>
      <c r="AD174" s="175"/>
      <c r="AE174" s="62" t="s">
        <v>115</v>
      </c>
      <c r="AF174" s="133"/>
      <c r="AG174" s="65"/>
      <c r="AH174" s="64"/>
      <c r="AI174" s="64"/>
      <c r="AJ174" s="64"/>
      <c r="AK174" s="64"/>
      <c r="AL174" s="64"/>
      <c r="AM174" s="80" t="str">
        <f>IFERROR((Tablas!$C$1*VLOOKUP(AH174, tipo_control, 2, 0)+Tablas!$E$1*VLOOKUP(AI174, nat_control, 2, 0)+Tablas!$G$1*VLOOKUP(AJ174, ev_control, 2, 0)+Tablas!$I$1*VLOOKUP(AK174, frec_control, 2, 0)+Tablas!$K$1*VLOOKUP(AL174, doc_control, 2, 0))*0.1*peso_dis, "")</f>
        <v/>
      </c>
      <c r="AN174" s="64"/>
      <c r="AO174" s="64"/>
      <c r="AP174" s="64"/>
      <c r="AQ174" s="80" t="str">
        <f>IFERROR((Tablas!$C$9*VLOOKUP(AN174, amb_control, 2, 0)+Tablas!$E$9*VLOOKUP(AO174, ejec_control, 2, 0)+Tablas!$G$9*VLOOKUP(AP174, cub_control, 2, 0))*0.1*peso_ejec, "")</f>
        <v/>
      </c>
      <c r="AR174" s="91" t="str">
        <f t="shared" si="260"/>
        <v/>
      </c>
      <c r="AS174" s="85" t="str">
        <f t="shared" si="235"/>
        <v/>
      </c>
      <c r="AT174" s="85" t="str">
        <f t="shared" si="236"/>
        <v/>
      </c>
      <c r="AU174" s="85" t="str">
        <f>IF(AR174&lt;Tablas!$G$19, 0, IF(AND(AR174&gt;=Tablas!$G$19, AR174&lt;Tablas!$G$20), 1,  IF(AND(AR174&gt;=Tablas!$G$20, AR174&lt;Tablas!$G$21), 2,  IF(AND(AR174&gt;=Tablas!$G$21, AR174&lt;=Tablas!$G$22), 3,  ""))))</f>
        <v/>
      </c>
      <c r="AV174" s="85" t="str">
        <f t="shared" si="261"/>
        <v/>
      </c>
      <c r="AW174" s="101" t="str">
        <f t="shared" si="262"/>
        <v/>
      </c>
      <c r="AX174" s="177"/>
      <c r="AY174" s="169"/>
      <c r="AZ174" s="158"/>
      <c r="BA174" s="169"/>
      <c r="BB174" s="182"/>
      <c r="BC174" s="182"/>
      <c r="BD174" s="185"/>
      <c r="BE174" s="185"/>
      <c r="BF174" s="158" t="str">
        <f t="shared" si="282"/>
        <v/>
      </c>
      <c r="BG174" s="191"/>
    </row>
    <row r="175" spans="1:59" ht="15" customHeight="1" x14ac:dyDescent="0.25">
      <c r="A175" s="167"/>
      <c r="B175" s="195"/>
      <c r="C175" s="161"/>
      <c r="D175" s="160"/>
      <c r="E175" s="161"/>
      <c r="F175" s="164"/>
      <c r="G175" s="167"/>
      <c r="H175" s="167"/>
      <c r="I175" s="167"/>
      <c r="J175" s="167"/>
      <c r="K175" s="167"/>
      <c r="L175" s="166"/>
      <c r="M175" s="166"/>
      <c r="N175" s="166"/>
      <c r="O175" s="166"/>
      <c r="P175" s="166"/>
      <c r="Q175" s="166"/>
      <c r="R175" s="177"/>
      <c r="S175" s="167"/>
      <c r="T175" s="167"/>
      <c r="U175" s="167"/>
      <c r="V175" s="167"/>
      <c r="W175" s="167"/>
      <c r="X175" s="164"/>
      <c r="Y175" s="164"/>
      <c r="Z175" s="172"/>
      <c r="AA175" s="188"/>
      <c r="AB175" s="172"/>
      <c r="AC175" s="172"/>
      <c r="AD175" s="175"/>
      <c r="AE175" s="62" t="s">
        <v>153</v>
      </c>
      <c r="AF175" s="133"/>
      <c r="AG175" s="65"/>
      <c r="AH175" s="64"/>
      <c r="AI175" s="64"/>
      <c r="AJ175" s="64"/>
      <c r="AK175" s="64"/>
      <c r="AL175" s="64"/>
      <c r="AM175" s="80" t="str">
        <f>IFERROR((Tablas!$C$1*VLOOKUP(AH175, tipo_control, 2, 0)+Tablas!$E$1*VLOOKUP(AI175, nat_control, 2, 0)+Tablas!$G$1*VLOOKUP(AJ175, ev_control, 2, 0)+Tablas!$I$1*VLOOKUP(AK175, frec_control, 2, 0)+Tablas!$K$1*VLOOKUP(AL175, doc_control, 2, 0))*0.1*peso_dis, "")</f>
        <v/>
      </c>
      <c r="AN175" s="64"/>
      <c r="AO175" s="64"/>
      <c r="AP175" s="64"/>
      <c r="AQ175" s="80" t="str">
        <f>IFERROR((Tablas!$C$9*VLOOKUP(AN175, amb_control, 2, 0)+Tablas!$E$9*VLOOKUP(AO175, ejec_control, 2, 0)+Tablas!$G$9*VLOOKUP(AP175, cub_control, 2, 0))*0.1*peso_ejec, "")</f>
        <v/>
      </c>
      <c r="AR175" s="91" t="str">
        <f t="shared" si="260"/>
        <v/>
      </c>
      <c r="AS175" s="85" t="str">
        <f t="shared" si="235"/>
        <v/>
      </c>
      <c r="AT175" s="85" t="str">
        <f t="shared" si="236"/>
        <v/>
      </c>
      <c r="AU175" s="85" t="str">
        <f>IF(AR175&lt;Tablas!$G$19, 0, IF(AND(AR175&gt;=Tablas!$G$19, AR175&lt;Tablas!$G$20), 1,  IF(AND(AR175&gt;=Tablas!$G$20, AR175&lt;Tablas!$G$21), 2,  IF(AND(AR175&gt;=Tablas!$G$21, AR175&lt;=Tablas!$G$22), 3,  ""))))</f>
        <v/>
      </c>
      <c r="AV175" s="85" t="str">
        <f t="shared" si="261"/>
        <v/>
      </c>
      <c r="AW175" s="101" t="str">
        <f t="shared" si="262"/>
        <v/>
      </c>
      <c r="AX175" s="177"/>
      <c r="AY175" s="169"/>
      <c r="AZ175" s="158"/>
      <c r="BA175" s="169"/>
      <c r="BB175" s="182"/>
      <c r="BC175" s="182"/>
      <c r="BD175" s="185"/>
      <c r="BE175" s="185"/>
      <c r="BF175" s="158"/>
      <c r="BG175" s="191"/>
    </row>
    <row r="176" spans="1:59" ht="15" customHeight="1" thickBot="1" x14ac:dyDescent="0.3">
      <c r="A176" s="167"/>
      <c r="B176" s="195"/>
      <c r="C176" s="161"/>
      <c r="D176" s="160"/>
      <c r="E176" s="161"/>
      <c r="F176" s="165"/>
      <c r="G176" s="149"/>
      <c r="H176" s="149"/>
      <c r="I176" s="149"/>
      <c r="J176" s="149"/>
      <c r="K176" s="149"/>
      <c r="L176" s="166"/>
      <c r="M176" s="166"/>
      <c r="N176" s="166"/>
      <c r="O176" s="166"/>
      <c r="P176" s="166"/>
      <c r="Q176" s="166"/>
      <c r="R176" s="177"/>
      <c r="S176" s="149"/>
      <c r="T176" s="149"/>
      <c r="U176" s="149"/>
      <c r="V176" s="149"/>
      <c r="W176" s="149"/>
      <c r="X176" s="165"/>
      <c r="Y176" s="165"/>
      <c r="Z176" s="172"/>
      <c r="AA176" s="188"/>
      <c r="AB176" s="172"/>
      <c r="AC176" s="172"/>
      <c r="AD176" s="175"/>
      <c r="AE176" s="66" t="s">
        <v>154</v>
      </c>
      <c r="AF176" s="134"/>
      <c r="AG176" s="67"/>
      <c r="AH176" s="69"/>
      <c r="AI176" s="69"/>
      <c r="AJ176" s="69"/>
      <c r="AK176" s="69"/>
      <c r="AL176" s="69"/>
      <c r="AM176" s="81" t="str">
        <f>IFERROR((Tablas!$C$1*VLOOKUP(AH176, tipo_control, 2, 0)+Tablas!$E$1*VLOOKUP(AI176, nat_control, 2, 0)+Tablas!$G$1*VLOOKUP(AJ176, ev_control, 2, 0)+Tablas!$I$1*VLOOKUP(AK176, frec_control, 2, 0)+Tablas!$K$1*VLOOKUP(AL176, doc_control, 2, 0))*0.1*peso_dis, "")</f>
        <v/>
      </c>
      <c r="AN176" s="69"/>
      <c r="AO176" s="69"/>
      <c r="AP176" s="69"/>
      <c r="AQ176" s="81" t="str">
        <f>IFERROR((Tablas!$C$9*VLOOKUP(AN176, amb_control, 2, 0)+Tablas!$E$9*VLOOKUP(AO176, ejec_control, 2, 0)+Tablas!$G$9*VLOOKUP(AP176, cub_control, 2, 0))*0.1*peso_ejec, "")</f>
        <v/>
      </c>
      <c r="AR176" s="93" t="str">
        <f t="shared" si="260"/>
        <v/>
      </c>
      <c r="AS176" s="94" t="str">
        <f t="shared" si="235"/>
        <v/>
      </c>
      <c r="AT176" s="94" t="str">
        <f t="shared" si="236"/>
        <v/>
      </c>
      <c r="AU176" s="94" t="str">
        <f>IF(AR176&lt;Tablas!$G$19, 0, IF(AND(AR176&gt;=Tablas!$G$19, AR176&lt;Tablas!$G$20), 1,  IF(AND(AR176&gt;=Tablas!$G$20, AR176&lt;Tablas!$G$21), 2,  IF(AND(AR176&gt;=Tablas!$G$21, AR176&lt;=Tablas!$G$22), 3,  ""))))</f>
        <v/>
      </c>
      <c r="AV176" s="94" t="str">
        <f t="shared" si="261"/>
        <v/>
      </c>
      <c r="AW176" s="102" t="str">
        <f t="shared" si="262"/>
        <v/>
      </c>
      <c r="AX176" s="157"/>
      <c r="AY176" s="170"/>
      <c r="AZ176" s="179"/>
      <c r="BA176" s="170"/>
      <c r="BB176" s="182"/>
      <c r="BC176" s="182"/>
      <c r="BD176" s="185"/>
      <c r="BE176" s="185"/>
      <c r="BF176" s="159"/>
      <c r="BG176" s="191"/>
    </row>
    <row r="177" spans="1:59" ht="15" customHeight="1" x14ac:dyDescent="0.25">
      <c r="A177" s="167"/>
      <c r="B177" s="195"/>
      <c r="C177" s="161" t="s">
        <v>19</v>
      </c>
      <c r="D177" s="160"/>
      <c r="E177" s="149"/>
      <c r="F177" s="163" t="str">
        <f t="shared" si="214"/>
        <v/>
      </c>
      <c r="G177" s="148"/>
      <c r="H177" s="148"/>
      <c r="I177" s="148"/>
      <c r="J177" s="148"/>
      <c r="K177" s="148"/>
      <c r="L177" s="165" t="str">
        <f t="shared" ref="L177" si="283">IFERROR(VLOOKUP(G177, tabla02, 2, 0), "")</f>
        <v/>
      </c>
      <c r="M177" s="165" t="str">
        <f t="shared" ref="M177" si="284">IFERROR(VLOOKUP(H177, tabla02, 2, 0), "")</f>
        <v/>
      </c>
      <c r="N177" s="165" t="str">
        <f t="shared" ref="N177" si="285">IFERROR(VLOOKUP(I177, tabla02, 2, 0), "")</f>
        <v/>
      </c>
      <c r="O177" s="165" t="str">
        <f t="shared" ref="O177" si="286">IFERROR(VLOOKUP(J177, tabla02, 2, 0), "")</f>
        <v/>
      </c>
      <c r="P177" s="165" t="str">
        <f t="shared" ref="P177" si="287">IFERROR(VLOOKUP(K177, tabla02, 2, 0), "")</f>
        <v/>
      </c>
      <c r="Q177" s="165" t="str">
        <f t="shared" ref="Q177" si="288">IF(SUM(L177:P177)=0, "", MAX(L177:P177))</f>
        <v/>
      </c>
      <c r="R177" s="159" t="str">
        <f>IFERROR(VLOOKUP(Q177, tabla04, 3, 0), "")</f>
        <v/>
      </c>
      <c r="S177" s="148"/>
      <c r="T177" s="148"/>
      <c r="U177" s="148"/>
      <c r="V177" s="148"/>
      <c r="W177" s="148"/>
      <c r="X177" s="163" t="str">
        <f>IFERROR(VLOOKUP(CONCATENATE(F177, "-", Q177), cuadrante_sev, 3, 0), "")</f>
        <v/>
      </c>
      <c r="Y177" s="163" t="str">
        <f t="shared" ref="Y177" si="289">IFERROR(IF(X177="Baja", 1, IF(X177="Moderada", 2, IF(X177="Alta", 3, IF(X177="Extrema", 4, "")))), "")</f>
        <v/>
      </c>
      <c r="Z177" s="172"/>
      <c r="AA177" s="188"/>
      <c r="AB177" s="172"/>
      <c r="AC177" s="172"/>
      <c r="AD177" s="175"/>
      <c r="AE177" s="70" t="s">
        <v>113</v>
      </c>
      <c r="AF177" s="135"/>
      <c r="AG177" s="74"/>
      <c r="AH177" s="72"/>
      <c r="AI177" s="72"/>
      <c r="AJ177" s="72"/>
      <c r="AK177" s="72"/>
      <c r="AL177" s="72"/>
      <c r="AM177" s="82" t="str">
        <f>IFERROR((Tablas!$C$1*VLOOKUP(AH177, tipo_control, 2, 0)+Tablas!$E$1*VLOOKUP(AI177, nat_control, 2, 0)+Tablas!$G$1*VLOOKUP(AJ177, ev_control, 2, 0)+Tablas!$I$1*VLOOKUP(AK177, frec_control, 2, 0)+Tablas!$K$1*VLOOKUP(AL177, doc_control, 2, 0))*0.1*peso_dis, "")</f>
        <v/>
      </c>
      <c r="AN177" s="72"/>
      <c r="AO177" s="72"/>
      <c r="AP177" s="72"/>
      <c r="AQ177" s="82" t="str">
        <f>IFERROR((Tablas!$C$9*VLOOKUP(AN177, amb_control, 2, 0)+Tablas!$E$9*VLOOKUP(AO177, ejec_control, 2, 0)+Tablas!$G$9*VLOOKUP(AP177, cub_control, 2, 0))*0.1*peso_ejec, "")</f>
        <v/>
      </c>
      <c r="AR177" s="96" t="str">
        <f t="shared" si="260"/>
        <v/>
      </c>
      <c r="AS177" s="97" t="str">
        <f t="shared" si="235"/>
        <v/>
      </c>
      <c r="AT177" s="87" t="str">
        <f t="shared" si="236"/>
        <v/>
      </c>
      <c r="AU177" s="97" t="str">
        <f>IF(AR177&lt;Tablas!$G$19, 0, IF(AND(AR177&gt;=Tablas!$G$19, AR177&lt;Tablas!$G$20), 1,  IF(AND(AR177&gt;=Tablas!$G$20, AR177&lt;Tablas!$G$21), 2,  IF(AND(AR177&gt;=Tablas!$G$21, AR177&lt;=Tablas!$G$22), 3,  ""))))</f>
        <v/>
      </c>
      <c r="AV177" s="97" t="str">
        <f t="shared" si="261"/>
        <v/>
      </c>
      <c r="AW177" s="103" t="str">
        <f t="shared" si="262"/>
        <v/>
      </c>
      <c r="AX177" s="176" t="str">
        <f t="shared" ref="AX177" si="290">IFERROR(VLOOKUP(AY177, tabla04, 2, 0), "")</f>
        <v/>
      </c>
      <c r="AY177" s="168" t="str">
        <f>IF(F177="", "", IF((F177-MAX(AV177:AV181))&lt;=0, 1, F177-MAX(AV177:AV181)))</f>
        <v/>
      </c>
      <c r="AZ177" s="178" t="str">
        <f t="shared" ref="AZ177" si="291">IFERROR(VLOOKUP(BA177, tabla04, 3, 0), "")</f>
        <v/>
      </c>
      <c r="BA177" s="168" t="str">
        <f>IF(Q177="", "", IF((Q177-MAX(AW177:AW181))&lt;=0, 1, Q177-MAX(AW177:AW181)))</f>
        <v/>
      </c>
      <c r="BB177" s="182"/>
      <c r="BC177" s="182"/>
      <c r="BD177" s="185"/>
      <c r="BE177" s="185"/>
      <c r="BF177" s="158" t="str">
        <f t="shared" ref="BF177:BF179" si="292">IFERROR(VLOOKUP(CONCATENATE(AY177, "-", BA177), cuadrante_sev, 3, 0), "")</f>
        <v/>
      </c>
      <c r="BG177" s="191"/>
    </row>
    <row r="178" spans="1:59" ht="15" customHeight="1" x14ac:dyDescent="0.25">
      <c r="A178" s="167"/>
      <c r="B178" s="195"/>
      <c r="C178" s="161"/>
      <c r="D178" s="160"/>
      <c r="E178" s="161"/>
      <c r="F178" s="164"/>
      <c r="G178" s="167"/>
      <c r="H178" s="167"/>
      <c r="I178" s="167"/>
      <c r="J178" s="167"/>
      <c r="K178" s="167"/>
      <c r="L178" s="166"/>
      <c r="M178" s="166"/>
      <c r="N178" s="166"/>
      <c r="O178" s="166"/>
      <c r="P178" s="166"/>
      <c r="Q178" s="166"/>
      <c r="R178" s="177"/>
      <c r="S178" s="167"/>
      <c r="T178" s="167"/>
      <c r="U178" s="167"/>
      <c r="V178" s="167"/>
      <c r="W178" s="167"/>
      <c r="X178" s="164"/>
      <c r="Y178" s="164"/>
      <c r="Z178" s="172"/>
      <c r="AA178" s="188"/>
      <c r="AB178" s="172"/>
      <c r="AC178" s="172"/>
      <c r="AD178" s="175"/>
      <c r="AE178" s="62" t="s">
        <v>114</v>
      </c>
      <c r="AF178" s="133"/>
      <c r="AG178" s="65"/>
      <c r="AH178" s="64"/>
      <c r="AI178" s="64"/>
      <c r="AJ178" s="64"/>
      <c r="AK178" s="64"/>
      <c r="AL178" s="64"/>
      <c r="AM178" s="80" t="str">
        <f>IFERROR((Tablas!$C$1*VLOOKUP(AH178, tipo_control, 2, 0)+Tablas!$E$1*VLOOKUP(AI178, nat_control, 2, 0)+Tablas!$G$1*VLOOKUP(AJ178, ev_control, 2, 0)+Tablas!$I$1*VLOOKUP(AK178, frec_control, 2, 0)+Tablas!$K$1*VLOOKUP(AL178, doc_control, 2, 0))*0.1*peso_dis, "")</f>
        <v/>
      </c>
      <c r="AN178" s="64"/>
      <c r="AO178" s="64"/>
      <c r="AP178" s="64"/>
      <c r="AQ178" s="80" t="str">
        <f>IFERROR((Tablas!$C$9*VLOOKUP(AN178, amb_control, 2, 0)+Tablas!$E$9*VLOOKUP(AO178, ejec_control, 2, 0)+Tablas!$G$9*VLOOKUP(AP178, cub_control, 2, 0))*0.1*peso_ejec, "")</f>
        <v/>
      </c>
      <c r="AR178" s="91" t="str">
        <f t="shared" si="260"/>
        <v/>
      </c>
      <c r="AS178" s="85" t="str">
        <f t="shared" si="235"/>
        <v/>
      </c>
      <c r="AT178" s="85" t="str">
        <f t="shared" si="236"/>
        <v/>
      </c>
      <c r="AU178" s="85" t="str">
        <f>IF(AR178&lt;Tablas!$G$19, 0, IF(AND(AR178&gt;=Tablas!$G$19, AR178&lt;Tablas!$G$20), 1,  IF(AND(AR178&gt;=Tablas!$G$20, AR178&lt;Tablas!$G$21), 2,  IF(AND(AR178&gt;=Tablas!$G$21, AR178&lt;=Tablas!$G$22), 3,  ""))))</f>
        <v/>
      </c>
      <c r="AV178" s="85" t="str">
        <f t="shared" si="261"/>
        <v/>
      </c>
      <c r="AW178" s="101" t="str">
        <f t="shared" si="262"/>
        <v/>
      </c>
      <c r="AX178" s="177"/>
      <c r="AY178" s="169"/>
      <c r="AZ178" s="158"/>
      <c r="BA178" s="169"/>
      <c r="BB178" s="182"/>
      <c r="BC178" s="182"/>
      <c r="BD178" s="185"/>
      <c r="BE178" s="185"/>
      <c r="BF178" s="158" t="str">
        <f t="shared" si="292"/>
        <v/>
      </c>
      <c r="BG178" s="191"/>
    </row>
    <row r="179" spans="1:59" ht="15" customHeight="1" x14ac:dyDescent="0.25">
      <c r="A179" s="167"/>
      <c r="B179" s="195"/>
      <c r="C179" s="161"/>
      <c r="D179" s="160"/>
      <c r="E179" s="161"/>
      <c r="F179" s="164"/>
      <c r="G179" s="167"/>
      <c r="H179" s="167"/>
      <c r="I179" s="167"/>
      <c r="J179" s="167"/>
      <c r="K179" s="167"/>
      <c r="L179" s="166"/>
      <c r="M179" s="166"/>
      <c r="N179" s="166"/>
      <c r="O179" s="166"/>
      <c r="P179" s="166"/>
      <c r="Q179" s="166"/>
      <c r="R179" s="177"/>
      <c r="S179" s="167"/>
      <c r="T179" s="167"/>
      <c r="U179" s="167"/>
      <c r="V179" s="167"/>
      <c r="W179" s="167"/>
      <c r="X179" s="164"/>
      <c r="Y179" s="164"/>
      <c r="Z179" s="172"/>
      <c r="AA179" s="188"/>
      <c r="AB179" s="172"/>
      <c r="AC179" s="172"/>
      <c r="AD179" s="175"/>
      <c r="AE179" s="62" t="s">
        <v>115</v>
      </c>
      <c r="AF179" s="133"/>
      <c r="AG179" s="65"/>
      <c r="AH179" s="64"/>
      <c r="AI179" s="64"/>
      <c r="AJ179" s="64"/>
      <c r="AK179" s="64"/>
      <c r="AL179" s="64"/>
      <c r="AM179" s="80" t="str">
        <f>IFERROR((Tablas!$C$1*VLOOKUP(AH179, tipo_control, 2, 0)+Tablas!$E$1*VLOOKUP(AI179, nat_control, 2, 0)+Tablas!$G$1*VLOOKUP(AJ179, ev_control, 2, 0)+Tablas!$I$1*VLOOKUP(AK179, frec_control, 2, 0)+Tablas!$K$1*VLOOKUP(AL179, doc_control, 2, 0))*0.1*peso_dis, "")</f>
        <v/>
      </c>
      <c r="AN179" s="64"/>
      <c r="AO179" s="64"/>
      <c r="AP179" s="64"/>
      <c r="AQ179" s="80" t="str">
        <f>IFERROR((Tablas!$C$9*VLOOKUP(AN179, amb_control, 2, 0)+Tablas!$E$9*VLOOKUP(AO179, ejec_control, 2, 0)+Tablas!$G$9*VLOOKUP(AP179, cub_control, 2, 0))*0.1*peso_ejec, "")</f>
        <v/>
      </c>
      <c r="AR179" s="91" t="str">
        <f t="shared" si="260"/>
        <v/>
      </c>
      <c r="AS179" s="85" t="str">
        <f t="shared" si="235"/>
        <v/>
      </c>
      <c r="AT179" s="85" t="str">
        <f t="shared" si="236"/>
        <v/>
      </c>
      <c r="AU179" s="85" t="str">
        <f>IF(AR179&lt;Tablas!$G$19, 0, IF(AND(AR179&gt;=Tablas!$G$19, AR179&lt;Tablas!$G$20), 1,  IF(AND(AR179&gt;=Tablas!$G$20, AR179&lt;Tablas!$G$21), 2,  IF(AND(AR179&gt;=Tablas!$G$21, AR179&lt;=Tablas!$G$22), 3,  ""))))</f>
        <v/>
      </c>
      <c r="AV179" s="85" t="str">
        <f t="shared" si="261"/>
        <v/>
      </c>
      <c r="AW179" s="101" t="str">
        <f t="shared" si="262"/>
        <v/>
      </c>
      <c r="AX179" s="177"/>
      <c r="AY179" s="169"/>
      <c r="AZ179" s="158"/>
      <c r="BA179" s="169"/>
      <c r="BB179" s="182"/>
      <c r="BC179" s="182"/>
      <c r="BD179" s="185"/>
      <c r="BE179" s="185"/>
      <c r="BF179" s="158" t="str">
        <f t="shared" si="292"/>
        <v/>
      </c>
      <c r="BG179" s="191"/>
    </row>
    <row r="180" spans="1:59" ht="15" customHeight="1" x14ac:dyDescent="0.25">
      <c r="A180" s="167"/>
      <c r="B180" s="195"/>
      <c r="C180" s="161"/>
      <c r="D180" s="160"/>
      <c r="E180" s="161"/>
      <c r="F180" s="164"/>
      <c r="G180" s="167"/>
      <c r="H180" s="167"/>
      <c r="I180" s="167"/>
      <c r="J180" s="167"/>
      <c r="K180" s="167"/>
      <c r="L180" s="166"/>
      <c r="M180" s="166"/>
      <c r="N180" s="166"/>
      <c r="O180" s="166"/>
      <c r="P180" s="166"/>
      <c r="Q180" s="166"/>
      <c r="R180" s="177"/>
      <c r="S180" s="167"/>
      <c r="T180" s="167"/>
      <c r="U180" s="167"/>
      <c r="V180" s="167"/>
      <c r="W180" s="167"/>
      <c r="X180" s="164"/>
      <c r="Y180" s="164"/>
      <c r="Z180" s="172"/>
      <c r="AA180" s="188"/>
      <c r="AB180" s="172"/>
      <c r="AC180" s="172"/>
      <c r="AD180" s="175"/>
      <c r="AE180" s="62" t="s">
        <v>153</v>
      </c>
      <c r="AF180" s="133"/>
      <c r="AG180" s="65"/>
      <c r="AH180" s="64"/>
      <c r="AI180" s="64"/>
      <c r="AJ180" s="64"/>
      <c r="AK180" s="64"/>
      <c r="AL180" s="64"/>
      <c r="AM180" s="80" t="str">
        <f>IFERROR((Tablas!$C$1*VLOOKUP(AH180, tipo_control, 2, 0)+Tablas!$E$1*VLOOKUP(AI180, nat_control, 2, 0)+Tablas!$G$1*VLOOKUP(AJ180, ev_control, 2, 0)+Tablas!$I$1*VLOOKUP(AK180, frec_control, 2, 0)+Tablas!$K$1*VLOOKUP(AL180, doc_control, 2, 0))*0.1*peso_dis, "")</f>
        <v/>
      </c>
      <c r="AN180" s="64"/>
      <c r="AO180" s="64"/>
      <c r="AP180" s="64"/>
      <c r="AQ180" s="80" t="str">
        <f>IFERROR((Tablas!$C$9*VLOOKUP(AN180, amb_control, 2, 0)+Tablas!$E$9*VLOOKUP(AO180, ejec_control, 2, 0)+Tablas!$G$9*VLOOKUP(AP180, cub_control, 2, 0))*0.1*peso_ejec, "")</f>
        <v/>
      </c>
      <c r="AR180" s="91" t="str">
        <f t="shared" si="260"/>
        <v/>
      </c>
      <c r="AS180" s="85" t="str">
        <f t="shared" si="235"/>
        <v/>
      </c>
      <c r="AT180" s="85" t="str">
        <f t="shared" si="236"/>
        <v/>
      </c>
      <c r="AU180" s="85" t="str">
        <f>IF(AR180&lt;Tablas!$G$19, 0, IF(AND(AR180&gt;=Tablas!$G$19, AR180&lt;Tablas!$G$20), 1,  IF(AND(AR180&gt;=Tablas!$G$20, AR180&lt;Tablas!$G$21), 2,  IF(AND(AR180&gt;=Tablas!$G$21, AR180&lt;=Tablas!$G$22), 3,  ""))))</f>
        <v/>
      </c>
      <c r="AV180" s="85" t="str">
        <f t="shared" si="261"/>
        <v/>
      </c>
      <c r="AW180" s="101" t="str">
        <f t="shared" si="262"/>
        <v/>
      </c>
      <c r="AX180" s="177"/>
      <c r="AY180" s="169"/>
      <c r="AZ180" s="158"/>
      <c r="BA180" s="169"/>
      <c r="BB180" s="182"/>
      <c r="BC180" s="182"/>
      <c r="BD180" s="185"/>
      <c r="BE180" s="185"/>
      <c r="BF180" s="158"/>
      <c r="BG180" s="191"/>
    </row>
    <row r="181" spans="1:59" ht="15" customHeight="1" thickBot="1" x14ac:dyDescent="0.3">
      <c r="A181" s="167"/>
      <c r="B181" s="195"/>
      <c r="C181" s="161"/>
      <c r="D181" s="160"/>
      <c r="E181" s="161"/>
      <c r="F181" s="165"/>
      <c r="G181" s="149"/>
      <c r="H181" s="149"/>
      <c r="I181" s="149"/>
      <c r="J181" s="149"/>
      <c r="K181" s="149"/>
      <c r="L181" s="166"/>
      <c r="M181" s="166"/>
      <c r="N181" s="166"/>
      <c r="O181" s="166"/>
      <c r="P181" s="166"/>
      <c r="Q181" s="166"/>
      <c r="R181" s="177"/>
      <c r="S181" s="149"/>
      <c r="T181" s="149"/>
      <c r="U181" s="149"/>
      <c r="V181" s="149"/>
      <c r="W181" s="149"/>
      <c r="X181" s="165"/>
      <c r="Y181" s="165"/>
      <c r="Z181" s="172"/>
      <c r="AA181" s="188"/>
      <c r="AB181" s="172"/>
      <c r="AC181" s="172"/>
      <c r="AD181" s="175"/>
      <c r="AE181" s="66" t="s">
        <v>154</v>
      </c>
      <c r="AF181" s="134"/>
      <c r="AG181" s="67"/>
      <c r="AH181" s="69"/>
      <c r="AI181" s="69"/>
      <c r="AJ181" s="69"/>
      <c r="AK181" s="69"/>
      <c r="AL181" s="69"/>
      <c r="AM181" s="81" t="str">
        <f>IFERROR((Tablas!$C$1*VLOOKUP(AH181, tipo_control, 2, 0)+Tablas!$E$1*VLOOKUP(AI181, nat_control, 2, 0)+Tablas!$G$1*VLOOKUP(AJ181, ev_control, 2, 0)+Tablas!$I$1*VLOOKUP(AK181, frec_control, 2, 0)+Tablas!$K$1*VLOOKUP(AL181, doc_control, 2, 0))*0.1*peso_dis, "")</f>
        <v/>
      </c>
      <c r="AN181" s="69"/>
      <c r="AO181" s="69"/>
      <c r="AP181" s="69"/>
      <c r="AQ181" s="81" t="str">
        <f>IFERROR((Tablas!$C$9*VLOOKUP(AN181, amb_control, 2, 0)+Tablas!$E$9*VLOOKUP(AO181, ejec_control, 2, 0)+Tablas!$G$9*VLOOKUP(AP181, cub_control, 2, 0))*0.1*peso_ejec, "")</f>
        <v/>
      </c>
      <c r="AR181" s="93" t="str">
        <f t="shared" si="260"/>
        <v/>
      </c>
      <c r="AS181" s="94" t="str">
        <f t="shared" si="235"/>
        <v/>
      </c>
      <c r="AT181" s="94" t="str">
        <f t="shared" si="236"/>
        <v/>
      </c>
      <c r="AU181" s="94" t="str">
        <f>IF(AR181&lt;Tablas!$G$19, 0, IF(AND(AR181&gt;=Tablas!$G$19, AR181&lt;Tablas!$G$20), 1,  IF(AND(AR181&gt;=Tablas!$G$20, AR181&lt;Tablas!$G$21), 2,  IF(AND(AR181&gt;=Tablas!$G$21, AR181&lt;=Tablas!$G$22), 3,  ""))))</f>
        <v/>
      </c>
      <c r="AV181" s="94" t="str">
        <f t="shared" si="261"/>
        <v/>
      </c>
      <c r="AW181" s="102" t="str">
        <f t="shared" si="262"/>
        <v/>
      </c>
      <c r="AX181" s="157"/>
      <c r="AY181" s="170"/>
      <c r="AZ181" s="179"/>
      <c r="BA181" s="170"/>
      <c r="BB181" s="182"/>
      <c r="BC181" s="182"/>
      <c r="BD181" s="185"/>
      <c r="BE181" s="185"/>
      <c r="BF181" s="159"/>
      <c r="BG181" s="191"/>
    </row>
    <row r="182" spans="1:59" ht="15" customHeight="1" x14ac:dyDescent="0.25">
      <c r="A182" s="167"/>
      <c r="B182" s="195"/>
      <c r="C182" s="161" t="s">
        <v>20</v>
      </c>
      <c r="D182" s="160"/>
      <c r="E182" s="149"/>
      <c r="F182" s="163" t="str">
        <f t="shared" si="214"/>
        <v/>
      </c>
      <c r="G182" s="148"/>
      <c r="H182" s="148"/>
      <c r="I182" s="148"/>
      <c r="J182" s="148"/>
      <c r="K182" s="148"/>
      <c r="L182" s="165" t="str">
        <f t="shared" ref="L182" si="293">IFERROR(VLOOKUP(G182, tabla02, 2, 0), "")</f>
        <v/>
      </c>
      <c r="M182" s="165" t="str">
        <f t="shared" ref="M182" si="294">IFERROR(VLOOKUP(H182, tabla02, 2, 0), "")</f>
        <v/>
      </c>
      <c r="N182" s="165" t="str">
        <f t="shared" ref="N182" si="295">IFERROR(VLOOKUP(I182, tabla02, 2, 0), "")</f>
        <v/>
      </c>
      <c r="O182" s="165" t="str">
        <f t="shared" ref="O182" si="296">IFERROR(VLOOKUP(J182, tabla02, 2, 0), "")</f>
        <v/>
      </c>
      <c r="P182" s="165" t="str">
        <f t="shared" ref="P182" si="297">IFERROR(VLOOKUP(K182, tabla02, 2, 0), "")</f>
        <v/>
      </c>
      <c r="Q182" s="165" t="str">
        <f t="shared" ref="Q182" si="298">IF(SUM(L182:P182)=0, "", MAX(L182:P182))</f>
        <v/>
      </c>
      <c r="R182" s="159" t="str">
        <f>IFERROR(VLOOKUP(Q182, tabla04, 3, 0), "")</f>
        <v/>
      </c>
      <c r="S182" s="148"/>
      <c r="T182" s="148"/>
      <c r="U182" s="148"/>
      <c r="V182" s="148"/>
      <c r="W182" s="148"/>
      <c r="X182" s="163" t="str">
        <f>IFERROR(VLOOKUP(CONCATENATE(F182, "-", Q182), cuadrante_sev, 3, 0), "")</f>
        <v/>
      </c>
      <c r="Y182" s="163" t="str">
        <f t="shared" ref="Y182" si="299">IFERROR(IF(X182="Baja", 1, IF(X182="Moderada", 2, IF(X182="Alta", 3, IF(X182="Extrema", 4, "")))), "")</f>
        <v/>
      </c>
      <c r="Z182" s="172"/>
      <c r="AA182" s="188"/>
      <c r="AB182" s="172"/>
      <c r="AC182" s="172"/>
      <c r="AD182" s="175"/>
      <c r="AE182" s="70" t="s">
        <v>113</v>
      </c>
      <c r="AF182" s="135"/>
      <c r="AG182" s="74"/>
      <c r="AH182" s="72"/>
      <c r="AI182" s="72"/>
      <c r="AJ182" s="72"/>
      <c r="AK182" s="72"/>
      <c r="AL182" s="72"/>
      <c r="AM182" s="82" t="str">
        <f>IFERROR((Tablas!$C$1*VLOOKUP(AH182, tipo_control, 2, 0)+Tablas!$E$1*VLOOKUP(AI182, nat_control, 2, 0)+Tablas!$G$1*VLOOKUP(AJ182, ev_control, 2, 0)+Tablas!$I$1*VLOOKUP(AK182, frec_control, 2, 0)+Tablas!$K$1*VLOOKUP(AL182, doc_control, 2, 0))*0.1*peso_dis, "")</f>
        <v/>
      </c>
      <c r="AN182" s="72"/>
      <c r="AO182" s="72"/>
      <c r="AP182" s="72"/>
      <c r="AQ182" s="82" t="str">
        <f>IFERROR((Tablas!$C$9*VLOOKUP(AN182, amb_control, 2, 0)+Tablas!$E$9*VLOOKUP(AO182, ejec_control, 2, 0)+Tablas!$G$9*VLOOKUP(AP182, cub_control, 2, 0))*0.1*peso_ejec, "")</f>
        <v/>
      </c>
      <c r="AR182" s="96" t="str">
        <f t="shared" si="260"/>
        <v/>
      </c>
      <c r="AS182" s="97" t="str">
        <f t="shared" si="235"/>
        <v/>
      </c>
      <c r="AT182" s="87" t="str">
        <f t="shared" si="236"/>
        <v/>
      </c>
      <c r="AU182" s="97" t="str">
        <f>IF(AR182&lt;Tablas!$G$19, 0, IF(AND(AR182&gt;=Tablas!$G$19, AR182&lt;Tablas!$G$20), 1,  IF(AND(AR182&gt;=Tablas!$G$20, AR182&lt;Tablas!$G$21), 2,  IF(AND(AR182&gt;=Tablas!$G$21, AR182&lt;=Tablas!$G$22), 3,  ""))))</f>
        <v/>
      </c>
      <c r="AV182" s="97" t="str">
        <f t="shared" si="261"/>
        <v/>
      </c>
      <c r="AW182" s="103" t="str">
        <f t="shared" si="262"/>
        <v/>
      </c>
      <c r="AX182" s="176" t="str">
        <f t="shared" ref="AX182" si="300">IFERROR(VLOOKUP(AY182, tabla04, 2, 0), "")</f>
        <v/>
      </c>
      <c r="AY182" s="168" t="str">
        <f>IF(F182="", "", IF((F182-MAX(AV182:AV186))&lt;=0, 1, F182-MAX(AV182:AV186)))</f>
        <v/>
      </c>
      <c r="AZ182" s="178" t="str">
        <f t="shared" ref="AZ182" si="301">IFERROR(VLOOKUP(BA182, tabla04, 3, 0), "")</f>
        <v/>
      </c>
      <c r="BA182" s="168" t="str">
        <f>IF(Q182="", "", IF((Q182-MAX(AW182:AW186))&lt;=0, 1, Q182-MAX(AW182:AW186)))</f>
        <v/>
      </c>
      <c r="BB182" s="182"/>
      <c r="BC182" s="182"/>
      <c r="BD182" s="185"/>
      <c r="BE182" s="185"/>
      <c r="BF182" s="158" t="str">
        <f t="shared" ref="BF182:BF184" si="302">IFERROR(VLOOKUP(CONCATENATE(AY182, "-", BA182), cuadrante_sev, 3, 0), "")</f>
        <v/>
      </c>
      <c r="BG182" s="191"/>
    </row>
    <row r="183" spans="1:59" ht="15" customHeight="1" x14ac:dyDescent="0.25">
      <c r="A183" s="167"/>
      <c r="B183" s="195"/>
      <c r="C183" s="161"/>
      <c r="D183" s="160"/>
      <c r="E183" s="161"/>
      <c r="F183" s="164"/>
      <c r="G183" s="167"/>
      <c r="H183" s="167"/>
      <c r="I183" s="167"/>
      <c r="J183" s="167"/>
      <c r="K183" s="167"/>
      <c r="L183" s="166"/>
      <c r="M183" s="166"/>
      <c r="N183" s="166"/>
      <c r="O183" s="166"/>
      <c r="P183" s="166"/>
      <c r="Q183" s="166"/>
      <c r="R183" s="177"/>
      <c r="S183" s="167"/>
      <c r="T183" s="167"/>
      <c r="U183" s="167"/>
      <c r="V183" s="167"/>
      <c r="W183" s="167"/>
      <c r="X183" s="164"/>
      <c r="Y183" s="164"/>
      <c r="Z183" s="172"/>
      <c r="AA183" s="188"/>
      <c r="AB183" s="172"/>
      <c r="AC183" s="172"/>
      <c r="AD183" s="175"/>
      <c r="AE183" s="62" t="s">
        <v>114</v>
      </c>
      <c r="AF183" s="133"/>
      <c r="AG183" s="65"/>
      <c r="AH183" s="64"/>
      <c r="AI183" s="64"/>
      <c r="AJ183" s="64"/>
      <c r="AK183" s="64"/>
      <c r="AL183" s="64"/>
      <c r="AM183" s="80" t="str">
        <f>IFERROR((Tablas!$C$1*VLOOKUP(AH183, tipo_control, 2, 0)+Tablas!$E$1*VLOOKUP(AI183, nat_control, 2, 0)+Tablas!$G$1*VLOOKUP(AJ183, ev_control, 2, 0)+Tablas!$I$1*VLOOKUP(AK183, frec_control, 2, 0)+Tablas!$K$1*VLOOKUP(AL183, doc_control, 2, 0))*0.1*peso_dis, "")</f>
        <v/>
      </c>
      <c r="AN183" s="64"/>
      <c r="AO183" s="64"/>
      <c r="AP183" s="64"/>
      <c r="AQ183" s="80" t="str">
        <f>IFERROR((Tablas!$C$9*VLOOKUP(AN183, amb_control, 2, 0)+Tablas!$E$9*VLOOKUP(AO183, ejec_control, 2, 0)+Tablas!$G$9*VLOOKUP(AP183, cub_control, 2, 0))*0.1*peso_ejec, "")</f>
        <v/>
      </c>
      <c r="AR183" s="91" t="str">
        <f t="shared" si="260"/>
        <v/>
      </c>
      <c r="AS183" s="85" t="str">
        <f t="shared" si="235"/>
        <v/>
      </c>
      <c r="AT183" s="85" t="str">
        <f t="shared" si="236"/>
        <v/>
      </c>
      <c r="AU183" s="85" t="str">
        <f>IF(AR183&lt;Tablas!$G$19, 0, IF(AND(AR183&gt;=Tablas!$G$19, AR183&lt;Tablas!$G$20), 1,  IF(AND(AR183&gt;=Tablas!$G$20, AR183&lt;Tablas!$G$21), 2,  IF(AND(AR183&gt;=Tablas!$G$21, AR183&lt;=Tablas!$G$22), 3,  ""))))</f>
        <v/>
      </c>
      <c r="AV183" s="85" t="str">
        <f t="shared" si="261"/>
        <v/>
      </c>
      <c r="AW183" s="101" t="str">
        <f t="shared" si="262"/>
        <v/>
      </c>
      <c r="AX183" s="177"/>
      <c r="AY183" s="169"/>
      <c r="AZ183" s="158"/>
      <c r="BA183" s="169"/>
      <c r="BB183" s="182"/>
      <c r="BC183" s="182"/>
      <c r="BD183" s="185"/>
      <c r="BE183" s="185"/>
      <c r="BF183" s="158" t="str">
        <f t="shared" si="302"/>
        <v/>
      </c>
      <c r="BG183" s="191"/>
    </row>
    <row r="184" spans="1:59" ht="15" customHeight="1" x14ac:dyDescent="0.25">
      <c r="A184" s="167"/>
      <c r="B184" s="195"/>
      <c r="C184" s="161"/>
      <c r="D184" s="160"/>
      <c r="E184" s="161"/>
      <c r="F184" s="164"/>
      <c r="G184" s="167"/>
      <c r="H184" s="167"/>
      <c r="I184" s="167"/>
      <c r="J184" s="167"/>
      <c r="K184" s="167"/>
      <c r="L184" s="166"/>
      <c r="M184" s="166"/>
      <c r="N184" s="166"/>
      <c r="O184" s="166"/>
      <c r="P184" s="166"/>
      <c r="Q184" s="166"/>
      <c r="R184" s="177"/>
      <c r="S184" s="167"/>
      <c r="T184" s="167"/>
      <c r="U184" s="167"/>
      <c r="V184" s="167"/>
      <c r="W184" s="167"/>
      <c r="X184" s="164"/>
      <c r="Y184" s="164"/>
      <c r="Z184" s="172"/>
      <c r="AA184" s="188"/>
      <c r="AB184" s="172"/>
      <c r="AC184" s="172"/>
      <c r="AD184" s="175"/>
      <c r="AE184" s="62" t="s">
        <v>115</v>
      </c>
      <c r="AF184" s="133"/>
      <c r="AG184" s="65"/>
      <c r="AH184" s="64"/>
      <c r="AI184" s="64"/>
      <c r="AJ184" s="64"/>
      <c r="AK184" s="64"/>
      <c r="AL184" s="64"/>
      <c r="AM184" s="80" t="str">
        <f>IFERROR((Tablas!$C$1*VLOOKUP(AH184, tipo_control, 2, 0)+Tablas!$E$1*VLOOKUP(AI184, nat_control, 2, 0)+Tablas!$G$1*VLOOKUP(AJ184, ev_control, 2, 0)+Tablas!$I$1*VLOOKUP(AK184, frec_control, 2, 0)+Tablas!$K$1*VLOOKUP(AL184, doc_control, 2, 0))*0.1*peso_dis, "")</f>
        <v/>
      </c>
      <c r="AN184" s="64"/>
      <c r="AO184" s="64"/>
      <c r="AP184" s="64"/>
      <c r="AQ184" s="80" t="str">
        <f>IFERROR((Tablas!$C$9*VLOOKUP(AN184, amb_control, 2, 0)+Tablas!$E$9*VLOOKUP(AO184, ejec_control, 2, 0)+Tablas!$G$9*VLOOKUP(AP184, cub_control, 2, 0))*0.1*peso_ejec, "")</f>
        <v/>
      </c>
      <c r="AR184" s="91" t="str">
        <f t="shared" si="260"/>
        <v/>
      </c>
      <c r="AS184" s="85" t="str">
        <f t="shared" si="235"/>
        <v/>
      </c>
      <c r="AT184" s="85" t="str">
        <f t="shared" si="236"/>
        <v/>
      </c>
      <c r="AU184" s="85" t="str">
        <f>IF(AR184&lt;Tablas!$G$19, 0, IF(AND(AR184&gt;=Tablas!$G$19, AR184&lt;Tablas!$G$20), 1,  IF(AND(AR184&gt;=Tablas!$G$20, AR184&lt;Tablas!$G$21), 2,  IF(AND(AR184&gt;=Tablas!$G$21, AR184&lt;=Tablas!$G$22), 3,  ""))))</f>
        <v/>
      </c>
      <c r="AV184" s="85" t="str">
        <f t="shared" si="261"/>
        <v/>
      </c>
      <c r="AW184" s="101" t="str">
        <f t="shared" si="262"/>
        <v/>
      </c>
      <c r="AX184" s="177"/>
      <c r="AY184" s="169"/>
      <c r="AZ184" s="158"/>
      <c r="BA184" s="169"/>
      <c r="BB184" s="182"/>
      <c r="BC184" s="182"/>
      <c r="BD184" s="185"/>
      <c r="BE184" s="185"/>
      <c r="BF184" s="158" t="str">
        <f t="shared" si="302"/>
        <v/>
      </c>
      <c r="BG184" s="191"/>
    </row>
    <row r="185" spans="1:59" ht="15" customHeight="1" x14ac:dyDescent="0.25">
      <c r="A185" s="167"/>
      <c r="B185" s="195"/>
      <c r="C185" s="161"/>
      <c r="D185" s="160"/>
      <c r="E185" s="161"/>
      <c r="F185" s="164"/>
      <c r="G185" s="167"/>
      <c r="H185" s="167"/>
      <c r="I185" s="167"/>
      <c r="J185" s="167"/>
      <c r="K185" s="167"/>
      <c r="L185" s="166"/>
      <c r="M185" s="166"/>
      <c r="N185" s="166"/>
      <c r="O185" s="166"/>
      <c r="P185" s="166"/>
      <c r="Q185" s="166"/>
      <c r="R185" s="177"/>
      <c r="S185" s="167"/>
      <c r="T185" s="167"/>
      <c r="U185" s="167"/>
      <c r="V185" s="167"/>
      <c r="W185" s="167"/>
      <c r="X185" s="164"/>
      <c r="Y185" s="164"/>
      <c r="Z185" s="172"/>
      <c r="AA185" s="188"/>
      <c r="AB185" s="172"/>
      <c r="AC185" s="172"/>
      <c r="AD185" s="175"/>
      <c r="AE185" s="62" t="s">
        <v>153</v>
      </c>
      <c r="AF185" s="133"/>
      <c r="AG185" s="65"/>
      <c r="AH185" s="64"/>
      <c r="AI185" s="64"/>
      <c r="AJ185" s="64"/>
      <c r="AK185" s="64"/>
      <c r="AL185" s="64"/>
      <c r="AM185" s="80" t="str">
        <f>IFERROR((Tablas!$C$1*VLOOKUP(AH185, tipo_control, 2, 0)+Tablas!$E$1*VLOOKUP(AI185, nat_control, 2, 0)+Tablas!$G$1*VLOOKUP(AJ185, ev_control, 2, 0)+Tablas!$I$1*VLOOKUP(AK185, frec_control, 2, 0)+Tablas!$K$1*VLOOKUP(AL185, doc_control, 2, 0))*0.1*peso_dis, "")</f>
        <v/>
      </c>
      <c r="AN185" s="64"/>
      <c r="AO185" s="64"/>
      <c r="AP185" s="64"/>
      <c r="AQ185" s="80" t="str">
        <f>IFERROR((Tablas!$C$9*VLOOKUP(AN185, amb_control, 2, 0)+Tablas!$E$9*VLOOKUP(AO185, ejec_control, 2, 0)+Tablas!$G$9*VLOOKUP(AP185, cub_control, 2, 0))*0.1*peso_ejec, "")</f>
        <v/>
      </c>
      <c r="AR185" s="91" t="str">
        <f t="shared" si="260"/>
        <v/>
      </c>
      <c r="AS185" s="85" t="str">
        <f t="shared" si="235"/>
        <v/>
      </c>
      <c r="AT185" s="85" t="str">
        <f t="shared" si="236"/>
        <v/>
      </c>
      <c r="AU185" s="85" t="str">
        <f>IF(AR185&lt;Tablas!$G$19, 0, IF(AND(AR185&gt;=Tablas!$G$19, AR185&lt;Tablas!$G$20), 1,  IF(AND(AR185&gt;=Tablas!$G$20, AR185&lt;Tablas!$G$21), 2,  IF(AND(AR185&gt;=Tablas!$G$21, AR185&lt;=Tablas!$G$22), 3,  ""))))</f>
        <v/>
      </c>
      <c r="AV185" s="85" t="str">
        <f t="shared" si="261"/>
        <v/>
      </c>
      <c r="AW185" s="101" t="str">
        <f t="shared" si="262"/>
        <v/>
      </c>
      <c r="AX185" s="177"/>
      <c r="AY185" s="169"/>
      <c r="AZ185" s="158"/>
      <c r="BA185" s="169"/>
      <c r="BB185" s="182"/>
      <c r="BC185" s="182"/>
      <c r="BD185" s="185"/>
      <c r="BE185" s="185"/>
      <c r="BF185" s="158"/>
      <c r="BG185" s="191"/>
    </row>
    <row r="186" spans="1:59" ht="15" customHeight="1" thickBot="1" x14ac:dyDescent="0.3">
      <c r="A186" s="167"/>
      <c r="B186" s="195"/>
      <c r="C186" s="161"/>
      <c r="D186" s="160"/>
      <c r="E186" s="161"/>
      <c r="F186" s="165"/>
      <c r="G186" s="149"/>
      <c r="H186" s="149"/>
      <c r="I186" s="149"/>
      <c r="J186" s="149"/>
      <c r="K186" s="149"/>
      <c r="L186" s="166"/>
      <c r="M186" s="166"/>
      <c r="N186" s="166"/>
      <c r="O186" s="166"/>
      <c r="P186" s="166"/>
      <c r="Q186" s="166"/>
      <c r="R186" s="177"/>
      <c r="S186" s="149"/>
      <c r="T186" s="149"/>
      <c r="U186" s="149"/>
      <c r="V186" s="149"/>
      <c r="W186" s="149"/>
      <c r="X186" s="165"/>
      <c r="Y186" s="165"/>
      <c r="Z186" s="172"/>
      <c r="AA186" s="188"/>
      <c r="AB186" s="172"/>
      <c r="AC186" s="172"/>
      <c r="AD186" s="175"/>
      <c r="AE186" s="66" t="s">
        <v>154</v>
      </c>
      <c r="AF186" s="134"/>
      <c r="AG186" s="67"/>
      <c r="AH186" s="69"/>
      <c r="AI186" s="69"/>
      <c r="AJ186" s="69"/>
      <c r="AK186" s="69"/>
      <c r="AL186" s="69"/>
      <c r="AM186" s="81" t="str">
        <f>IFERROR((Tablas!$C$1*VLOOKUP(AH186, tipo_control, 2, 0)+Tablas!$E$1*VLOOKUP(AI186, nat_control, 2, 0)+Tablas!$G$1*VLOOKUP(AJ186, ev_control, 2, 0)+Tablas!$I$1*VLOOKUP(AK186, frec_control, 2, 0)+Tablas!$K$1*VLOOKUP(AL186, doc_control, 2, 0))*0.1*peso_dis, "")</f>
        <v/>
      </c>
      <c r="AN186" s="69"/>
      <c r="AO186" s="69"/>
      <c r="AP186" s="69"/>
      <c r="AQ186" s="81" t="str">
        <f>IFERROR((Tablas!$C$9*VLOOKUP(AN186, amb_control, 2, 0)+Tablas!$E$9*VLOOKUP(AO186, ejec_control, 2, 0)+Tablas!$G$9*VLOOKUP(AP186, cub_control, 2, 0))*0.1*peso_ejec, "")</f>
        <v/>
      </c>
      <c r="AR186" s="93" t="str">
        <f t="shared" si="260"/>
        <v/>
      </c>
      <c r="AS186" s="94" t="str">
        <f t="shared" si="235"/>
        <v/>
      </c>
      <c r="AT186" s="94" t="str">
        <f t="shared" si="236"/>
        <v/>
      </c>
      <c r="AU186" s="94" t="str">
        <f>IF(AR186&lt;Tablas!$G$19, 0, IF(AND(AR186&gt;=Tablas!$G$19, AR186&lt;Tablas!$G$20), 1,  IF(AND(AR186&gt;=Tablas!$G$20, AR186&lt;Tablas!$G$21), 2,  IF(AND(AR186&gt;=Tablas!$G$21, AR186&lt;=Tablas!$G$22), 3,  ""))))</f>
        <v/>
      </c>
      <c r="AV186" s="94" t="str">
        <f t="shared" si="261"/>
        <v/>
      </c>
      <c r="AW186" s="102" t="str">
        <f t="shared" si="262"/>
        <v/>
      </c>
      <c r="AX186" s="157"/>
      <c r="AY186" s="170"/>
      <c r="AZ186" s="179"/>
      <c r="BA186" s="170"/>
      <c r="BB186" s="182"/>
      <c r="BC186" s="182"/>
      <c r="BD186" s="185"/>
      <c r="BE186" s="185"/>
      <c r="BF186" s="159"/>
      <c r="BG186" s="191"/>
    </row>
    <row r="187" spans="1:59" ht="15" customHeight="1" x14ac:dyDescent="0.25">
      <c r="A187" s="167"/>
      <c r="B187" s="195"/>
      <c r="C187" s="161" t="s">
        <v>180</v>
      </c>
      <c r="D187" s="160"/>
      <c r="E187" s="149"/>
      <c r="F187" s="163" t="str">
        <f t="shared" si="214"/>
        <v/>
      </c>
      <c r="G187" s="148"/>
      <c r="H187" s="148"/>
      <c r="I187" s="148"/>
      <c r="J187" s="148"/>
      <c r="K187" s="148"/>
      <c r="L187" s="165" t="str">
        <f t="shared" ref="L187" si="303">IFERROR(VLOOKUP(G187, tabla02, 2, 0), "")</f>
        <v/>
      </c>
      <c r="M187" s="165" t="str">
        <f t="shared" ref="M187" si="304">IFERROR(VLOOKUP(H187, tabla02, 2, 0), "")</f>
        <v/>
      </c>
      <c r="N187" s="165" t="str">
        <f t="shared" ref="N187" si="305">IFERROR(VLOOKUP(I187, tabla02, 2, 0), "")</f>
        <v/>
      </c>
      <c r="O187" s="165" t="str">
        <f t="shared" ref="O187" si="306">IFERROR(VLOOKUP(J187, tabla02, 2, 0), "")</f>
        <v/>
      </c>
      <c r="P187" s="165" t="str">
        <f t="shared" ref="P187" si="307">IFERROR(VLOOKUP(K187, tabla02, 2, 0), "")</f>
        <v/>
      </c>
      <c r="Q187" s="165" t="str">
        <f t="shared" ref="Q187" si="308">IF(SUM(L187:P187)=0, "", MAX(L187:P187))</f>
        <v/>
      </c>
      <c r="R187" s="159" t="str">
        <f>IFERROR(VLOOKUP(Q187, tabla04, 3, 0), "")</f>
        <v/>
      </c>
      <c r="S187" s="148"/>
      <c r="T187" s="148"/>
      <c r="U187" s="148"/>
      <c r="V187" s="148"/>
      <c r="W187" s="148"/>
      <c r="X187" s="163" t="str">
        <f>IFERROR(VLOOKUP(CONCATENATE(F187, "-", Q187), cuadrante_sev, 3, 0), "")</f>
        <v/>
      </c>
      <c r="Y187" s="163" t="str">
        <f t="shared" ref="Y187" si="309">IFERROR(IF(X187="Baja", 1, IF(X187="Moderada", 2, IF(X187="Alta", 3, IF(X187="Extrema", 4, "")))), "")</f>
        <v/>
      </c>
      <c r="Z187" s="172"/>
      <c r="AA187" s="188"/>
      <c r="AB187" s="172"/>
      <c r="AC187" s="172"/>
      <c r="AD187" s="175"/>
      <c r="AE187" s="70" t="s">
        <v>113</v>
      </c>
      <c r="AF187" s="135"/>
      <c r="AG187" s="74"/>
      <c r="AH187" s="72"/>
      <c r="AI187" s="72"/>
      <c r="AJ187" s="72"/>
      <c r="AK187" s="72"/>
      <c r="AL187" s="72"/>
      <c r="AM187" s="82" t="str">
        <f>IFERROR((Tablas!$C$1*VLOOKUP(AH187, tipo_control, 2, 0)+Tablas!$E$1*VLOOKUP(AI187, nat_control, 2, 0)+Tablas!$G$1*VLOOKUP(AJ187, ev_control, 2, 0)+Tablas!$I$1*VLOOKUP(AK187, frec_control, 2, 0)+Tablas!$K$1*VLOOKUP(AL187, doc_control, 2, 0))*0.1*peso_dis, "")</f>
        <v/>
      </c>
      <c r="AN187" s="72"/>
      <c r="AO187" s="72"/>
      <c r="AP187" s="72"/>
      <c r="AQ187" s="82" t="str">
        <f>IFERROR((Tablas!$C$9*VLOOKUP(AN187, amb_control, 2, 0)+Tablas!$E$9*VLOOKUP(AO187, ejec_control, 2, 0)+Tablas!$G$9*VLOOKUP(AP187, cub_control, 2, 0))*0.1*peso_ejec, "")</f>
        <v/>
      </c>
      <c r="AR187" s="96" t="str">
        <f t="shared" si="260"/>
        <v/>
      </c>
      <c r="AS187" s="97" t="str">
        <f t="shared" si="235"/>
        <v/>
      </c>
      <c r="AT187" s="87" t="str">
        <f t="shared" si="236"/>
        <v/>
      </c>
      <c r="AU187" s="97" t="str">
        <f>IF(AR187&lt;Tablas!$G$19, 0, IF(AND(AR187&gt;=Tablas!$G$19, AR187&lt;Tablas!$G$20), 1,  IF(AND(AR187&gt;=Tablas!$G$20, AR187&lt;Tablas!$G$21), 2,  IF(AND(AR187&gt;=Tablas!$G$21, AR187&lt;=Tablas!$G$22), 3,  ""))))</f>
        <v/>
      </c>
      <c r="AV187" s="97" t="str">
        <f t="shared" si="261"/>
        <v/>
      </c>
      <c r="AW187" s="103" t="str">
        <f t="shared" si="262"/>
        <v/>
      </c>
      <c r="AX187" s="176" t="str">
        <f t="shared" ref="AX187" si="310">IFERROR(VLOOKUP(AY187, tabla04, 2, 0), "")</f>
        <v/>
      </c>
      <c r="AY187" s="168" t="str">
        <f>IF(F187="", "", IF((F187-MAX(AV187:AV191))&lt;=0, 1, F187-MAX(AV187:AV191)))</f>
        <v/>
      </c>
      <c r="AZ187" s="178" t="str">
        <f t="shared" ref="AZ187" si="311">IFERROR(VLOOKUP(BA187, tabla04, 3, 0), "")</f>
        <v/>
      </c>
      <c r="BA187" s="168" t="str">
        <f>IF(Q187="", "", IF((Q187-MAX(AW187:AW191))&lt;=0, 1, Q187-MAX(AW187:AW191)))</f>
        <v/>
      </c>
      <c r="BB187" s="182"/>
      <c r="BC187" s="182"/>
      <c r="BD187" s="185"/>
      <c r="BE187" s="185"/>
      <c r="BF187" s="158" t="str">
        <f t="shared" ref="BF187:BF189" si="312">IFERROR(VLOOKUP(CONCATENATE(AY187, "-", BA187), cuadrante_sev, 3, 0), "")</f>
        <v/>
      </c>
      <c r="BG187" s="191"/>
    </row>
    <row r="188" spans="1:59" ht="15" customHeight="1" x14ac:dyDescent="0.25">
      <c r="A188" s="167"/>
      <c r="B188" s="195"/>
      <c r="C188" s="161"/>
      <c r="D188" s="160"/>
      <c r="E188" s="161"/>
      <c r="F188" s="164"/>
      <c r="G188" s="167"/>
      <c r="H188" s="167"/>
      <c r="I188" s="167"/>
      <c r="J188" s="167"/>
      <c r="K188" s="167"/>
      <c r="L188" s="166"/>
      <c r="M188" s="166"/>
      <c r="N188" s="166"/>
      <c r="O188" s="166"/>
      <c r="P188" s="166"/>
      <c r="Q188" s="166"/>
      <c r="R188" s="177"/>
      <c r="S188" s="167"/>
      <c r="T188" s="167"/>
      <c r="U188" s="167"/>
      <c r="V188" s="167"/>
      <c r="W188" s="167"/>
      <c r="X188" s="164"/>
      <c r="Y188" s="164"/>
      <c r="Z188" s="172"/>
      <c r="AA188" s="188"/>
      <c r="AB188" s="172"/>
      <c r="AC188" s="172"/>
      <c r="AD188" s="175"/>
      <c r="AE188" s="62" t="s">
        <v>114</v>
      </c>
      <c r="AF188" s="133"/>
      <c r="AG188" s="65"/>
      <c r="AH188" s="64"/>
      <c r="AI188" s="64"/>
      <c r="AJ188" s="64"/>
      <c r="AK188" s="64"/>
      <c r="AL188" s="64"/>
      <c r="AM188" s="80" t="str">
        <f>IFERROR((Tablas!$C$1*VLOOKUP(AH188, tipo_control, 2, 0)+Tablas!$E$1*VLOOKUP(AI188, nat_control, 2, 0)+Tablas!$G$1*VLOOKUP(AJ188, ev_control, 2, 0)+Tablas!$I$1*VLOOKUP(AK188, frec_control, 2, 0)+Tablas!$K$1*VLOOKUP(AL188, doc_control, 2, 0))*0.1*peso_dis, "")</f>
        <v/>
      </c>
      <c r="AN188" s="64"/>
      <c r="AO188" s="64"/>
      <c r="AP188" s="64"/>
      <c r="AQ188" s="80" t="str">
        <f>IFERROR((Tablas!$C$9*VLOOKUP(AN188, amb_control, 2, 0)+Tablas!$E$9*VLOOKUP(AO188, ejec_control, 2, 0)+Tablas!$G$9*VLOOKUP(AP188, cub_control, 2, 0))*0.1*peso_ejec, "")</f>
        <v/>
      </c>
      <c r="AR188" s="91" t="str">
        <f t="shared" si="260"/>
        <v/>
      </c>
      <c r="AS188" s="85" t="str">
        <f t="shared" si="235"/>
        <v/>
      </c>
      <c r="AT188" s="85" t="str">
        <f t="shared" si="236"/>
        <v/>
      </c>
      <c r="AU188" s="85" t="str">
        <f>IF(AR188&lt;Tablas!$G$19, 0, IF(AND(AR188&gt;=Tablas!$G$19, AR188&lt;Tablas!$G$20), 1,  IF(AND(AR188&gt;=Tablas!$G$20, AR188&lt;Tablas!$G$21), 2,  IF(AND(AR188&gt;=Tablas!$G$21, AR188&lt;=Tablas!$G$22), 3,  ""))))</f>
        <v/>
      </c>
      <c r="AV188" s="85" t="str">
        <f t="shared" si="261"/>
        <v/>
      </c>
      <c r="AW188" s="101" t="str">
        <f t="shared" si="262"/>
        <v/>
      </c>
      <c r="AX188" s="177"/>
      <c r="AY188" s="169"/>
      <c r="AZ188" s="158"/>
      <c r="BA188" s="169"/>
      <c r="BB188" s="182"/>
      <c r="BC188" s="182"/>
      <c r="BD188" s="185"/>
      <c r="BE188" s="185"/>
      <c r="BF188" s="158" t="str">
        <f t="shared" si="312"/>
        <v/>
      </c>
      <c r="BG188" s="191"/>
    </row>
    <row r="189" spans="1:59" ht="15" customHeight="1" x14ac:dyDescent="0.25">
      <c r="A189" s="167"/>
      <c r="B189" s="195"/>
      <c r="C189" s="161"/>
      <c r="D189" s="160"/>
      <c r="E189" s="161"/>
      <c r="F189" s="164"/>
      <c r="G189" s="167"/>
      <c r="H189" s="167"/>
      <c r="I189" s="167"/>
      <c r="J189" s="167"/>
      <c r="K189" s="167"/>
      <c r="L189" s="166"/>
      <c r="M189" s="166"/>
      <c r="N189" s="166"/>
      <c r="O189" s="166"/>
      <c r="P189" s="166"/>
      <c r="Q189" s="166"/>
      <c r="R189" s="177"/>
      <c r="S189" s="167"/>
      <c r="T189" s="167"/>
      <c r="U189" s="167"/>
      <c r="V189" s="167"/>
      <c r="W189" s="167"/>
      <c r="X189" s="164"/>
      <c r="Y189" s="164"/>
      <c r="Z189" s="172"/>
      <c r="AA189" s="188"/>
      <c r="AB189" s="172"/>
      <c r="AC189" s="172"/>
      <c r="AD189" s="175"/>
      <c r="AE189" s="62" t="s">
        <v>115</v>
      </c>
      <c r="AF189" s="133"/>
      <c r="AG189" s="65"/>
      <c r="AH189" s="64"/>
      <c r="AI189" s="64"/>
      <c r="AJ189" s="64"/>
      <c r="AK189" s="64"/>
      <c r="AL189" s="64"/>
      <c r="AM189" s="80" t="str">
        <f>IFERROR((Tablas!$C$1*VLOOKUP(AH189, tipo_control, 2, 0)+Tablas!$E$1*VLOOKUP(AI189, nat_control, 2, 0)+Tablas!$G$1*VLOOKUP(AJ189, ev_control, 2, 0)+Tablas!$I$1*VLOOKUP(AK189, frec_control, 2, 0)+Tablas!$K$1*VLOOKUP(AL189, doc_control, 2, 0))*0.1*peso_dis, "")</f>
        <v/>
      </c>
      <c r="AN189" s="64"/>
      <c r="AO189" s="64"/>
      <c r="AP189" s="64"/>
      <c r="AQ189" s="80" t="str">
        <f>IFERROR((Tablas!$C$9*VLOOKUP(AN189, amb_control, 2, 0)+Tablas!$E$9*VLOOKUP(AO189, ejec_control, 2, 0)+Tablas!$G$9*VLOOKUP(AP189, cub_control, 2, 0))*0.1*peso_ejec, "")</f>
        <v/>
      </c>
      <c r="AR189" s="91" t="str">
        <f t="shared" si="260"/>
        <v/>
      </c>
      <c r="AS189" s="85" t="str">
        <f t="shared" si="235"/>
        <v/>
      </c>
      <c r="AT189" s="85" t="str">
        <f t="shared" si="236"/>
        <v/>
      </c>
      <c r="AU189" s="85" t="str">
        <f>IF(AR189&lt;Tablas!$G$19, 0, IF(AND(AR189&gt;=Tablas!$G$19, AR189&lt;Tablas!$G$20), 1,  IF(AND(AR189&gt;=Tablas!$G$20, AR189&lt;Tablas!$G$21), 2,  IF(AND(AR189&gt;=Tablas!$G$21, AR189&lt;=Tablas!$G$22), 3,  ""))))</f>
        <v/>
      </c>
      <c r="AV189" s="85" t="str">
        <f t="shared" si="261"/>
        <v/>
      </c>
      <c r="AW189" s="101" t="str">
        <f t="shared" si="262"/>
        <v/>
      </c>
      <c r="AX189" s="177"/>
      <c r="AY189" s="169"/>
      <c r="AZ189" s="158"/>
      <c r="BA189" s="169"/>
      <c r="BB189" s="182"/>
      <c r="BC189" s="182"/>
      <c r="BD189" s="185"/>
      <c r="BE189" s="185"/>
      <c r="BF189" s="158" t="str">
        <f t="shared" si="312"/>
        <v/>
      </c>
      <c r="BG189" s="191"/>
    </row>
    <row r="190" spans="1:59" ht="15" customHeight="1" x14ac:dyDescent="0.25">
      <c r="A190" s="167"/>
      <c r="B190" s="195"/>
      <c r="C190" s="161"/>
      <c r="D190" s="160"/>
      <c r="E190" s="161"/>
      <c r="F190" s="164"/>
      <c r="G190" s="167"/>
      <c r="H190" s="167"/>
      <c r="I190" s="167"/>
      <c r="J190" s="167"/>
      <c r="K190" s="167"/>
      <c r="L190" s="166"/>
      <c r="M190" s="166"/>
      <c r="N190" s="166"/>
      <c r="O190" s="166"/>
      <c r="P190" s="166"/>
      <c r="Q190" s="166"/>
      <c r="R190" s="177"/>
      <c r="S190" s="167"/>
      <c r="T190" s="167"/>
      <c r="U190" s="167"/>
      <c r="V190" s="167"/>
      <c r="W190" s="167"/>
      <c r="X190" s="164"/>
      <c r="Y190" s="164"/>
      <c r="Z190" s="172"/>
      <c r="AA190" s="188"/>
      <c r="AB190" s="172"/>
      <c r="AC190" s="172"/>
      <c r="AD190" s="175"/>
      <c r="AE190" s="62" t="s">
        <v>153</v>
      </c>
      <c r="AF190" s="133"/>
      <c r="AG190" s="65"/>
      <c r="AH190" s="64"/>
      <c r="AI190" s="64"/>
      <c r="AJ190" s="64"/>
      <c r="AK190" s="64"/>
      <c r="AL190" s="64"/>
      <c r="AM190" s="80" t="str">
        <f>IFERROR((Tablas!$C$1*VLOOKUP(AH190, tipo_control, 2, 0)+Tablas!$E$1*VLOOKUP(AI190, nat_control, 2, 0)+Tablas!$G$1*VLOOKUP(AJ190, ev_control, 2, 0)+Tablas!$I$1*VLOOKUP(AK190, frec_control, 2, 0)+Tablas!$K$1*VLOOKUP(AL190, doc_control, 2, 0))*0.1*peso_dis, "")</f>
        <v/>
      </c>
      <c r="AN190" s="64"/>
      <c r="AO190" s="64"/>
      <c r="AP190" s="64"/>
      <c r="AQ190" s="80" t="str">
        <f>IFERROR((Tablas!$C$9*VLOOKUP(AN190, amb_control, 2, 0)+Tablas!$E$9*VLOOKUP(AO190, ejec_control, 2, 0)+Tablas!$G$9*VLOOKUP(AP190, cub_control, 2, 0))*0.1*peso_ejec, "")</f>
        <v/>
      </c>
      <c r="AR190" s="91" t="str">
        <f t="shared" si="260"/>
        <v/>
      </c>
      <c r="AS190" s="85" t="str">
        <f t="shared" si="235"/>
        <v/>
      </c>
      <c r="AT190" s="85" t="str">
        <f t="shared" si="236"/>
        <v/>
      </c>
      <c r="AU190" s="85" t="str">
        <f>IF(AR190&lt;Tablas!$G$19, 0, IF(AND(AR190&gt;=Tablas!$G$19, AR190&lt;Tablas!$G$20), 1,  IF(AND(AR190&gt;=Tablas!$G$20, AR190&lt;Tablas!$G$21), 2,  IF(AND(AR190&gt;=Tablas!$G$21, AR190&lt;=Tablas!$G$22), 3,  ""))))</f>
        <v/>
      </c>
      <c r="AV190" s="85" t="str">
        <f t="shared" si="261"/>
        <v/>
      </c>
      <c r="AW190" s="101" t="str">
        <f t="shared" si="262"/>
        <v/>
      </c>
      <c r="AX190" s="177"/>
      <c r="AY190" s="169"/>
      <c r="AZ190" s="158"/>
      <c r="BA190" s="169"/>
      <c r="BB190" s="182"/>
      <c r="BC190" s="182"/>
      <c r="BD190" s="185"/>
      <c r="BE190" s="185"/>
      <c r="BF190" s="158"/>
      <c r="BG190" s="191"/>
    </row>
    <row r="191" spans="1:59" ht="15" customHeight="1" thickBot="1" x14ac:dyDescent="0.3">
      <c r="A191" s="167"/>
      <c r="B191" s="195"/>
      <c r="C191" s="161"/>
      <c r="D191" s="160"/>
      <c r="E191" s="161"/>
      <c r="F191" s="165"/>
      <c r="G191" s="149"/>
      <c r="H191" s="149"/>
      <c r="I191" s="149"/>
      <c r="J191" s="149"/>
      <c r="K191" s="149"/>
      <c r="L191" s="166"/>
      <c r="M191" s="166"/>
      <c r="N191" s="166"/>
      <c r="O191" s="166"/>
      <c r="P191" s="166"/>
      <c r="Q191" s="166"/>
      <c r="R191" s="177"/>
      <c r="S191" s="149"/>
      <c r="T191" s="149"/>
      <c r="U191" s="149"/>
      <c r="V191" s="149"/>
      <c r="W191" s="149"/>
      <c r="X191" s="165"/>
      <c r="Y191" s="165"/>
      <c r="Z191" s="172"/>
      <c r="AA191" s="188"/>
      <c r="AB191" s="172"/>
      <c r="AC191" s="172"/>
      <c r="AD191" s="175"/>
      <c r="AE191" s="66" t="s">
        <v>154</v>
      </c>
      <c r="AF191" s="134"/>
      <c r="AG191" s="67"/>
      <c r="AH191" s="69"/>
      <c r="AI191" s="69"/>
      <c r="AJ191" s="69"/>
      <c r="AK191" s="69"/>
      <c r="AL191" s="69"/>
      <c r="AM191" s="81" t="str">
        <f>IFERROR((Tablas!$C$1*VLOOKUP(AH191, tipo_control, 2, 0)+Tablas!$E$1*VLOOKUP(AI191, nat_control, 2, 0)+Tablas!$G$1*VLOOKUP(AJ191, ev_control, 2, 0)+Tablas!$I$1*VLOOKUP(AK191, frec_control, 2, 0)+Tablas!$K$1*VLOOKUP(AL191, doc_control, 2, 0))*0.1*peso_dis, "")</f>
        <v/>
      </c>
      <c r="AN191" s="69"/>
      <c r="AO191" s="69"/>
      <c r="AP191" s="69"/>
      <c r="AQ191" s="81" t="str">
        <f>IFERROR((Tablas!$C$9*VLOOKUP(AN191, amb_control, 2, 0)+Tablas!$E$9*VLOOKUP(AO191, ejec_control, 2, 0)+Tablas!$G$9*VLOOKUP(AP191, cub_control, 2, 0))*0.1*peso_ejec, "")</f>
        <v/>
      </c>
      <c r="AR191" s="93" t="str">
        <f t="shared" si="260"/>
        <v/>
      </c>
      <c r="AS191" s="94" t="str">
        <f t="shared" si="235"/>
        <v/>
      </c>
      <c r="AT191" s="94" t="str">
        <f t="shared" si="236"/>
        <v/>
      </c>
      <c r="AU191" s="94" t="str">
        <f>IF(AR191&lt;Tablas!$G$19, 0, IF(AND(AR191&gt;=Tablas!$G$19, AR191&lt;Tablas!$G$20), 1,  IF(AND(AR191&gt;=Tablas!$G$20, AR191&lt;Tablas!$G$21), 2,  IF(AND(AR191&gt;=Tablas!$G$21, AR191&lt;=Tablas!$G$22), 3,  ""))))</f>
        <v/>
      </c>
      <c r="AV191" s="94" t="str">
        <f t="shared" si="261"/>
        <v/>
      </c>
      <c r="AW191" s="102" t="str">
        <f t="shared" si="262"/>
        <v/>
      </c>
      <c r="AX191" s="157"/>
      <c r="AY191" s="170"/>
      <c r="AZ191" s="179"/>
      <c r="BA191" s="170"/>
      <c r="BB191" s="182"/>
      <c r="BC191" s="182"/>
      <c r="BD191" s="185"/>
      <c r="BE191" s="185"/>
      <c r="BF191" s="159"/>
      <c r="BG191" s="191"/>
    </row>
    <row r="192" spans="1:59" ht="15" customHeight="1" x14ac:dyDescent="0.25">
      <c r="A192" s="167"/>
      <c r="B192" s="195"/>
      <c r="C192" s="161" t="s">
        <v>181</v>
      </c>
      <c r="D192" s="160"/>
      <c r="E192" s="149"/>
      <c r="F192" s="163" t="str">
        <f t="shared" si="214"/>
        <v/>
      </c>
      <c r="G192" s="148"/>
      <c r="H192" s="148"/>
      <c r="I192" s="148"/>
      <c r="J192" s="148"/>
      <c r="K192" s="148"/>
      <c r="L192" s="165" t="str">
        <f t="shared" ref="L192" si="313">IFERROR(VLOOKUP(G192, tabla02, 2, 0), "")</f>
        <v/>
      </c>
      <c r="M192" s="165" t="str">
        <f t="shared" ref="M192" si="314">IFERROR(VLOOKUP(H192, tabla02, 2, 0), "")</f>
        <v/>
      </c>
      <c r="N192" s="165" t="str">
        <f t="shared" ref="N192" si="315">IFERROR(VLOOKUP(I192, tabla02, 2, 0), "")</f>
        <v/>
      </c>
      <c r="O192" s="165" t="str">
        <f t="shared" ref="O192" si="316">IFERROR(VLOOKUP(J192, tabla02, 2, 0), "")</f>
        <v/>
      </c>
      <c r="P192" s="165" t="str">
        <f t="shared" ref="P192" si="317">IFERROR(VLOOKUP(K192, tabla02, 2, 0), "")</f>
        <v/>
      </c>
      <c r="Q192" s="165" t="str">
        <f t="shared" ref="Q192" si="318">IF(SUM(L192:P192)=0, "", MAX(L192:P192))</f>
        <v/>
      </c>
      <c r="R192" s="159" t="str">
        <f>IFERROR(VLOOKUP(Q192, tabla04, 3, 0), "")</f>
        <v/>
      </c>
      <c r="S192" s="148"/>
      <c r="T192" s="148"/>
      <c r="U192" s="148"/>
      <c r="V192" s="148"/>
      <c r="W192" s="148"/>
      <c r="X192" s="163" t="str">
        <f>IFERROR(VLOOKUP(CONCATENATE(F192, "-", Q192), cuadrante_sev, 3, 0), "")</f>
        <v/>
      </c>
      <c r="Y192" s="163" t="str">
        <f t="shared" ref="Y192" si="319">IFERROR(IF(X192="Baja", 1, IF(X192="Moderada", 2, IF(X192="Alta", 3, IF(X192="Extrema", 4, "")))), "")</f>
        <v/>
      </c>
      <c r="Z192" s="172"/>
      <c r="AA192" s="188"/>
      <c r="AB192" s="172"/>
      <c r="AC192" s="172"/>
      <c r="AD192" s="175"/>
      <c r="AE192" s="70" t="s">
        <v>113</v>
      </c>
      <c r="AF192" s="135"/>
      <c r="AG192" s="74"/>
      <c r="AH192" s="72"/>
      <c r="AI192" s="72"/>
      <c r="AJ192" s="72"/>
      <c r="AK192" s="72"/>
      <c r="AL192" s="72"/>
      <c r="AM192" s="82" t="str">
        <f>IFERROR((Tablas!$C$1*VLOOKUP(AH192, tipo_control, 2, 0)+Tablas!$E$1*VLOOKUP(AI192, nat_control, 2, 0)+Tablas!$G$1*VLOOKUP(AJ192, ev_control, 2, 0)+Tablas!$I$1*VLOOKUP(AK192, frec_control, 2, 0)+Tablas!$K$1*VLOOKUP(AL192, doc_control, 2, 0))*0.1*peso_dis, "")</f>
        <v/>
      </c>
      <c r="AN192" s="72"/>
      <c r="AO192" s="72"/>
      <c r="AP192" s="72"/>
      <c r="AQ192" s="82" t="str">
        <f>IFERROR((Tablas!$C$9*VLOOKUP(AN192, amb_control, 2, 0)+Tablas!$E$9*VLOOKUP(AO192, ejec_control, 2, 0)+Tablas!$G$9*VLOOKUP(AP192, cub_control, 2, 0))*0.1*peso_ejec, "")</f>
        <v/>
      </c>
      <c r="AR192" s="96" t="str">
        <f t="shared" si="260"/>
        <v/>
      </c>
      <c r="AS192" s="97" t="str">
        <f t="shared" si="235"/>
        <v/>
      </c>
      <c r="AT192" s="87" t="str">
        <f t="shared" si="236"/>
        <v/>
      </c>
      <c r="AU192" s="97" t="str">
        <f>IF(AR192&lt;Tablas!$G$19, 0, IF(AND(AR192&gt;=Tablas!$G$19, AR192&lt;Tablas!$G$20), 1,  IF(AND(AR192&gt;=Tablas!$G$20, AR192&lt;Tablas!$G$21), 2,  IF(AND(AR192&gt;=Tablas!$G$21, AR192&lt;=Tablas!$G$22), 3,  ""))))</f>
        <v/>
      </c>
      <c r="AV192" s="97" t="str">
        <f t="shared" si="261"/>
        <v/>
      </c>
      <c r="AW192" s="103" t="str">
        <f t="shared" si="262"/>
        <v/>
      </c>
      <c r="AX192" s="176" t="str">
        <f t="shared" ref="AX192" si="320">IFERROR(VLOOKUP(AY192, tabla04, 2, 0), "")</f>
        <v/>
      </c>
      <c r="AY192" s="168" t="str">
        <f>IF(F192="", "", IF((F192-MAX(AV192:AV196))&lt;=0, 1, F192-MAX(AV192:AV196)))</f>
        <v/>
      </c>
      <c r="AZ192" s="178" t="str">
        <f t="shared" ref="AZ192" si="321">IFERROR(VLOOKUP(BA192, tabla04, 3, 0), "")</f>
        <v/>
      </c>
      <c r="BA192" s="168" t="str">
        <f>IF(Q192="", "", IF((Q192-MAX(AW192:AW196))&lt;=0, 1, Q192-MAX(AW192:AW196)))</f>
        <v/>
      </c>
      <c r="BB192" s="182"/>
      <c r="BC192" s="182"/>
      <c r="BD192" s="185"/>
      <c r="BE192" s="185"/>
      <c r="BF192" s="158" t="str">
        <f t="shared" ref="BF192:BF194" si="322">IFERROR(VLOOKUP(CONCATENATE(AY192, "-", BA192), cuadrante_sev, 3, 0), "")</f>
        <v/>
      </c>
      <c r="BG192" s="191"/>
    </row>
    <row r="193" spans="1:59" ht="15" customHeight="1" x14ac:dyDescent="0.25">
      <c r="A193" s="167"/>
      <c r="B193" s="195"/>
      <c r="C193" s="161"/>
      <c r="D193" s="160"/>
      <c r="E193" s="161"/>
      <c r="F193" s="164"/>
      <c r="G193" s="167"/>
      <c r="H193" s="167"/>
      <c r="I193" s="167"/>
      <c r="J193" s="167"/>
      <c r="K193" s="167"/>
      <c r="L193" s="166"/>
      <c r="M193" s="166"/>
      <c r="N193" s="166"/>
      <c r="O193" s="166"/>
      <c r="P193" s="166"/>
      <c r="Q193" s="166"/>
      <c r="R193" s="177"/>
      <c r="S193" s="167"/>
      <c r="T193" s="167"/>
      <c r="U193" s="167"/>
      <c r="V193" s="167"/>
      <c r="W193" s="167"/>
      <c r="X193" s="164"/>
      <c r="Y193" s="164"/>
      <c r="Z193" s="172"/>
      <c r="AA193" s="188"/>
      <c r="AB193" s="172"/>
      <c r="AC193" s="172"/>
      <c r="AD193" s="175"/>
      <c r="AE193" s="62" t="s">
        <v>114</v>
      </c>
      <c r="AF193" s="133"/>
      <c r="AG193" s="65"/>
      <c r="AH193" s="64"/>
      <c r="AI193" s="64"/>
      <c r="AJ193" s="64"/>
      <c r="AK193" s="64"/>
      <c r="AL193" s="64"/>
      <c r="AM193" s="80" t="str">
        <f>IFERROR((Tablas!$C$1*VLOOKUP(AH193, tipo_control, 2, 0)+Tablas!$E$1*VLOOKUP(AI193, nat_control, 2, 0)+Tablas!$G$1*VLOOKUP(AJ193, ev_control, 2, 0)+Tablas!$I$1*VLOOKUP(AK193, frec_control, 2, 0)+Tablas!$K$1*VLOOKUP(AL193, doc_control, 2, 0))*0.1*peso_dis, "")</f>
        <v/>
      </c>
      <c r="AN193" s="64"/>
      <c r="AO193" s="64"/>
      <c r="AP193" s="64"/>
      <c r="AQ193" s="80" t="str">
        <f>IFERROR((Tablas!$C$9*VLOOKUP(AN193, amb_control, 2, 0)+Tablas!$E$9*VLOOKUP(AO193, ejec_control, 2, 0)+Tablas!$G$9*VLOOKUP(AP193, cub_control, 2, 0))*0.1*peso_ejec, "")</f>
        <v/>
      </c>
      <c r="AR193" s="91" t="str">
        <f t="shared" si="260"/>
        <v/>
      </c>
      <c r="AS193" s="85" t="str">
        <f t="shared" si="235"/>
        <v/>
      </c>
      <c r="AT193" s="85" t="str">
        <f t="shared" si="236"/>
        <v/>
      </c>
      <c r="AU193" s="85" t="str">
        <f>IF(AR193&lt;Tablas!$G$19, 0, IF(AND(AR193&gt;=Tablas!$G$19, AR193&lt;Tablas!$G$20), 1,  IF(AND(AR193&gt;=Tablas!$G$20, AR193&lt;Tablas!$G$21), 2,  IF(AND(AR193&gt;=Tablas!$G$21, AR193&lt;=Tablas!$G$22), 3,  ""))))</f>
        <v/>
      </c>
      <c r="AV193" s="85" t="str">
        <f t="shared" si="261"/>
        <v/>
      </c>
      <c r="AW193" s="101" t="str">
        <f t="shared" si="262"/>
        <v/>
      </c>
      <c r="AX193" s="177"/>
      <c r="AY193" s="169"/>
      <c r="AZ193" s="158"/>
      <c r="BA193" s="169"/>
      <c r="BB193" s="182"/>
      <c r="BC193" s="182"/>
      <c r="BD193" s="185"/>
      <c r="BE193" s="185"/>
      <c r="BF193" s="158" t="str">
        <f t="shared" si="322"/>
        <v/>
      </c>
      <c r="BG193" s="191"/>
    </row>
    <row r="194" spans="1:59" ht="15" customHeight="1" x14ac:dyDescent="0.25">
      <c r="A194" s="167"/>
      <c r="B194" s="195"/>
      <c r="C194" s="161"/>
      <c r="D194" s="160"/>
      <c r="E194" s="161"/>
      <c r="F194" s="164"/>
      <c r="G194" s="167"/>
      <c r="H194" s="167"/>
      <c r="I194" s="167"/>
      <c r="J194" s="167"/>
      <c r="K194" s="167"/>
      <c r="L194" s="166"/>
      <c r="M194" s="166"/>
      <c r="N194" s="166"/>
      <c r="O194" s="166"/>
      <c r="P194" s="166"/>
      <c r="Q194" s="166"/>
      <c r="R194" s="177"/>
      <c r="S194" s="167"/>
      <c r="T194" s="167"/>
      <c r="U194" s="167"/>
      <c r="V194" s="167"/>
      <c r="W194" s="167"/>
      <c r="X194" s="164"/>
      <c r="Y194" s="164"/>
      <c r="Z194" s="172"/>
      <c r="AA194" s="188"/>
      <c r="AB194" s="172"/>
      <c r="AC194" s="172"/>
      <c r="AD194" s="175"/>
      <c r="AE194" s="62" t="s">
        <v>115</v>
      </c>
      <c r="AF194" s="133"/>
      <c r="AG194" s="65"/>
      <c r="AH194" s="64"/>
      <c r="AI194" s="64"/>
      <c r="AJ194" s="64"/>
      <c r="AK194" s="64"/>
      <c r="AL194" s="64"/>
      <c r="AM194" s="80" t="str">
        <f>IFERROR((Tablas!$C$1*VLOOKUP(AH194, tipo_control, 2, 0)+Tablas!$E$1*VLOOKUP(AI194, nat_control, 2, 0)+Tablas!$G$1*VLOOKUP(AJ194, ev_control, 2, 0)+Tablas!$I$1*VLOOKUP(AK194, frec_control, 2, 0)+Tablas!$K$1*VLOOKUP(AL194, doc_control, 2, 0))*0.1*peso_dis, "")</f>
        <v/>
      </c>
      <c r="AN194" s="64"/>
      <c r="AO194" s="64"/>
      <c r="AP194" s="64"/>
      <c r="AQ194" s="80" t="str">
        <f>IFERROR((Tablas!$C$9*VLOOKUP(AN194, amb_control, 2, 0)+Tablas!$E$9*VLOOKUP(AO194, ejec_control, 2, 0)+Tablas!$G$9*VLOOKUP(AP194, cub_control, 2, 0))*0.1*peso_ejec, "")</f>
        <v/>
      </c>
      <c r="AR194" s="91" t="str">
        <f t="shared" si="260"/>
        <v/>
      </c>
      <c r="AS194" s="85" t="str">
        <f t="shared" si="235"/>
        <v/>
      </c>
      <c r="AT194" s="85" t="str">
        <f t="shared" si="236"/>
        <v/>
      </c>
      <c r="AU194" s="85" t="str">
        <f>IF(AR194&lt;Tablas!$G$19, 0, IF(AND(AR194&gt;=Tablas!$G$19, AR194&lt;Tablas!$G$20), 1,  IF(AND(AR194&gt;=Tablas!$G$20, AR194&lt;Tablas!$G$21), 2,  IF(AND(AR194&gt;=Tablas!$G$21, AR194&lt;=Tablas!$G$22), 3,  ""))))</f>
        <v/>
      </c>
      <c r="AV194" s="85" t="str">
        <f t="shared" si="261"/>
        <v/>
      </c>
      <c r="AW194" s="101" t="str">
        <f t="shared" si="262"/>
        <v/>
      </c>
      <c r="AX194" s="177"/>
      <c r="AY194" s="169"/>
      <c r="AZ194" s="158"/>
      <c r="BA194" s="169"/>
      <c r="BB194" s="182"/>
      <c r="BC194" s="182"/>
      <c r="BD194" s="185"/>
      <c r="BE194" s="185"/>
      <c r="BF194" s="158" t="str">
        <f t="shared" si="322"/>
        <v/>
      </c>
      <c r="BG194" s="191"/>
    </row>
    <row r="195" spans="1:59" ht="15" customHeight="1" x14ac:dyDescent="0.25">
      <c r="A195" s="167"/>
      <c r="B195" s="195"/>
      <c r="C195" s="161"/>
      <c r="D195" s="160"/>
      <c r="E195" s="161"/>
      <c r="F195" s="164"/>
      <c r="G195" s="167"/>
      <c r="H195" s="167"/>
      <c r="I195" s="167"/>
      <c r="J195" s="167"/>
      <c r="K195" s="167"/>
      <c r="L195" s="166"/>
      <c r="M195" s="166"/>
      <c r="N195" s="166"/>
      <c r="O195" s="166"/>
      <c r="P195" s="166"/>
      <c r="Q195" s="166"/>
      <c r="R195" s="177"/>
      <c r="S195" s="167"/>
      <c r="T195" s="167"/>
      <c r="U195" s="167"/>
      <c r="V195" s="167"/>
      <c r="W195" s="167"/>
      <c r="X195" s="164"/>
      <c r="Y195" s="164"/>
      <c r="Z195" s="172"/>
      <c r="AA195" s="188"/>
      <c r="AB195" s="172"/>
      <c r="AC195" s="172"/>
      <c r="AD195" s="175"/>
      <c r="AE195" s="62" t="s">
        <v>153</v>
      </c>
      <c r="AF195" s="133"/>
      <c r="AG195" s="65"/>
      <c r="AH195" s="64"/>
      <c r="AI195" s="64"/>
      <c r="AJ195" s="64"/>
      <c r="AK195" s="64"/>
      <c r="AL195" s="64"/>
      <c r="AM195" s="80" t="str">
        <f>IFERROR((Tablas!$C$1*VLOOKUP(AH195, tipo_control, 2, 0)+Tablas!$E$1*VLOOKUP(AI195, nat_control, 2, 0)+Tablas!$G$1*VLOOKUP(AJ195, ev_control, 2, 0)+Tablas!$I$1*VLOOKUP(AK195, frec_control, 2, 0)+Tablas!$K$1*VLOOKUP(AL195, doc_control, 2, 0))*0.1*peso_dis, "")</f>
        <v/>
      </c>
      <c r="AN195" s="64"/>
      <c r="AO195" s="64"/>
      <c r="AP195" s="64"/>
      <c r="AQ195" s="80" t="str">
        <f>IFERROR((Tablas!$C$9*VLOOKUP(AN195, amb_control, 2, 0)+Tablas!$E$9*VLOOKUP(AO195, ejec_control, 2, 0)+Tablas!$G$9*VLOOKUP(AP195, cub_control, 2, 0))*0.1*peso_ejec, "")</f>
        <v/>
      </c>
      <c r="AR195" s="91" t="str">
        <f t="shared" si="260"/>
        <v/>
      </c>
      <c r="AS195" s="85" t="str">
        <f t="shared" si="235"/>
        <v/>
      </c>
      <c r="AT195" s="85" t="str">
        <f t="shared" si="236"/>
        <v/>
      </c>
      <c r="AU195" s="85" t="str">
        <f>IF(AR195&lt;Tablas!$G$19, 0, IF(AND(AR195&gt;=Tablas!$G$19, AR195&lt;Tablas!$G$20), 1,  IF(AND(AR195&gt;=Tablas!$G$20, AR195&lt;Tablas!$G$21), 2,  IF(AND(AR195&gt;=Tablas!$G$21, AR195&lt;=Tablas!$G$22), 3,  ""))))</f>
        <v/>
      </c>
      <c r="AV195" s="85" t="str">
        <f t="shared" si="261"/>
        <v/>
      </c>
      <c r="AW195" s="101" t="str">
        <f t="shared" si="262"/>
        <v/>
      </c>
      <c r="AX195" s="177"/>
      <c r="AY195" s="169"/>
      <c r="AZ195" s="158"/>
      <c r="BA195" s="169"/>
      <c r="BB195" s="182"/>
      <c r="BC195" s="182"/>
      <c r="BD195" s="185"/>
      <c r="BE195" s="185"/>
      <c r="BF195" s="158"/>
      <c r="BG195" s="191"/>
    </row>
    <row r="196" spans="1:59" ht="15" customHeight="1" thickBot="1" x14ac:dyDescent="0.3">
      <c r="A196" s="167"/>
      <c r="B196" s="195"/>
      <c r="C196" s="161"/>
      <c r="D196" s="160"/>
      <c r="E196" s="161"/>
      <c r="F196" s="165"/>
      <c r="G196" s="149"/>
      <c r="H196" s="149"/>
      <c r="I196" s="149"/>
      <c r="J196" s="149"/>
      <c r="K196" s="149"/>
      <c r="L196" s="166"/>
      <c r="M196" s="166"/>
      <c r="N196" s="166"/>
      <c r="O196" s="166"/>
      <c r="P196" s="166"/>
      <c r="Q196" s="166"/>
      <c r="R196" s="177"/>
      <c r="S196" s="149"/>
      <c r="T196" s="149"/>
      <c r="U196" s="149"/>
      <c r="V196" s="149"/>
      <c r="W196" s="149"/>
      <c r="X196" s="165"/>
      <c r="Y196" s="165"/>
      <c r="Z196" s="172"/>
      <c r="AA196" s="188"/>
      <c r="AB196" s="172"/>
      <c r="AC196" s="172"/>
      <c r="AD196" s="175"/>
      <c r="AE196" s="66" t="s">
        <v>154</v>
      </c>
      <c r="AF196" s="134"/>
      <c r="AG196" s="67"/>
      <c r="AH196" s="69"/>
      <c r="AI196" s="69"/>
      <c r="AJ196" s="69"/>
      <c r="AK196" s="69"/>
      <c r="AL196" s="69"/>
      <c r="AM196" s="81" t="str">
        <f>IFERROR((Tablas!$C$1*VLOOKUP(AH196, tipo_control, 2, 0)+Tablas!$E$1*VLOOKUP(AI196, nat_control, 2, 0)+Tablas!$G$1*VLOOKUP(AJ196, ev_control, 2, 0)+Tablas!$I$1*VLOOKUP(AK196, frec_control, 2, 0)+Tablas!$K$1*VLOOKUP(AL196, doc_control, 2, 0))*0.1*peso_dis, "")</f>
        <v/>
      </c>
      <c r="AN196" s="69"/>
      <c r="AO196" s="69"/>
      <c r="AP196" s="69"/>
      <c r="AQ196" s="81" t="str">
        <f>IFERROR((Tablas!$C$9*VLOOKUP(AN196, amb_control, 2, 0)+Tablas!$E$9*VLOOKUP(AO196, ejec_control, 2, 0)+Tablas!$G$9*VLOOKUP(AP196, cub_control, 2, 0))*0.1*peso_ejec, "")</f>
        <v/>
      </c>
      <c r="AR196" s="93" t="str">
        <f t="shared" si="260"/>
        <v/>
      </c>
      <c r="AS196" s="94" t="str">
        <f t="shared" si="235"/>
        <v/>
      </c>
      <c r="AT196" s="94" t="str">
        <f t="shared" si="236"/>
        <v/>
      </c>
      <c r="AU196" s="94" t="str">
        <f>IF(AR196&lt;Tablas!$G$19, 0, IF(AND(AR196&gt;=Tablas!$G$19, AR196&lt;Tablas!$G$20), 1,  IF(AND(AR196&gt;=Tablas!$G$20, AR196&lt;Tablas!$G$21), 2,  IF(AND(AR196&gt;=Tablas!$G$21, AR196&lt;=Tablas!$G$22), 3,  ""))))</f>
        <v/>
      </c>
      <c r="AV196" s="94" t="str">
        <f t="shared" si="261"/>
        <v/>
      </c>
      <c r="AW196" s="102" t="str">
        <f t="shared" si="262"/>
        <v/>
      </c>
      <c r="AX196" s="157"/>
      <c r="AY196" s="170"/>
      <c r="AZ196" s="179"/>
      <c r="BA196" s="170"/>
      <c r="BB196" s="182"/>
      <c r="BC196" s="182"/>
      <c r="BD196" s="185"/>
      <c r="BE196" s="185"/>
      <c r="BF196" s="159"/>
      <c r="BG196" s="191"/>
    </row>
    <row r="197" spans="1:59" ht="15" customHeight="1" x14ac:dyDescent="0.25">
      <c r="A197" s="167"/>
      <c r="B197" s="195"/>
      <c r="C197" s="161" t="s">
        <v>182</v>
      </c>
      <c r="D197" s="160"/>
      <c r="E197" s="149"/>
      <c r="F197" s="163" t="str">
        <f t="shared" si="214"/>
        <v/>
      </c>
      <c r="G197" s="148"/>
      <c r="H197" s="148"/>
      <c r="I197" s="148"/>
      <c r="J197" s="148"/>
      <c r="K197" s="148"/>
      <c r="L197" s="165" t="str">
        <f t="shared" ref="L197" si="323">IFERROR(VLOOKUP(G197, tabla02, 2, 0), "")</f>
        <v/>
      </c>
      <c r="M197" s="165" t="str">
        <f t="shared" ref="M197" si="324">IFERROR(VLOOKUP(H197, tabla02, 2, 0), "")</f>
        <v/>
      </c>
      <c r="N197" s="165" t="str">
        <f t="shared" ref="N197" si="325">IFERROR(VLOOKUP(I197, tabla02, 2, 0), "")</f>
        <v/>
      </c>
      <c r="O197" s="165" t="str">
        <f t="shared" ref="O197" si="326">IFERROR(VLOOKUP(J197, tabla02, 2, 0), "")</f>
        <v/>
      </c>
      <c r="P197" s="165" t="str">
        <f t="shared" ref="P197" si="327">IFERROR(VLOOKUP(K197, tabla02, 2, 0), "")</f>
        <v/>
      </c>
      <c r="Q197" s="165" t="str">
        <f t="shared" ref="Q197" si="328">IF(SUM(L197:P197)=0, "", MAX(L197:P197))</f>
        <v/>
      </c>
      <c r="R197" s="159" t="str">
        <f>IFERROR(VLOOKUP(Q197, tabla04, 3, 0), "")</f>
        <v/>
      </c>
      <c r="S197" s="148"/>
      <c r="T197" s="148"/>
      <c r="U197" s="148"/>
      <c r="V197" s="148"/>
      <c r="W197" s="148"/>
      <c r="X197" s="163" t="str">
        <f>IFERROR(VLOOKUP(CONCATENATE(F197, "-", Q197), cuadrante_sev, 3, 0), "")</f>
        <v/>
      </c>
      <c r="Y197" s="163" t="str">
        <f t="shared" ref="Y197" si="329">IFERROR(IF(X197="Baja", 1, IF(X197="Moderada", 2, IF(X197="Alta", 3, IF(X197="Extrema", 4, "")))), "")</f>
        <v/>
      </c>
      <c r="Z197" s="172"/>
      <c r="AA197" s="188"/>
      <c r="AB197" s="172"/>
      <c r="AC197" s="172"/>
      <c r="AD197" s="175"/>
      <c r="AE197" s="70" t="s">
        <v>113</v>
      </c>
      <c r="AF197" s="135"/>
      <c r="AG197" s="74"/>
      <c r="AH197" s="72"/>
      <c r="AI197" s="72"/>
      <c r="AJ197" s="72"/>
      <c r="AK197" s="72"/>
      <c r="AL197" s="72"/>
      <c r="AM197" s="82" t="str">
        <f>IFERROR((Tablas!$C$1*VLOOKUP(AH197, tipo_control, 2, 0)+Tablas!$E$1*VLOOKUP(AI197, nat_control, 2, 0)+Tablas!$G$1*VLOOKUP(AJ197, ev_control, 2, 0)+Tablas!$I$1*VLOOKUP(AK197, frec_control, 2, 0)+Tablas!$K$1*VLOOKUP(AL197, doc_control, 2, 0))*0.1*peso_dis, "")</f>
        <v/>
      </c>
      <c r="AN197" s="72"/>
      <c r="AO197" s="72"/>
      <c r="AP197" s="72"/>
      <c r="AQ197" s="82" t="str">
        <f>IFERROR((Tablas!$C$9*VLOOKUP(AN197, amb_control, 2, 0)+Tablas!$E$9*VLOOKUP(AO197, ejec_control, 2, 0)+Tablas!$G$9*VLOOKUP(AP197, cub_control, 2, 0))*0.1*peso_ejec, "")</f>
        <v/>
      </c>
      <c r="AR197" s="96" t="str">
        <f t="shared" si="260"/>
        <v/>
      </c>
      <c r="AS197" s="97" t="str">
        <f t="shared" si="235"/>
        <v/>
      </c>
      <c r="AT197" s="87" t="str">
        <f t="shared" si="236"/>
        <v/>
      </c>
      <c r="AU197" s="97" t="str">
        <f>IF(AR197&lt;Tablas!$G$19, 0, IF(AND(AR197&gt;=Tablas!$G$19, AR197&lt;Tablas!$G$20), 1,  IF(AND(AR197&gt;=Tablas!$G$20, AR197&lt;Tablas!$G$21), 2,  IF(AND(AR197&gt;=Tablas!$G$21, AR197&lt;=Tablas!$G$22), 3,  ""))))</f>
        <v/>
      </c>
      <c r="AV197" s="97" t="str">
        <f t="shared" si="261"/>
        <v/>
      </c>
      <c r="AW197" s="103" t="str">
        <f t="shared" si="262"/>
        <v/>
      </c>
      <c r="AX197" s="176" t="str">
        <f t="shared" ref="AX197" si="330">IFERROR(VLOOKUP(AY197, tabla04, 2, 0), "")</f>
        <v/>
      </c>
      <c r="AY197" s="168" t="str">
        <f>IF(F197="", "", IF((F197-MAX(AV197:AV201))&lt;=0, 1, F197-MAX(AV197:AV201)))</f>
        <v/>
      </c>
      <c r="AZ197" s="178" t="str">
        <f t="shared" ref="AZ197" si="331">IFERROR(VLOOKUP(BA197, tabla04, 3, 0), "")</f>
        <v/>
      </c>
      <c r="BA197" s="168" t="str">
        <f>IF(Q197="", "", IF((Q197-MAX(AW197:AW201))&lt;=0, 1, Q197-MAX(AW197:AW201)))</f>
        <v/>
      </c>
      <c r="BB197" s="182"/>
      <c r="BC197" s="182"/>
      <c r="BD197" s="185"/>
      <c r="BE197" s="185"/>
      <c r="BF197" s="158" t="str">
        <f t="shared" ref="BF197:BF199" si="332">IFERROR(VLOOKUP(CONCATENATE(AY197, "-", BA197), cuadrante_sev, 3, 0), "")</f>
        <v/>
      </c>
      <c r="BG197" s="191"/>
    </row>
    <row r="198" spans="1:59" ht="15" customHeight="1" x14ac:dyDescent="0.25">
      <c r="A198" s="167"/>
      <c r="B198" s="195"/>
      <c r="C198" s="161"/>
      <c r="D198" s="160"/>
      <c r="E198" s="161"/>
      <c r="F198" s="164"/>
      <c r="G198" s="167"/>
      <c r="H198" s="167"/>
      <c r="I198" s="167"/>
      <c r="J198" s="167"/>
      <c r="K198" s="167"/>
      <c r="L198" s="166"/>
      <c r="M198" s="166"/>
      <c r="N198" s="166"/>
      <c r="O198" s="166"/>
      <c r="P198" s="166"/>
      <c r="Q198" s="166"/>
      <c r="R198" s="177"/>
      <c r="S198" s="167"/>
      <c r="T198" s="167"/>
      <c r="U198" s="167"/>
      <c r="V198" s="167"/>
      <c r="W198" s="167"/>
      <c r="X198" s="164"/>
      <c r="Y198" s="164"/>
      <c r="Z198" s="172"/>
      <c r="AA198" s="188"/>
      <c r="AB198" s="172"/>
      <c r="AC198" s="172"/>
      <c r="AD198" s="175"/>
      <c r="AE198" s="62" t="s">
        <v>114</v>
      </c>
      <c r="AF198" s="133"/>
      <c r="AG198" s="65"/>
      <c r="AH198" s="64"/>
      <c r="AI198" s="64"/>
      <c r="AJ198" s="64"/>
      <c r="AK198" s="64"/>
      <c r="AL198" s="64"/>
      <c r="AM198" s="80" t="str">
        <f>IFERROR((Tablas!$C$1*VLOOKUP(AH198, tipo_control, 2, 0)+Tablas!$E$1*VLOOKUP(AI198, nat_control, 2, 0)+Tablas!$G$1*VLOOKUP(AJ198, ev_control, 2, 0)+Tablas!$I$1*VLOOKUP(AK198, frec_control, 2, 0)+Tablas!$K$1*VLOOKUP(AL198, doc_control, 2, 0))*0.1*peso_dis, "")</f>
        <v/>
      </c>
      <c r="AN198" s="64"/>
      <c r="AO198" s="64"/>
      <c r="AP198" s="64"/>
      <c r="AQ198" s="80" t="str">
        <f>IFERROR((Tablas!$C$9*VLOOKUP(AN198, amb_control, 2, 0)+Tablas!$E$9*VLOOKUP(AO198, ejec_control, 2, 0)+Tablas!$G$9*VLOOKUP(AP198, cub_control, 2, 0))*0.1*peso_ejec, "")</f>
        <v/>
      </c>
      <c r="AR198" s="91" t="str">
        <f t="shared" si="260"/>
        <v/>
      </c>
      <c r="AS198" s="85" t="str">
        <f t="shared" si="235"/>
        <v/>
      </c>
      <c r="AT198" s="85" t="str">
        <f t="shared" si="236"/>
        <v/>
      </c>
      <c r="AU198" s="85" t="str">
        <f>IF(AR198&lt;Tablas!$G$19, 0, IF(AND(AR198&gt;=Tablas!$G$19, AR198&lt;Tablas!$G$20), 1,  IF(AND(AR198&gt;=Tablas!$G$20, AR198&lt;Tablas!$G$21), 2,  IF(AND(AR198&gt;=Tablas!$G$21, AR198&lt;=Tablas!$G$22), 3,  ""))))</f>
        <v/>
      </c>
      <c r="AV198" s="85" t="str">
        <f t="shared" si="261"/>
        <v/>
      </c>
      <c r="AW198" s="101" t="str">
        <f t="shared" si="262"/>
        <v/>
      </c>
      <c r="AX198" s="177"/>
      <c r="AY198" s="169"/>
      <c r="AZ198" s="158"/>
      <c r="BA198" s="169"/>
      <c r="BB198" s="182"/>
      <c r="BC198" s="182"/>
      <c r="BD198" s="185"/>
      <c r="BE198" s="185"/>
      <c r="BF198" s="158" t="str">
        <f t="shared" si="332"/>
        <v/>
      </c>
      <c r="BG198" s="191"/>
    </row>
    <row r="199" spans="1:59" ht="15" customHeight="1" x14ac:dyDescent="0.25">
      <c r="A199" s="167"/>
      <c r="B199" s="195"/>
      <c r="C199" s="161"/>
      <c r="D199" s="160"/>
      <c r="E199" s="161"/>
      <c r="F199" s="164"/>
      <c r="G199" s="167"/>
      <c r="H199" s="167"/>
      <c r="I199" s="167"/>
      <c r="J199" s="167"/>
      <c r="K199" s="167"/>
      <c r="L199" s="166"/>
      <c r="M199" s="166"/>
      <c r="N199" s="166"/>
      <c r="O199" s="166"/>
      <c r="P199" s="166"/>
      <c r="Q199" s="166"/>
      <c r="R199" s="177"/>
      <c r="S199" s="167"/>
      <c r="T199" s="167"/>
      <c r="U199" s="167"/>
      <c r="V199" s="167"/>
      <c r="W199" s="167"/>
      <c r="X199" s="164"/>
      <c r="Y199" s="164"/>
      <c r="Z199" s="172"/>
      <c r="AA199" s="188"/>
      <c r="AB199" s="172"/>
      <c r="AC199" s="172"/>
      <c r="AD199" s="175"/>
      <c r="AE199" s="62" t="s">
        <v>115</v>
      </c>
      <c r="AF199" s="133"/>
      <c r="AG199" s="65"/>
      <c r="AH199" s="64"/>
      <c r="AI199" s="64"/>
      <c r="AJ199" s="64"/>
      <c r="AK199" s="64"/>
      <c r="AL199" s="64"/>
      <c r="AM199" s="80" t="str">
        <f>IFERROR((Tablas!$C$1*VLOOKUP(AH199, tipo_control, 2, 0)+Tablas!$E$1*VLOOKUP(AI199, nat_control, 2, 0)+Tablas!$G$1*VLOOKUP(AJ199, ev_control, 2, 0)+Tablas!$I$1*VLOOKUP(AK199, frec_control, 2, 0)+Tablas!$K$1*VLOOKUP(AL199, doc_control, 2, 0))*0.1*peso_dis, "")</f>
        <v/>
      </c>
      <c r="AN199" s="64"/>
      <c r="AO199" s="64"/>
      <c r="AP199" s="64"/>
      <c r="AQ199" s="80" t="str">
        <f>IFERROR((Tablas!$C$9*VLOOKUP(AN199, amb_control, 2, 0)+Tablas!$E$9*VLOOKUP(AO199, ejec_control, 2, 0)+Tablas!$G$9*VLOOKUP(AP199, cub_control, 2, 0))*0.1*peso_ejec, "")</f>
        <v/>
      </c>
      <c r="AR199" s="91" t="str">
        <f t="shared" si="260"/>
        <v/>
      </c>
      <c r="AS199" s="85" t="str">
        <f t="shared" si="235"/>
        <v/>
      </c>
      <c r="AT199" s="85" t="str">
        <f t="shared" si="236"/>
        <v/>
      </c>
      <c r="AU199" s="85" t="str">
        <f>IF(AR199&lt;Tablas!$G$19, 0, IF(AND(AR199&gt;=Tablas!$G$19, AR199&lt;Tablas!$G$20), 1,  IF(AND(AR199&gt;=Tablas!$G$20, AR199&lt;Tablas!$G$21), 2,  IF(AND(AR199&gt;=Tablas!$G$21, AR199&lt;=Tablas!$G$22), 3,  ""))))</f>
        <v/>
      </c>
      <c r="AV199" s="85" t="str">
        <f t="shared" si="261"/>
        <v/>
      </c>
      <c r="AW199" s="101" t="str">
        <f t="shared" si="262"/>
        <v/>
      </c>
      <c r="AX199" s="177"/>
      <c r="AY199" s="169"/>
      <c r="AZ199" s="158"/>
      <c r="BA199" s="169"/>
      <c r="BB199" s="182"/>
      <c r="BC199" s="182"/>
      <c r="BD199" s="185"/>
      <c r="BE199" s="185"/>
      <c r="BF199" s="158" t="str">
        <f t="shared" si="332"/>
        <v/>
      </c>
      <c r="BG199" s="191"/>
    </row>
    <row r="200" spans="1:59" ht="15" customHeight="1" x14ac:dyDescent="0.25">
      <c r="A200" s="167"/>
      <c r="B200" s="195"/>
      <c r="C200" s="161"/>
      <c r="D200" s="160"/>
      <c r="E200" s="161"/>
      <c r="F200" s="164"/>
      <c r="G200" s="167"/>
      <c r="H200" s="167"/>
      <c r="I200" s="167"/>
      <c r="J200" s="167"/>
      <c r="K200" s="167"/>
      <c r="L200" s="166"/>
      <c r="M200" s="166"/>
      <c r="N200" s="166"/>
      <c r="O200" s="166"/>
      <c r="P200" s="166"/>
      <c r="Q200" s="166"/>
      <c r="R200" s="177"/>
      <c r="S200" s="167"/>
      <c r="T200" s="167"/>
      <c r="U200" s="167"/>
      <c r="V200" s="167"/>
      <c r="W200" s="167"/>
      <c r="X200" s="164"/>
      <c r="Y200" s="164"/>
      <c r="Z200" s="172"/>
      <c r="AA200" s="188"/>
      <c r="AB200" s="172"/>
      <c r="AC200" s="172"/>
      <c r="AD200" s="175"/>
      <c r="AE200" s="62" t="s">
        <v>153</v>
      </c>
      <c r="AF200" s="133"/>
      <c r="AG200" s="65"/>
      <c r="AH200" s="64"/>
      <c r="AI200" s="64"/>
      <c r="AJ200" s="64"/>
      <c r="AK200" s="64"/>
      <c r="AL200" s="64"/>
      <c r="AM200" s="80" t="str">
        <f>IFERROR((Tablas!$C$1*VLOOKUP(AH200, tipo_control, 2, 0)+Tablas!$E$1*VLOOKUP(AI200, nat_control, 2, 0)+Tablas!$G$1*VLOOKUP(AJ200, ev_control, 2, 0)+Tablas!$I$1*VLOOKUP(AK200, frec_control, 2, 0)+Tablas!$K$1*VLOOKUP(AL200, doc_control, 2, 0))*0.1*peso_dis, "")</f>
        <v/>
      </c>
      <c r="AN200" s="64"/>
      <c r="AO200" s="64"/>
      <c r="AP200" s="64"/>
      <c r="AQ200" s="80" t="str">
        <f>IFERROR((Tablas!$C$9*VLOOKUP(AN200, amb_control, 2, 0)+Tablas!$E$9*VLOOKUP(AO200, ejec_control, 2, 0)+Tablas!$G$9*VLOOKUP(AP200, cub_control, 2, 0))*0.1*peso_ejec, "")</f>
        <v/>
      </c>
      <c r="AR200" s="91" t="str">
        <f t="shared" si="260"/>
        <v/>
      </c>
      <c r="AS200" s="85" t="str">
        <f t="shared" si="235"/>
        <v/>
      </c>
      <c r="AT200" s="85" t="str">
        <f t="shared" si="236"/>
        <v/>
      </c>
      <c r="AU200" s="85" t="str">
        <f>IF(AR200&lt;Tablas!$G$19, 0, IF(AND(AR200&gt;=Tablas!$G$19, AR200&lt;Tablas!$G$20), 1,  IF(AND(AR200&gt;=Tablas!$G$20, AR200&lt;Tablas!$G$21), 2,  IF(AND(AR200&gt;=Tablas!$G$21, AR200&lt;=Tablas!$G$22), 3,  ""))))</f>
        <v/>
      </c>
      <c r="AV200" s="85" t="str">
        <f t="shared" si="261"/>
        <v/>
      </c>
      <c r="AW200" s="101" t="str">
        <f t="shared" si="262"/>
        <v/>
      </c>
      <c r="AX200" s="177"/>
      <c r="AY200" s="169"/>
      <c r="AZ200" s="158"/>
      <c r="BA200" s="169"/>
      <c r="BB200" s="182"/>
      <c r="BC200" s="182"/>
      <c r="BD200" s="185"/>
      <c r="BE200" s="185"/>
      <c r="BF200" s="158"/>
      <c r="BG200" s="191"/>
    </row>
    <row r="201" spans="1:59" ht="15" customHeight="1" thickBot="1" x14ac:dyDescent="0.3">
      <c r="A201" s="167"/>
      <c r="B201" s="195"/>
      <c r="C201" s="161"/>
      <c r="D201" s="160"/>
      <c r="E201" s="161"/>
      <c r="F201" s="165"/>
      <c r="G201" s="149"/>
      <c r="H201" s="149"/>
      <c r="I201" s="149"/>
      <c r="J201" s="149"/>
      <c r="K201" s="149"/>
      <c r="L201" s="166"/>
      <c r="M201" s="166"/>
      <c r="N201" s="166"/>
      <c r="O201" s="166"/>
      <c r="P201" s="166"/>
      <c r="Q201" s="166"/>
      <c r="R201" s="177"/>
      <c r="S201" s="149"/>
      <c r="T201" s="149"/>
      <c r="U201" s="149"/>
      <c r="V201" s="149"/>
      <c r="W201" s="149"/>
      <c r="X201" s="165"/>
      <c r="Y201" s="165"/>
      <c r="Z201" s="172"/>
      <c r="AA201" s="188"/>
      <c r="AB201" s="172"/>
      <c r="AC201" s="172"/>
      <c r="AD201" s="175"/>
      <c r="AE201" s="66" t="s">
        <v>154</v>
      </c>
      <c r="AF201" s="134"/>
      <c r="AG201" s="67"/>
      <c r="AH201" s="69"/>
      <c r="AI201" s="69"/>
      <c r="AJ201" s="69"/>
      <c r="AK201" s="69"/>
      <c r="AL201" s="69"/>
      <c r="AM201" s="81" t="str">
        <f>IFERROR((Tablas!$C$1*VLOOKUP(AH201, tipo_control, 2, 0)+Tablas!$E$1*VLOOKUP(AI201, nat_control, 2, 0)+Tablas!$G$1*VLOOKUP(AJ201, ev_control, 2, 0)+Tablas!$I$1*VLOOKUP(AK201, frec_control, 2, 0)+Tablas!$K$1*VLOOKUP(AL201, doc_control, 2, 0))*0.1*peso_dis, "")</f>
        <v/>
      </c>
      <c r="AN201" s="69"/>
      <c r="AO201" s="69"/>
      <c r="AP201" s="69"/>
      <c r="AQ201" s="81" t="str">
        <f>IFERROR((Tablas!$C$9*VLOOKUP(AN201, amb_control, 2, 0)+Tablas!$E$9*VLOOKUP(AO201, ejec_control, 2, 0)+Tablas!$G$9*VLOOKUP(AP201, cub_control, 2, 0))*0.1*peso_ejec, "")</f>
        <v/>
      </c>
      <c r="AR201" s="93" t="str">
        <f t="shared" si="260"/>
        <v/>
      </c>
      <c r="AS201" s="94" t="str">
        <f t="shared" si="235"/>
        <v/>
      </c>
      <c r="AT201" s="94" t="str">
        <f t="shared" si="236"/>
        <v/>
      </c>
      <c r="AU201" s="94" t="str">
        <f>IF(AR201&lt;Tablas!$G$19, 0, IF(AND(AR201&gt;=Tablas!$G$19, AR201&lt;Tablas!$G$20), 1,  IF(AND(AR201&gt;=Tablas!$G$20, AR201&lt;Tablas!$G$21), 2,  IF(AND(AR201&gt;=Tablas!$G$21, AR201&lt;=Tablas!$G$22), 3,  ""))))</f>
        <v/>
      </c>
      <c r="AV201" s="94" t="str">
        <f t="shared" si="261"/>
        <v/>
      </c>
      <c r="AW201" s="102" t="str">
        <f t="shared" si="262"/>
        <v/>
      </c>
      <c r="AX201" s="157"/>
      <c r="AY201" s="170"/>
      <c r="AZ201" s="179"/>
      <c r="BA201" s="170"/>
      <c r="BB201" s="182"/>
      <c r="BC201" s="182"/>
      <c r="BD201" s="185"/>
      <c r="BE201" s="185"/>
      <c r="BF201" s="159"/>
      <c r="BG201" s="191"/>
    </row>
    <row r="202" spans="1:59" ht="15" customHeight="1" x14ac:dyDescent="0.25">
      <c r="A202" s="167"/>
      <c r="B202" s="195"/>
      <c r="C202" s="161" t="s">
        <v>183</v>
      </c>
      <c r="D202" s="160"/>
      <c r="E202" s="149"/>
      <c r="F202" s="163" t="str">
        <f t="shared" ref="F202:F262" si="333">IFERROR(VLOOKUP(E202, tabla01, 3, 0), "")</f>
        <v/>
      </c>
      <c r="G202" s="148"/>
      <c r="H202" s="148"/>
      <c r="I202" s="148"/>
      <c r="J202" s="148"/>
      <c r="K202" s="148"/>
      <c r="L202" s="165" t="str">
        <f t="shared" ref="L202" si="334">IFERROR(VLOOKUP(G202, tabla02, 2, 0), "")</f>
        <v/>
      </c>
      <c r="M202" s="165" t="str">
        <f t="shared" ref="M202" si="335">IFERROR(VLOOKUP(H202, tabla02, 2, 0), "")</f>
        <v/>
      </c>
      <c r="N202" s="165" t="str">
        <f t="shared" ref="N202" si="336">IFERROR(VLOOKUP(I202, tabla02, 2, 0), "")</f>
        <v/>
      </c>
      <c r="O202" s="165" t="str">
        <f t="shared" ref="O202" si="337">IFERROR(VLOOKUP(J202, tabla02, 2, 0), "")</f>
        <v/>
      </c>
      <c r="P202" s="165" t="str">
        <f t="shared" ref="P202" si="338">IFERROR(VLOOKUP(K202, tabla02, 2, 0), "")</f>
        <v/>
      </c>
      <c r="Q202" s="165" t="str">
        <f t="shared" ref="Q202" si="339">IF(SUM(L202:P202)=0, "", MAX(L202:P202))</f>
        <v/>
      </c>
      <c r="R202" s="159" t="str">
        <f>IFERROR(VLOOKUP(Q202, tabla04, 3, 0), "")</f>
        <v/>
      </c>
      <c r="S202" s="148"/>
      <c r="T202" s="148"/>
      <c r="U202" s="148"/>
      <c r="V202" s="148"/>
      <c r="W202" s="148"/>
      <c r="X202" s="163" t="str">
        <f>IFERROR(VLOOKUP(CONCATENATE(F202, "-", Q202), cuadrante_sev, 3, 0), "")</f>
        <v/>
      </c>
      <c r="Y202" s="163" t="str">
        <f t="shared" ref="Y202" si="340">IFERROR(IF(X202="Baja", 1, IF(X202="Moderada", 2, IF(X202="Alta", 3, IF(X202="Extrema", 4, "")))), "")</f>
        <v/>
      </c>
      <c r="Z202" s="172"/>
      <c r="AA202" s="188"/>
      <c r="AB202" s="172"/>
      <c r="AC202" s="172"/>
      <c r="AD202" s="175"/>
      <c r="AE202" s="70" t="s">
        <v>113</v>
      </c>
      <c r="AF202" s="135"/>
      <c r="AG202" s="74"/>
      <c r="AH202" s="72"/>
      <c r="AI202" s="72"/>
      <c r="AJ202" s="72"/>
      <c r="AK202" s="72"/>
      <c r="AL202" s="72"/>
      <c r="AM202" s="82" t="str">
        <f>IFERROR((Tablas!$C$1*VLOOKUP(AH202, tipo_control, 2, 0)+Tablas!$E$1*VLOOKUP(AI202, nat_control, 2, 0)+Tablas!$G$1*VLOOKUP(AJ202, ev_control, 2, 0)+Tablas!$I$1*VLOOKUP(AK202, frec_control, 2, 0)+Tablas!$K$1*VLOOKUP(AL202, doc_control, 2, 0))*0.1*peso_dis, "")</f>
        <v/>
      </c>
      <c r="AN202" s="72"/>
      <c r="AO202" s="72"/>
      <c r="AP202" s="72"/>
      <c r="AQ202" s="82" t="str">
        <f>IFERROR((Tablas!$C$9*VLOOKUP(AN202, amb_control, 2, 0)+Tablas!$E$9*VLOOKUP(AO202, ejec_control, 2, 0)+Tablas!$G$9*VLOOKUP(AP202, cub_control, 2, 0))*0.1*peso_ejec, "")</f>
        <v/>
      </c>
      <c r="AR202" s="96" t="str">
        <f t="shared" si="260"/>
        <v/>
      </c>
      <c r="AS202" s="97" t="str">
        <f t="shared" si="235"/>
        <v/>
      </c>
      <c r="AT202" s="87" t="str">
        <f t="shared" si="236"/>
        <v/>
      </c>
      <c r="AU202" s="97" t="str">
        <f>IF(AR202&lt;Tablas!$G$19, 0, IF(AND(AR202&gt;=Tablas!$G$19, AR202&lt;Tablas!$G$20), 1,  IF(AND(AR202&gt;=Tablas!$G$20, AR202&lt;Tablas!$G$21), 2,  IF(AND(AR202&gt;=Tablas!$G$21, AR202&lt;=Tablas!$G$22), 3,  ""))))</f>
        <v/>
      </c>
      <c r="AV202" s="97" t="str">
        <f t="shared" si="261"/>
        <v/>
      </c>
      <c r="AW202" s="103" t="str">
        <f t="shared" si="262"/>
        <v/>
      </c>
      <c r="AX202" s="176" t="str">
        <f t="shared" ref="AX202" si="341">IFERROR(VLOOKUP(AY202, tabla04, 2, 0), "")</f>
        <v/>
      </c>
      <c r="AY202" s="168" t="str">
        <f>IF(F202="", "", IF((F202-MAX(AV202:AV206))&lt;=0, 1, F202-MAX(AV202:AV206)))</f>
        <v/>
      </c>
      <c r="AZ202" s="178" t="str">
        <f t="shared" ref="AZ202" si="342">IFERROR(VLOOKUP(BA202, tabla04, 3, 0), "")</f>
        <v/>
      </c>
      <c r="BA202" s="168" t="str">
        <f>IF(Q202="", "", IF((Q202-MAX(AW202:AW206))&lt;=0, 1, Q202-MAX(AW202:AW206)))</f>
        <v/>
      </c>
      <c r="BB202" s="182"/>
      <c r="BC202" s="182"/>
      <c r="BD202" s="185"/>
      <c r="BE202" s="185"/>
      <c r="BF202" s="158" t="str">
        <f t="shared" ref="BF202:BF204" si="343">IFERROR(VLOOKUP(CONCATENATE(AY202, "-", BA202), cuadrante_sev, 3, 0), "")</f>
        <v/>
      </c>
      <c r="BG202" s="191"/>
    </row>
    <row r="203" spans="1:59" ht="15" customHeight="1" x14ac:dyDescent="0.25">
      <c r="A203" s="167"/>
      <c r="B203" s="195"/>
      <c r="C203" s="161"/>
      <c r="D203" s="160"/>
      <c r="E203" s="161"/>
      <c r="F203" s="164"/>
      <c r="G203" s="167"/>
      <c r="H203" s="167"/>
      <c r="I203" s="167"/>
      <c r="J203" s="167"/>
      <c r="K203" s="167"/>
      <c r="L203" s="166"/>
      <c r="M203" s="166"/>
      <c r="N203" s="166"/>
      <c r="O203" s="166"/>
      <c r="P203" s="166"/>
      <c r="Q203" s="166"/>
      <c r="R203" s="177"/>
      <c r="S203" s="167"/>
      <c r="T203" s="167"/>
      <c r="U203" s="167"/>
      <c r="V203" s="167"/>
      <c r="W203" s="167"/>
      <c r="X203" s="164"/>
      <c r="Y203" s="164"/>
      <c r="Z203" s="172"/>
      <c r="AA203" s="188"/>
      <c r="AB203" s="172"/>
      <c r="AC203" s="172"/>
      <c r="AD203" s="175"/>
      <c r="AE203" s="62" t="s">
        <v>114</v>
      </c>
      <c r="AF203" s="133"/>
      <c r="AG203" s="65"/>
      <c r="AH203" s="64"/>
      <c r="AI203" s="64"/>
      <c r="AJ203" s="64"/>
      <c r="AK203" s="64"/>
      <c r="AL203" s="64"/>
      <c r="AM203" s="80" t="str">
        <f>IFERROR((Tablas!$C$1*VLOOKUP(AH203, tipo_control, 2, 0)+Tablas!$E$1*VLOOKUP(AI203, nat_control, 2, 0)+Tablas!$G$1*VLOOKUP(AJ203, ev_control, 2, 0)+Tablas!$I$1*VLOOKUP(AK203, frec_control, 2, 0)+Tablas!$K$1*VLOOKUP(AL203, doc_control, 2, 0))*0.1*peso_dis, "")</f>
        <v/>
      </c>
      <c r="AN203" s="64"/>
      <c r="AO203" s="64"/>
      <c r="AP203" s="64"/>
      <c r="AQ203" s="80" t="str">
        <f>IFERROR((Tablas!$C$9*VLOOKUP(AN203, amb_control, 2, 0)+Tablas!$E$9*VLOOKUP(AO203, ejec_control, 2, 0)+Tablas!$G$9*VLOOKUP(AP203, cub_control, 2, 0))*0.1*peso_ejec, "")</f>
        <v/>
      </c>
      <c r="AR203" s="91" t="str">
        <f t="shared" si="260"/>
        <v/>
      </c>
      <c r="AS203" s="85" t="str">
        <f t="shared" si="235"/>
        <v/>
      </c>
      <c r="AT203" s="85" t="str">
        <f t="shared" si="236"/>
        <v/>
      </c>
      <c r="AU203" s="85" t="str">
        <f>IF(AR203&lt;Tablas!$G$19, 0, IF(AND(AR203&gt;=Tablas!$G$19, AR203&lt;Tablas!$G$20), 1,  IF(AND(AR203&gt;=Tablas!$G$20, AR203&lt;Tablas!$G$21), 2,  IF(AND(AR203&gt;=Tablas!$G$21, AR203&lt;=Tablas!$G$22), 3,  ""))))</f>
        <v/>
      </c>
      <c r="AV203" s="85" t="str">
        <f t="shared" si="261"/>
        <v/>
      </c>
      <c r="AW203" s="101" t="str">
        <f t="shared" si="262"/>
        <v/>
      </c>
      <c r="AX203" s="177"/>
      <c r="AY203" s="169"/>
      <c r="AZ203" s="158"/>
      <c r="BA203" s="169"/>
      <c r="BB203" s="182"/>
      <c r="BC203" s="182"/>
      <c r="BD203" s="185"/>
      <c r="BE203" s="185"/>
      <c r="BF203" s="158" t="str">
        <f t="shared" si="343"/>
        <v/>
      </c>
      <c r="BG203" s="191"/>
    </row>
    <row r="204" spans="1:59" ht="15" customHeight="1" x14ac:dyDescent="0.25">
      <c r="A204" s="167"/>
      <c r="B204" s="195"/>
      <c r="C204" s="161"/>
      <c r="D204" s="160"/>
      <c r="E204" s="161"/>
      <c r="F204" s="164"/>
      <c r="G204" s="167"/>
      <c r="H204" s="167"/>
      <c r="I204" s="167"/>
      <c r="J204" s="167"/>
      <c r="K204" s="167"/>
      <c r="L204" s="166"/>
      <c r="M204" s="166"/>
      <c r="N204" s="166"/>
      <c r="O204" s="166"/>
      <c r="P204" s="166"/>
      <c r="Q204" s="166"/>
      <c r="R204" s="177"/>
      <c r="S204" s="167"/>
      <c r="T204" s="167"/>
      <c r="U204" s="167"/>
      <c r="V204" s="167"/>
      <c r="W204" s="167"/>
      <c r="X204" s="164"/>
      <c r="Y204" s="164"/>
      <c r="Z204" s="172"/>
      <c r="AA204" s="188"/>
      <c r="AB204" s="172"/>
      <c r="AC204" s="172"/>
      <c r="AD204" s="175"/>
      <c r="AE204" s="62" t="s">
        <v>115</v>
      </c>
      <c r="AF204" s="133"/>
      <c r="AG204" s="65"/>
      <c r="AH204" s="64"/>
      <c r="AI204" s="64"/>
      <c r="AJ204" s="64"/>
      <c r="AK204" s="64"/>
      <c r="AL204" s="64"/>
      <c r="AM204" s="80" t="str">
        <f>IFERROR((Tablas!$C$1*VLOOKUP(AH204, tipo_control, 2, 0)+Tablas!$E$1*VLOOKUP(AI204, nat_control, 2, 0)+Tablas!$G$1*VLOOKUP(AJ204, ev_control, 2, 0)+Tablas!$I$1*VLOOKUP(AK204, frec_control, 2, 0)+Tablas!$K$1*VLOOKUP(AL204, doc_control, 2, 0))*0.1*peso_dis, "")</f>
        <v/>
      </c>
      <c r="AN204" s="64"/>
      <c r="AO204" s="64"/>
      <c r="AP204" s="64"/>
      <c r="AQ204" s="80" t="str">
        <f>IFERROR((Tablas!$C$9*VLOOKUP(AN204, amb_control, 2, 0)+Tablas!$E$9*VLOOKUP(AO204, ejec_control, 2, 0)+Tablas!$G$9*VLOOKUP(AP204, cub_control, 2, 0))*0.1*peso_ejec, "")</f>
        <v/>
      </c>
      <c r="AR204" s="91" t="str">
        <f t="shared" si="260"/>
        <v/>
      </c>
      <c r="AS204" s="85" t="str">
        <f t="shared" si="235"/>
        <v/>
      </c>
      <c r="AT204" s="85" t="str">
        <f t="shared" si="236"/>
        <v/>
      </c>
      <c r="AU204" s="85" t="str">
        <f>IF(AR204&lt;Tablas!$G$19, 0, IF(AND(AR204&gt;=Tablas!$G$19, AR204&lt;Tablas!$G$20), 1,  IF(AND(AR204&gt;=Tablas!$G$20, AR204&lt;Tablas!$G$21), 2,  IF(AND(AR204&gt;=Tablas!$G$21, AR204&lt;=Tablas!$G$22), 3,  ""))))</f>
        <v/>
      </c>
      <c r="AV204" s="85" t="str">
        <f t="shared" si="261"/>
        <v/>
      </c>
      <c r="AW204" s="101" t="str">
        <f t="shared" si="262"/>
        <v/>
      </c>
      <c r="AX204" s="177"/>
      <c r="AY204" s="169"/>
      <c r="AZ204" s="158"/>
      <c r="BA204" s="169"/>
      <c r="BB204" s="182"/>
      <c r="BC204" s="182"/>
      <c r="BD204" s="185"/>
      <c r="BE204" s="185"/>
      <c r="BF204" s="158" t="str">
        <f t="shared" si="343"/>
        <v/>
      </c>
      <c r="BG204" s="191"/>
    </row>
    <row r="205" spans="1:59" ht="15" customHeight="1" x14ac:dyDescent="0.25">
      <c r="A205" s="167"/>
      <c r="B205" s="195"/>
      <c r="C205" s="161"/>
      <c r="D205" s="160"/>
      <c r="E205" s="161"/>
      <c r="F205" s="164"/>
      <c r="G205" s="167"/>
      <c r="H205" s="167"/>
      <c r="I205" s="167"/>
      <c r="J205" s="167"/>
      <c r="K205" s="167"/>
      <c r="L205" s="166"/>
      <c r="M205" s="166"/>
      <c r="N205" s="166"/>
      <c r="O205" s="166"/>
      <c r="P205" s="166"/>
      <c r="Q205" s="166"/>
      <c r="R205" s="177"/>
      <c r="S205" s="167"/>
      <c r="T205" s="167"/>
      <c r="U205" s="167"/>
      <c r="V205" s="167"/>
      <c r="W205" s="167"/>
      <c r="X205" s="164"/>
      <c r="Y205" s="164"/>
      <c r="Z205" s="172"/>
      <c r="AA205" s="188"/>
      <c r="AB205" s="172"/>
      <c r="AC205" s="172"/>
      <c r="AD205" s="175"/>
      <c r="AE205" s="62" t="s">
        <v>153</v>
      </c>
      <c r="AF205" s="133"/>
      <c r="AG205" s="65"/>
      <c r="AH205" s="64"/>
      <c r="AI205" s="64"/>
      <c r="AJ205" s="64"/>
      <c r="AK205" s="64"/>
      <c r="AL205" s="64"/>
      <c r="AM205" s="80" t="str">
        <f>IFERROR((Tablas!$C$1*VLOOKUP(AH205, tipo_control, 2, 0)+Tablas!$E$1*VLOOKUP(AI205, nat_control, 2, 0)+Tablas!$G$1*VLOOKUP(AJ205, ev_control, 2, 0)+Tablas!$I$1*VLOOKUP(AK205, frec_control, 2, 0)+Tablas!$K$1*VLOOKUP(AL205, doc_control, 2, 0))*0.1*peso_dis, "")</f>
        <v/>
      </c>
      <c r="AN205" s="64"/>
      <c r="AO205" s="64"/>
      <c r="AP205" s="64"/>
      <c r="AQ205" s="80" t="str">
        <f>IFERROR((Tablas!$C$9*VLOOKUP(AN205, amb_control, 2, 0)+Tablas!$E$9*VLOOKUP(AO205, ejec_control, 2, 0)+Tablas!$G$9*VLOOKUP(AP205, cub_control, 2, 0))*0.1*peso_ejec, "")</f>
        <v/>
      </c>
      <c r="AR205" s="91" t="str">
        <f t="shared" si="260"/>
        <v/>
      </c>
      <c r="AS205" s="85" t="str">
        <f t="shared" si="235"/>
        <v/>
      </c>
      <c r="AT205" s="85" t="str">
        <f t="shared" si="236"/>
        <v/>
      </c>
      <c r="AU205" s="85" t="str">
        <f>IF(AR205&lt;Tablas!$G$19, 0, IF(AND(AR205&gt;=Tablas!$G$19, AR205&lt;Tablas!$G$20), 1,  IF(AND(AR205&gt;=Tablas!$G$20, AR205&lt;Tablas!$G$21), 2,  IF(AND(AR205&gt;=Tablas!$G$21, AR205&lt;=Tablas!$G$22), 3,  ""))))</f>
        <v/>
      </c>
      <c r="AV205" s="85" t="str">
        <f t="shared" si="261"/>
        <v/>
      </c>
      <c r="AW205" s="101" t="str">
        <f t="shared" si="262"/>
        <v/>
      </c>
      <c r="AX205" s="177"/>
      <c r="AY205" s="169"/>
      <c r="AZ205" s="158"/>
      <c r="BA205" s="169"/>
      <c r="BB205" s="182"/>
      <c r="BC205" s="182"/>
      <c r="BD205" s="185"/>
      <c r="BE205" s="185"/>
      <c r="BF205" s="158"/>
      <c r="BG205" s="191"/>
    </row>
    <row r="206" spans="1:59" ht="15" customHeight="1" thickBot="1" x14ac:dyDescent="0.3">
      <c r="A206" s="149"/>
      <c r="B206" s="196"/>
      <c r="C206" s="161"/>
      <c r="D206" s="160"/>
      <c r="E206" s="161"/>
      <c r="F206" s="165"/>
      <c r="G206" s="149"/>
      <c r="H206" s="149"/>
      <c r="I206" s="149"/>
      <c r="J206" s="149"/>
      <c r="K206" s="149"/>
      <c r="L206" s="166"/>
      <c r="M206" s="166"/>
      <c r="N206" s="166"/>
      <c r="O206" s="166"/>
      <c r="P206" s="166"/>
      <c r="Q206" s="166"/>
      <c r="R206" s="177"/>
      <c r="S206" s="149"/>
      <c r="T206" s="149"/>
      <c r="U206" s="149"/>
      <c r="V206" s="149"/>
      <c r="W206" s="149"/>
      <c r="X206" s="165"/>
      <c r="Y206" s="165"/>
      <c r="Z206" s="173"/>
      <c r="AA206" s="189"/>
      <c r="AB206" s="173"/>
      <c r="AC206" s="173"/>
      <c r="AD206" s="175"/>
      <c r="AE206" s="75" t="s">
        <v>154</v>
      </c>
      <c r="AF206" s="136"/>
      <c r="AG206" s="68"/>
      <c r="AH206" s="76"/>
      <c r="AI206" s="76"/>
      <c r="AJ206" s="76"/>
      <c r="AK206" s="76"/>
      <c r="AL206" s="76"/>
      <c r="AM206" s="83" t="str">
        <f>IFERROR((Tablas!$C$1*VLOOKUP(AH206, tipo_control, 2, 0)+Tablas!$E$1*VLOOKUP(AI206, nat_control, 2, 0)+Tablas!$G$1*VLOOKUP(AJ206, ev_control, 2, 0)+Tablas!$I$1*VLOOKUP(AK206, frec_control, 2, 0)+Tablas!$K$1*VLOOKUP(AL206, doc_control, 2, 0))*0.1*peso_dis, "")</f>
        <v/>
      </c>
      <c r="AN206" s="76"/>
      <c r="AO206" s="76"/>
      <c r="AP206" s="76"/>
      <c r="AQ206" s="83" t="str">
        <f>IFERROR((Tablas!$C$9*VLOOKUP(AN206, amb_control, 2, 0)+Tablas!$E$9*VLOOKUP(AO206, ejec_control, 2, 0)+Tablas!$G$9*VLOOKUP(AP206, cub_control, 2, 0))*0.1*peso_ejec, "")</f>
        <v/>
      </c>
      <c r="AR206" s="99" t="str">
        <f t="shared" si="260"/>
        <v/>
      </c>
      <c r="AS206" s="86" t="str">
        <f t="shared" si="235"/>
        <v/>
      </c>
      <c r="AT206" s="86" t="str">
        <f t="shared" si="236"/>
        <v/>
      </c>
      <c r="AU206" s="86" t="str">
        <f>IF(AR206&lt;Tablas!$G$19, 0, IF(AND(AR206&gt;=Tablas!$G$19, AR206&lt;Tablas!$G$20), 1,  IF(AND(AR206&gt;=Tablas!$G$20, AR206&lt;Tablas!$G$21), 2,  IF(AND(AR206&gt;=Tablas!$G$21, AR206&lt;=Tablas!$G$22), 3,  ""))))</f>
        <v/>
      </c>
      <c r="AV206" s="86" t="str">
        <f t="shared" si="261"/>
        <v/>
      </c>
      <c r="AW206" s="84" t="str">
        <f t="shared" si="262"/>
        <v/>
      </c>
      <c r="AX206" s="157"/>
      <c r="AY206" s="170"/>
      <c r="AZ206" s="179"/>
      <c r="BA206" s="170"/>
      <c r="BB206" s="183"/>
      <c r="BC206" s="183"/>
      <c r="BD206" s="186"/>
      <c r="BE206" s="186"/>
      <c r="BF206" s="159"/>
      <c r="BG206" s="191"/>
    </row>
    <row r="207" spans="1:59" ht="15" customHeight="1" x14ac:dyDescent="0.25">
      <c r="A207" s="148" t="s">
        <v>187</v>
      </c>
      <c r="B207" s="194" t="s">
        <v>224</v>
      </c>
      <c r="C207" s="161" t="s">
        <v>14</v>
      </c>
      <c r="D207" s="160"/>
      <c r="E207" s="149"/>
      <c r="F207" s="163" t="str">
        <f t="shared" si="333"/>
        <v/>
      </c>
      <c r="G207" s="148"/>
      <c r="H207" s="148"/>
      <c r="I207" s="148"/>
      <c r="J207" s="148"/>
      <c r="K207" s="148"/>
      <c r="L207" s="165" t="str">
        <f>IFERROR(VLOOKUP(G207, tabla02, 2, 0), "")</f>
        <v/>
      </c>
      <c r="M207" s="165" t="str">
        <f>IFERROR(VLOOKUP(H207, tabla02, 2, 0), "")</f>
        <v/>
      </c>
      <c r="N207" s="165" t="str">
        <f>IFERROR(VLOOKUP(I207, tabla02, 2, 0), "")</f>
        <v/>
      </c>
      <c r="O207" s="165" t="str">
        <f>IFERROR(VLOOKUP(J207, tabla02, 2, 0), "")</f>
        <v/>
      </c>
      <c r="P207" s="165" t="str">
        <f>IFERROR(VLOOKUP(K207, tabla02, 2, 0), "")</f>
        <v/>
      </c>
      <c r="Q207" s="165" t="str">
        <f t="shared" ref="Q207" si="344">IF(SUM(L207:P207)=0, "", MAX(L207:P207))</f>
        <v/>
      </c>
      <c r="R207" s="159" t="str">
        <f>IFERROR(VLOOKUP(Q207, tabla04, 3, 0), "")</f>
        <v/>
      </c>
      <c r="S207" s="148"/>
      <c r="T207" s="148"/>
      <c r="U207" s="148"/>
      <c r="V207" s="148"/>
      <c r="W207" s="148"/>
      <c r="X207" s="164" t="str">
        <f>IFERROR(VLOOKUP(CONCATENATE(F207, "-", Q207), cuadrante_sev, 3, 0), "")</f>
        <v/>
      </c>
      <c r="Y207" s="163" t="str">
        <f>IFERROR(IF(X207="Baja", 1, IF(X207="Moderada", 2, IF(X207="Alta", 3, IF(X207="Extrema", 4, "")))), "")</f>
        <v/>
      </c>
      <c r="Z207" s="171">
        <f t="shared" ref="Z207" si="345">MAX(F207:F256)</f>
        <v>0</v>
      </c>
      <c r="AA207" s="187">
        <f t="shared" ref="AA207" si="346">MAX(Q207:Q256)</f>
        <v>0</v>
      </c>
      <c r="AB207" s="171" t="str">
        <f>IFERROR(VLOOKUP(Z207, tabla04, 2, 0), "")</f>
        <v/>
      </c>
      <c r="AC207" s="171" t="str">
        <f>IFERROR(VLOOKUP(AA207, tabla04, 3, 0), "")</f>
        <v/>
      </c>
      <c r="AD207" s="174" t="str">
        <f>IFERROR(VLOOKUP(CONCATENATE(Z207, "-", AA207), cuadrante_sev, 3, 0), "")</f>
        <v/>
      </c>
      <c r="AE207" s="59" t="s">
        <v>113</v>
      </c>
      <c r="AF207" s="132"/>
      <c r="AG207" s="60"/>
      <c r="AH207" s="61"/>
      <c r="AI207" s="61"/>
      <c r="AJ207" s="61"/>
      <c r="AK207" s="61"/>
      <c r="AL207" s="61"/>
      <c r="AM207" s="79" t="str">
        <f>IFERROR((Tablas!$C$1*VLOOKUP(AH207, tipo_control, 2, 0)+Tablas!$E$1*VLOOKUP(AI207, nat_control, 2, 0)+Tablas!$G$1*VLOOKUP(AJ207, ev_control, 2, 0)+Tablas!$I$1*VLOOKUP(AK207, frec_control, 2, 0)+Tablas!$K$1*VLOOKUP(AL207, doc_control, 2, 0))*0.1*peso_dis, "")</f>
        <v/>
      </c>
      <c r="AN207" s="61"/>
      <c r="AO207" s="61"/>
      <c r="AP207" s="61"/>
      <c r="AQ207" s="79" t="str">
        <f>IFERROR((Tablas!$C$9*VLOOKUP(AN207, amb_control, 2, 0)+Tablas!$E$9*VLOOKUP(AO207, ejec_control, 2, 0)+Tablas!$G$9*VLOOKUP(AP207, cub_control, 2, 0))*0.1*peso_ejec, "")</f>
        <v/>
      </c>
      <c r="AR207" s="89" t="str">
        <f>IFERROR(AM207+AQ207, "")</f>
        <v/>
      </c>
      <c r="AS207" s="87" t="str">
        <f t="shared" si="235"/>
        <v/>
      </c>
      <c r="AT207" s="87" t="str">
        <f t="shared" si="236"/>
        <v/>
      </c>
      <c r="AU207" s="87" t="str">
        <f>IF(AR207&lt;Tablas!$G$19, 0, IF(AND(AR207&gt;=Tablas!$G$19, AR207&lt;Tablas!$G$20), 1,  IF(AND(AR207&gt;=Tablas!$G$20, AR207&lt;Tablas!$G$21), 2,  IF(AND(AR207&gt;=Tablas!$G$21, AR207&lt;=Tablas!$G$22), 3,  ""))))</f>
        <v/>
      </c>
      <c r="AV207" s="87" t="str">
        <f>IF(AS207="Sí",AU207,"")</f>
        <v/>
      </c>
      <c r="AW207" s="100" t="str">
        <f>IF(AT207="Sí",AU207,"")</f>
        <v/>
      </c>
      <c r="AX207" s="176" t="str">
        <f>IFERROR(VLOOKUP(AY207, tabla04, 2, 0), "")</f>
        <v/>
      </c>
      <c r="AY207" s="168" t="str">
        <f>IF(F207="", "", IF((F207-MAX(AV207:AV211))&lt;=0, 1, F207-MAX(AV207:AV211)))</f>
        <v/>
      </c>
      <c r="AZ207" s="178" t="str">
        <f>IFERROR(VLOOKUP(BA207, tabla04, 3, 0), "")</f>
        <v/>
      </c>
      <c r="BA207" s="168" t="str">
        <f>IF(Q207="", "", IF((Q207-MAX(AW207:AW211))&lt;=0, 1, Q207-MAX(AW207:AW211)))</f>
        <v/>
      </c>
      <c r="BB207" s="170">
        <f>IFERROR(MAX(AY207:AY256), "")</f>
        <v>0</v>
      </c>
      <c r="BC207" s="170">
        <f>IFERROR(MAX(BA207:BA256), "")</f>
        <v>0</v>
      </c>
      <c r="BD207" s="184" t="str">
        <f>IFERROR(VLOOKUP(BB207, tabla04, 2, 0), "")</f>
        <v/>
      </c>
      <c r="BE207" s="184" t="str">
        <f>IFERROR(VLOOKUP(BC207, tabla04, 3, 0), "")</f>
        <v/>
      </c>
      <c r="BF207" s="158" t="str">
        <f>IFERROR(VLOOKUP(CONCATENATE(AY207, "-", BA207), cuadrante_sev, 3, 0), "")</f>
        <v/>
      </c>
      <c r="BG207" s="190" t="str">
        <f>IFERROR(VLOOKUP(CONCATENATE(BB207, "-", BC207), cuadrante_sev, 3, 0), "")</f>
        <v/>
      </c>
    </row>
    <row r="208" spans="1:59" ht="15" customHeight="1" x14ac:dyDescent="0.25">
      <c r="A208" s="167"/>
      <c r="B208" s="195"/>
      <c r="C208" s="161"/>
      <c r="D208" s="160"/>
      <c r="E208" s="161"/>
      <c r="F208" s="164"/>
      <c r="G208" s="167"/>
      <c r="H208" s="167"/>
      <c r="I208" s="167"/>
      <c r="J208" s="167"/>
      <c r="K208" s="167"/>
      <c r="L208" s="166"/>
      <c r="M208" s="166"/>
      <c r="N208" s="166"/>
      <c r="O208" s="166"/>
      <c r="P208" s="166"/>
      <c r="Q208" s="166"/>
      <c r="R208" s="177"/>
      <c r="S208" s="167"/>
      <c r="T208" s="167"/>
      <c r="U208" s="167"/>
      <c r="V208" s="167"/>
      <c r="W208" s="167"/>
      <c r="X208" s="164"/>
      <c r="Y208" s="164"/>
      <c r="Z208" s="172"/>
      <c r="AA208" s="188"/>
      <c r="AB208" s="172"/>
      <c r="AC208" s="172"/>
      <c r="AD208" s="175"/>
      <c r="AE208" s="62" t="s">
        <v>114</v>
      </c>
      <c r="AF208" s="133"/>
      <c r="AG208" s="65"/>
      <c r="AH208" s="64"/>
      <c r="AI208" s="64"/>
      <c r="AJ208" s="64"/>
      <c r="AK208" s="64"/>
      <c r="AL208" s="64"/>
      <c r="AM208" s="80" t="str">
        <f>IFERROR((Tablas!$C$1*VLOOKUP(AH208, tipo_control, 2, 0)+Tablas!$E$1*VLOOKUP(AI208, nat_control, 2, 0)+Tablas!$G$1*VLOOKUP(AJ208, ev_control, 2, 0)+Tablas!$I$1*VLOOKUP(AK208, frec_control, 2, 0)+Tablas!$K$1*VLOOKUP(AL208, doc_control, 2, 0))*0.1*peso_dis, "")</f>
        <v/>
      </c>
      <c r="AN208" s="64"/>
      <c r="AO208" s="64"/>
      <c r="AP208" s="64"/>
      <c r="AQ208" s="80" t="str">
        <f>IFERROR((Tablas!$C$9*VLOOKUP(AN208, amb_control, 2, 0)+Tablas!$E$9*VLOOKUP(AO208, ejec_control, 2, 0)+Tablas!$G$9*VLOOKUP(AP208, cub_control, 2, 0))*0.1*peso_ejec, "")</f>
        <v/>
      </c>
      <c r="AR208" s="91" t="str">
        <f t="shared" ref="AR208:AR256" si="347">IFERROR(AM208+AQ208, "")</f>
        <v/>
      </c>
      <c r="AS208" s="87" t="str">
        <f t="shared" si="235"/>
        <v/>
      </c>
      <c r="AT208" s="85" t="str">
        <f t="shared" si="236"/>
        <v/>
      </c>
      <c r="AU208" s="85" t="str">
        <f>IF(AR208&lt;Tablas!$G$19, 0, IF(AND(AR208&gt;=Tablas!$G$19, AR208&lt;Tablas!$G$20), 1,  IF(AND(AR208&gt;=Tablas!$G$20, AR208&lt;Tablas!$G$21), 2,  IF(AND(AR208&gt;=Tablas!$G$21, AR208&lt;=Tablas!$G$22), 3,  ""))))</f>
        <v/>
      </c>
      <c r="AV208" s="85" t="str">
        <f t="shared" ref="AV208:AV256" si="348">IF(AS208="Sí",AU208,"")</f>
        <v/>
      </c>
      <c r="AW208" s="101" t="str">
        <f t="shared" ref="AW208:AW256" si="349">IF(AT208="Sí",AU208,"")</f>
        <v/>
      </c>
      <c r="AX208" s="177"/>
      <c r="AY208" s="169"/>
      <c r="AZ208" s="158"/>
      <c r="BA208" s="169"/>
      <c r="BB208" s="182"/>
      <c r="BC208" s="182"/>
      <c r="BD208" s="185"/>
      <c r="BE208" s="185"/>
      <c r="BF208" s="158"/>
      <c r="BG208" s="191"/>
    </row>
    <row r="209" spans="1:59" ht="15" customHeight="1" x14ac:dyDescent="0.25">
      <c r="A209" s="167"/>
      <c r="B209" s="195"/>
      <c r="C209" s="161"/>
      <c r="D209" s="160"/>
      <c r="E209" s="161"/>
      <c r="F209" s="164"/>
      <c r="G209" s="167"/>
      <c r="H209" s="167"/>
      <c r="I209" s="167"/>
      <c r="J209" s="167"/>
      <c r="K209" s="167"/>
      <c r="L209" s="166"/>
      <c r="M209" s="166"/>
      <c r="N209" s="166"/>
      <c r="O209" s="166"/>
      <c r="P209" s="166"/>
      <c r="Q209" s="166"/>
      <c r="R209" s="177"/>
      <c r="S209" s="167"/>
      <c r="T209" s="167"/>
      <c r="U209" s="167"/>
      <c r="V209" s="167"/>
      <c r="W209" s="167"/>
      <c r="X209" s="164"/>
      <c r="Y209" s="164"/>
      <c r="Z209" s="172"/>
      <c r="AA209" s="188"/>
      <c r="AB209" s="172"/>
      <c r="AC209" s="172"/>
      <c r="AD209" s="175"/>
      <c r="AE209" s="62" t="s">
        <v>115</v>
      </c>
      <c r="AF209" s="133"/>
      <c r="AG209" s="65"/>
      <c r="AH209" s="64"/>
      <c r="AI209" s="64"/>
      <c r="AJ209" s="64"/>
      <c r="AK209" s="64"/>
      <c r="AL209" s="64"/>
      <c r="AM209" s="80" t="str">
        <f>IFERROR((Tablas!$C$1*VLOOKUP(AH209, tipo_control, 2, 0)+Tablas!$E$1*VLOOKUP(AI209, nat_control, 2, 0)+Tablas!$G$1*VLOOKUP(AJ209, ev_control, 2, 0)+Tablas!$I$1*VLOOKUP(AK209, frec_control, 2, 0)+Tablas!$K$1*VLOOKUP(AL209, doc_control, 2, 0))*0.1*peso_dis, "")</f>
        <v/>
      </c>
      <c r="AN209" s="64"/>
      <c r="AO209" s="64"/>
      <c r="AP209" s="64"/>
      <c r="AQ209" s="80" t="str">
        <f>IFERROR((Tablas!$C$9*VLOOKUP(AN209, amb_control, 2, 0)+Tablas!$E$9*VLOOKUP(AO209, ejec_control, 2, 0)+Tablas!$G$9*VLOOKUP(AP209, cub_control, 2, 0))*0.1*peso_ejec, "")</f>
        <v/>
      </c>
      <c r="AR209" s="91" t="str">
        <f t="shared" si="347"/>
        <v/>
      </c>
      <c r="AS209" s="87" t="str">
        <f t="shared" si="235"/>
        <v/>
      </c>
      <c r="AT209" s="85" t="str">
        <f t="shared" si="236"/>
        <v/>
      </c>
      <c r="AU209" s="85" t="str">
        <f>IF(AR209&lt;Tablas!$G$19, 0, IF(AND(AR209&gt;=Tablas!$G$19, AR209&lt;Tablas!$G$20), 1,  IF(AND(AR209&gt;=Tablas!$G$20, AR209&lt;Tablas!$G$21), 2,  IF(AND(AR209&gt;=Tablas!$G$21, AR209&lt;=Tablas!$G$22), 3,  ""))))</f>
        <v/>
      </c>
      <c r="AV209" s="85" t="str">
        <f t="shared" si="348"/>
        <v/>
      </c>
      <c r="AW209" s="101" t="str">
        <f t="shared" si="349"/>
        <v/>
      </c>
      <c r="AX209" s="177"/>
      <c r="AY209" s="169"/>
      <c r="AZ209" s="158"/>
      <c r="BA209" s="169"/>
      <c r="BB209" s="182"/>
      <c r="BC209" s="182"/>
      <c r="BD209" s="185"/>
      <c r="BE209" s="185"/>
      <c r="BF209" s="158"/>
      <c r="BG209" s="191"/>
    </row>
    <row r="210" spans="1:59" ht="15" customHeight="1" x14ac:dyDescent="0.25">
      <c r="A210" s="167"/>
      <c r="B210" s="195"/>
      <c r="C210" s="161"/>
      <c r="D210" s="160"/>
      <c r="E210" s="161"/>
      <c r="F210" s="164"/>
      <c r="G210" s="167"/>
      <c r="H210" s="167"/>
      <c r="I210" s="167"/>
      <c r="J210" s="167"/>
      <c r="K210" s="167"/>
      <c r="L210" s="166"/>
      <c r="M210" s="166"/>
      <c r="N210" s="166"/>
      <c r="O210" s="166"/>
      <c r="P210" s="166"/>
      <c r="Q210" s="166"/>
      <c r="R210" s="177"/>
      <c r="S210" s="167"/>
      <c r="T210" s="167"/>
      <c r="U210" s="167"/>
      <c r="V210" s="167"/>
      <c r="W210" s="167"/>
      <c r="X210" s="164"/>
      <c r="Y210" s="164"/>
      <c r="Z210" s="172"/>
      <c r="AA210" s="188"/>
      <c r="AB210" s="172"/>
      <c r="AC210" s="172"/>
      <c r="AD210" s="175"/>
      <c r="AE210" s="62" t="s">
        <v>153</v>
      </c>
      <c r="AF210" s="133"/>
      <c r="AG210" s="65"/>
      <c r="AH210" s="64"/>
      <c r="AI210" s="64"/>
      <c r="AJ210" s="64"/>
      <c r="AK210" s="64"/>
      <c r="AL210" s="64"/>
      <c r="AM210" s="80" t="str">
        <f>IFERROR((Tablas!$C$1*VLOOKUP(AH210, tipo_control, 2, 0)+Tablas!$E$1*VLOOKUP(AI210, nat_control, 2, 0)+Tablas!$G$1*VLOOKUP(AJ210, ev_control, 2, 0)+Tablas!$I$1*VLOOKUP(AK210, frec_control, 2, 0)+Tablas!$K$1*VLOOKUP(AL210, doc_control, 2, 0))*0.1*peso_dis, "")</f>
        <v/>
      </c>
      <c r="AN210" s="64"/>
      <c r="AO210" s="64"/>
      <c r="AP210" s="64"/>
      <c r="AQ210" s="80" t="str">
        <f>IFERROR((Tablas!$C$9*VLOOKUP(AN210, amb_control, 2, 0)+Tablas!$E$9*VLOOKUP(AO210, ejec_control, 2, 0)+Tablas!$G$9*VLOOKUP(AP210, cub_control, 2, 0))*0.1*peso_ejec, "")</f>
        <v/>
      </c>
      <c r="AR210" s="91" t="str">
        <f t="shared" si="347"/>
        <v/>
      </c>
      <c r="AS210" s="87" t="str">
        <f t="shared" ref="AS210:AS273" si="350">IFERROR(VLOOKUP(AH210, tabla03, 12, 0), "")</f>
        <v/>
      </c>
      <c r="AT210" s="85" t="str">
        <f t="shared" ref="AT210:AT273" si="351">IFERROR(VLOOKUP(AH210, tabla03, 13, 0), "")</f>
        <v/>
      </c>
      <c r="AU210" s="85" t="str">
        <f>IF(AR210&lt;Tablas!$G$19, 0, IF(AND(AR210&gt;=Tablas!$G$19, AR210&lt;Tablas!$G$20), 1,  IF(AND(AR210&gt;=Tablas!$G$20, AR210&lt;Tablas!$G$21), 2,  IF(AND(AR210&gt;=Tablas!$G$21, AR210&lt;=Tablas!$G$22), 3,  ""))))</f>
        <v/>
      </c>
      <c r="AV210" s="85" t="str">
        <f t="shared" si="348"/>
        <v/>
      </c>
      <c r="AW210" s="101" t="str">
        <f t="shared" si="349"/>
        <v/>
      </c>
      <c r="AX210" s="177"/>
      <c r="AY210" s="169"/>
      <c r="AZ210" s="158"/>
      <c r="BA210" s="169"/>
      <c r="BB210" s="182"/>
      <c r="BC210" s="182"/>
      <c r="BD210" s="185"/>
      <c r="BE210" s="185"/>
      <c r="BF210" s="158"/>
      <c r="BG210" s="191"/>
    </row>
    <row r="211" spans="1:59" ht="15" customHeight="1" thickBot="1" x14ac:dyDescent="0.3">
      <c r="A211" s="167"/>
      <c r="B211" s="195"/>
      <c r="C211" s="161"/>
      <c r="D211" s="160"/>
      <c r="E211" s="161"/>
      <c r="F211" s="165"/>
      <c r="G211" s="149"/>
      <c r="H211" s="149"/>
      <c r="I211" s="149"/>
      <c r="J211" s="149"/>
      <c r="K211" s="149"/>
      <c r="L211" s="166"/>
      <c r="M211" s="166"/>
      <c r="N211" s="166"/>
      <c r="O211" s="166"/>
      <c r="P211" s="166"/>
      <c r="Q211" s="166"/>
      <c r="R211" s="177"/>
      <c r="S211" s="149"/>
      <c r="T211" s="149"/>
      <c r="U211" s="149"/>
      <c r="V211" s="149"/>
      <c r="W211" s="149"/>
      <c r="X211" s="165"/>
      <c r="Y211" s="165"/>
      <c r="Z211" s="172"/>
      <c r="AA211" s="188"/>
      <c r="AB211" s="172"/>
      <c r="AC211" s="172"/>
      <c r="AD211" s="175"/>
      <c r="AE211" s="66" t="s">
        <v>154</v>
      </c>
      <c r="AF211" s="134"/>
      <c r="AG211" s="67"/>
      <c r="AH211" s="69"/>
      <c r="AI211" s="69"/>
      <c r="AJ211" s="69"/>
      <c r="AK211" s="69"/>
      <c r="AL211" s="69"/>
      <c r="AM211" s="81" t="str">
        <f>IFERROR((Tablas!$C$1*VLOOKUP(AH211, tipo_control, 2, 0)+Tablas!$E$1*VLOOKUP(AI211, nat_control, 2, 0)+Tablas!$G$1*VLOOKUP(AJ211, ev_control, 2, 0)+Tablas!$I$1*VLOOKUP(AK211, frec_control, 2, 0)+Tablas!$K$1*VLOOKUP(AL211, doc_control, 2, 0))*0.1*peso_dis, "")</f>
        <v/>
      </c>
      <c r="AN211" s="69"/>
      <c r="AO211" s="69"/>
      <c r="AP211" s="69"/>
      <c r="AQ211" s="81" t="str">
        <f>IFERROR((Tablas!$C$9*VLOOKUP(AN211, amb_control, 2, 0)+Tablas!$E$9*VLOOKUP(AO211, ejec_control, 2, 0)+Tablas!$G$9*VLOOKUP(AP211, cub_control, 2, 0))*0.1*peso_ejec, "")</f>
        <v/>
      </c>
      <c r="AR211" s="93" t="str">
        <f t="shared" si="347"/>
        <v/>
      </c>
      <c r="AS211" s="87" t="str">
        <f t="shared" si="350"/>
        <v/>
      </c>
      <c r="AT211" s="94" t="str">
        <f t="shared" si="351"/>
        <v/>
      </c>
      <c r="AU211" s="94" t="str">
        <f>IF(AR211&lt;Tablas!$G$19, 0, IF(AND(AR211&gt;=Tablas!$G$19, AR211&lt;Tablas!$G$20), 1,  IF(AND(AR211&gt;=Tablas!$G$20, AR211&lt;Tablas!$G$21), 2,  IF(AND(AR211&gt;=Tablas!$G$21, AR211&lt;=Tablas!$G$22), 3,  ""))))</f>
        <v/>
      </c>
      <c r="AV211" s="94" t="str">
        <f t="shared" si="348"/>
        <v/>
      </c>
      <c r="AW211" s="102" t="str">
        <f t="shared" si="349"/>
        <v/>
      </c>
      <c r="AX211" s="157"/>
      <c r="AY211" s="170"/>
      <c r="AZ211" s="179"/>
      <c r="BA211" s="170"/>
      <c r="BB211" s="182"/>
      <c r="BC211" s="182"/>
      <c r="BD211" s="185"/>
      <c r="BE211" s="185"/>
      <c r="BF211" s="159"/>
      <c r="BG211" s="191"/>
    </row>
    <row r="212" spans="1:59" ht="15" customHeight="1" x14ac:dyDescent="0.25">
      <c r="A212" s="167"/>
      <c r="B212" s="195"/>
      <c r="C212" s="161" t="s">
        <v>15</v>
      </c>
      <c r="D212" s="160"/>
      <c r="E212" s="149"/>
      <c r="F212" s="163" t="str">
        <f t="shared" si="333"/>
        <v/>
      </c>
      <c r="G212" s="148"/>
      <c r="H212" s="148"/>
      <c r="I212" s="148"/>
      <c r="J212" s="148"/>
      <c r="K212" s="148"/>
      <c r="L212" s="165" t="str">
        <f>IFERROR(VLOOKUP(G212, tabla02, 2, 0), "")</f>
        <v/>
      </c>
      <c r="M212" s="165" t="str">
        <f>IFERROR(VLOOKUP(H212, tabla02, 2, 0), "")</f>
        <v/>
      </c>
      <c r="N212" s="165" t="str">
        <f>IFERROR(VLOOKUP(I212, tabla02, 2, 0), "")</f>
        <v/>
      </c>
      <c r="O212" s="165" t="str">
        <f>IFERROR(VLOOKUP(J212, tabla02, 2, 0), "")</f>
        <v/>
      </c>
      <c r="P212" s="165" t="str">
        <f>IFERROR(VLOOKUP(K212, tabla02, 2, 0), "")</f>
        <v/>
      </c>
      <c r="Q212" s="165" t="str">
        <f t="shared" ref="Q212" si="352">IF(SUM(L212:P212)=0, "", MAX(L212:P212))</f>
        <v/>
      </c>
      <c r="R212" s="159" t="str">
        <f>IFERROR(VLOOKUP(Q212, tabla04, 3, 0), "")</f>
        <v/>
      </c>
      <c r="S212" s="148"/>
      <c r="T212" s="148"/>
      <c r="U212" s="148"/>
      <c r="V212" s="148"/>
      <c r="W212" s="148"/>
      <c r="X212" s="163" t="str">
        <f>IFERROR(VLOOKUP(CONCATENATE(F212, "-", Q212), cuadrante_sev, 3, 0), "")</f>
        <v/>
      </c>
      <c r="Y212" s="163" t="str">
        <f t="shared" ref="Y212" si="353">IFERROR(IF(X212="Baja", 1, IF(X212="Moderada", 2, IF(X212="Alta", 3, IF(X212="Extrema", 4, "")))), "")</f>
        <v/>
      </c>
      <c r="Z212" s="172"/>
      <c r="AA212" s="188"/>
      <c r="AB212" s="172"/>
      <c r="AC212" s="172"/>
      <c r="AD212" s="175"/>
      <c r="AE212" s="70" t="s">
        <v>113</v>
      </c>
      <c r="AF212" s="135"/>
      <c r="AG212" s="71"/>
      <c r="AH212" s="72"/>
      <c r="AI212" s="72"/>
      <c r="AJ212" s="72"/>
      <c r="AK212" s="72"/>
      <c r="AL212" s="72"/>
      <c r="AM212" s="82" t="str">
        <f>IFERROR((Tablas!$C$1*VLOOKUP(AH212, tipo_control, 2, 0)+Tablas!$E$1*VLOOKUP(AI212, nat_control, 2, 0)+Tablas!$G$1*VLOOKUP(AJ212, ev_control, 2, 0)+Tablas!$I$1*VLOOKUP(AK212, frec_control, 2, 0)+Tablas!$K$1*VLOOKUP(AL212, doc_control, 2, 0))*0.1*peso_dis, "")</f>
        <v/>
      </c>
      <c r="AN212" s="72"/>
      <c r="AO212" s="72"/>
      <c r="AP212" s="72"/>
      <c r="AQ212" s="82" t="str">
        <f>IFERROR((Tablas!$C$9*VLOOKUP(AN212, amb_control, 2, 0)+Tablas!$E$9*VLOOKUP(AO212, ejec_control, 2, 0)+Tablas!$G$9*VLOOKUP(AP212, cub_control, 2, 0))*0.1*peso_ejec, "")</f>
        <v/>
      </c>
      <c r="AR212" s="96" t="str">
        <f t="shared" si="347"/>
        <v/>
      </c>
      <c r="AS212" s="97" t="str">
        <f t="shared" si="350"/>
        <v/>
      </c>
      <c r="AT212" s="87" t="str">
        <f t="shared" si="351"/>
        <v/>
      </c>
      <c r="AU212" s="97" t="str">
        <f>IF(AR212&lt;Tablas!$G$19, 0, IF(AND(AR212&gt;=Tablas!$G$19, AR212&lt;Tablas!$G$20), 1,  IF(AND(AR212&gt;=Tablas!$G$20, AR212&lt;Tablas!$G$21), 2,  IF(AND(AR212&gt;=Tablas!$G$21, AR212&lt;=Tablas!$G$22), 3,  ""))))</f>
        <v/>
      </c>
      <c r="AV212" s="97" t="str">
        <f t="shared" si="348"/>
        <v/>
      </c>
      <c r="AW212" s="103" t="str">
        <f t="shared" si="349"/>
        <v/>
      </c>
      <c r="AX212" s="176" t="str">
        <f t="shared" ref="AX212" si="354">IFERROR(VLOOKUP(AY212, tabla04, 2, 0), "")</f>
        <v/>
      </c>
      <c r="AY212" s="168" t="str">
        <f>IF(F212="", "", IF((F212-MAX(AV212:AV216))&lt;=0, 1, F212-MAX(AV212:AV216)))</f>
        <v/>
      </c>
      <c r="AZ212" s="178" t="str">
        <f t="shared" ref="AZ212" si="355">IFERROR(VLOOKUP(BA212, tabla04, 3, 0), "")</f>
        <v/>
      </c>
      <c r="BA212" s="168" t="str">
        <f>IF(Q212="", "", IF((Q212-MAX(AW212:AW216))&lt;=0, 1, Q212-MAX(AW212:AW216)))</f>
        <v/>
      </c>
      <c r="BB212" s="182"/>
      <c r="BC212" s="182"/>
      <c r="BD212" s="185"/>
      <c r="BE212" s="185"/>
      <c r="BF212" s="158" t="str">
        <f t="shared" ref="BF212:BF214" si="356">IFERROR(VLOOKUP(CONCATENATE(AY212, "-", BA212), cuadrante_sev, 3, 0), "")</f>
        <v/>
      </c>
      <c r="BG212" s="191"/>
    </row>
    <row r="213" spans="1:59" ht="15" customHeight="1" x14ac:dyDescent="0.25">
      <c r="A213" s="167"/>
      <c r="B213" s="195"/>
      <c r="C213" s="161"/>
      <c r="D213" s="160"/>
      <c r="E213" s="161"/>
      <c r="F213" s="164"/>
      <c r="G213" s="167"/>
      <c r="H213" s="167"/>
      <c r="I213" s="167"/>
      <c r="J213" s="167"/>
      <c r="K213" s="167"/>
      <c r="L213" s="166"/>
      <c r="M213" s="166"/>
      <c r="N213" s="166"/>
      <c r="O213" s="166"/>
      <c r="P213" s="166"/>
      <c r="Q213" s="166"/>
      <c r="R213" s="177"/>
      <c r="S213" s="167"/>
      <c r="T213" s="167"/>
      <c r="U213" s="167"/>
      <c r="V213" s="167"/>
      <c r="W213" s="167"/>
      <c r="X213" s="164"/>
      <c r="Y213" s="164"/>
      <c r="Z213" s="172"/>
      <c r="AA213" s="188"/>
      <c r="AB213" s="172"/>
      <c r="AC213" s="172"/>
      <c r="AD213" s="175"/>
      <c r="AE213" s="62" t="s">
        <v>114</v>
      </c>
      <c r="AF213" s="133"/>
      <c r="AG213" s="65"/>
      <c r="AH213" s="64"/>
      <c r="AI213" s="64"/>
      <c r="AJ213" s="64"/>
      <c r="AK213" s="64"/>
      <c r="AL213" s="64"/>
      <c r="AM213" s="80" t="str">
        <f>IFERROR((Tablas!$C$1*VLOOKUP(AH213, tipo_control, 2, 0)+Tablas!$E$1*VLOOKUP(AI213, nat_control, 2, 0)+Tablas!$G$1*VLOOKUP(AJ213, ev_control, 2, 0)+Tablas!$I$1*VLOOKUP(AK213, frec_control, 2, 0)+Tablas!$K$1*VLOOKUP(AL213, doc_control, 2, 0))*0.1*peso_dis, "")</f>
        <v/>
      </c>
      <c r="AN213" s="64"/>
      <c r="AO213" s="64"/>
      <c r="AP213" s="64"/>
      <c r="AQ213" s="80" t="str">
        <f>IFERROR((Tablas!$C$9*VLOOKUP(AN213, amb_control, 2, 0)+Tablas!$E$9*VLOOKUP(AO213, ejec_control, 2, 0)+Tablas!$G$9*VLOOKUP(AP213, cub_control, 2, 0))*0.1*peso_ejec, "")</f>
        <v/>
      </c>
      <c r="AR213" s="91" t="str">
        <f t="shared" si="347"/>
        <v/>
      </c>
      <c r="AS213" s="85" t="str">
        <f t="shared" si="350"/>
        <v/>
      </c>
      <c r="AT213" s="85" t="str">
        <f t="shared" si="351"/>
        <v/>
      </c>
      <c r="AU213" s="85" t="str">
        <f>IF(AR213&lt;Tablas!$G$19, 0, IF(AND(AR213&gt;=Tablas!$G$19, AR213&lt;Tablas!$G$20), 1,  IF(AND(AR213&gt;=Tablas!$G$20, AR213&lt;Tablas!$G$21), 2,  IF(AND(AR213&gt;=Tablas!$G$21, AR213&lt;=Tablas!$G$22), 3,  ""))))</f>
        <v/>
      </c>
      <c r="AV213" s="85" t="str">
        <f t="shared" si="348"/>
        <v/>
      </c>
      <c r="AW213" s="101" t="str">
        <f t="shared" si="349"/>
        <v/>
      </c>
      <c r="AX213" s="177"/>
      <c r="AY213" s="169"/>
      <c r="AZ213" s="158"/>
      <c r="BA213" s="169"/>
      <c r="BB213" s="182"/>
      <c r="BC213" s="182"/>
      <c r="BD213" s="185"/>
      <c r="BE213" s="185"/>
      <c r="BF213" s="158" t="str">
        <f t="shared" si="356"/>
        <v/>
      </c>
      <c r="BG213" s="191"/>
    </row>
    <row r="214" spans="1:59" ht="15" customHeight="1" x14ac:dyDescent="0.25">
      <c r="A214" s="167"/>
      <c r="B214" s="195"/>
      <c r="C214" s="161"/>
      <c r="D214" s="160"/>
      <c r="E214" s="161"/>
      <c r="F214" s="164"/>
      <c r="G214" s="167"/>
      <c r="H214" s="167"/>
      <c r="I214" s="167"/>
      <c r="J214" s="167"/>
      <c r="K214" s="167"/>
      <c r="L214" s="166"/>
      <c r="M214" s="166"/>
      <c r="N214" s="166"/>
      <c r="O214" s="166"/>
      <c r="P214" s="166"/>
      <c r="Q214" s="166"/>
      <c r="R214" s="177"/>
      <c r="S214" s="167"/>
      <c r="T214" s="167"/>
      <c r="U214" s="167"/>
      <c r="V214" s="167"/>
      <c r="W214" s="167"/>
      <c r="X214" s="164"/>
      <c r="Y214" s="164"/>
      <c r="Z214" s="172"/>
      <c r="AA214" s="188"/>
      <c r="AB214" s="172"/>
      <c r="AC214" s="172"/>
      <c r="AD214" s="175"/>
      <c r="AE214" s="62" t="s">
        <v>115</v>
      </c>
      <c r="AF214" s="133"/>
      <c r="AG214" s="65"/>
      <c r="AH214" s="64"/>
      <c r="AI214" s="64"/>
      <c r="AJ214" s="64"/>
      <c r="AK214" s="64"/>
      <c r="AL214" s="64"/>
      <c r="AM214" s="80" t="str">
        <f>IFERROR((Tablas!$C$1*VLOOKUP(AH214, tipo_control, 2, 0)+Tablas!$E$1*VLOOKUP(AI214, nat_control, 2, 0)+Tablas!$G$1*VLOOKUP(AJ214, ev_control, 2, 0)+Tablas!$I$1*VLOOKUP(AK214, frec_control, 2, 0)+Tablas!$K$1*VLOOKUP(AL214, doc_control, 2, 0))*0.1*peso_dis, "")</f>
        <v/>
      </c>
      <c r="AN214" s="64"/>
      <c r="AO214" s="64"/>
      <c r="AP214" s="64"/>
      <c r="AQ214" s="80" t="str">
        <f>IFERROR((Tablas!$C$9*VLOOKUP(AN214, amb_control, 2, 0)+Tablas!$E$9*VLOOKUP(AO214, ejec_control, 2, 0)+Tablas!$G$9*VLOOKUP(AP214, cub_control, 2, 0))*0.1*peso_ejec, "")</f>
        <v/>
      </c>
      <c r="AR214" s="91" t="str">
        <f t="shared" si="347"/>
        <v/>
      </c>
      <c r="AS214" s="85" t="str">
        <f t="shared" si="350"/>
        <v/>
      </c>
      <c r="AT214" s="85" t="str">
        <f t="shared" si="351"/>
        <v/>
      </c>
      <c r="AU214" s="85" t="str">
        <f>IF(AR214&lt;Tablas!$G$19, 0, IF(AND(AR214&gt;=Tablas!$G$19, AR214&lt;Tablas!$G$20), 1,  IF(AND(AR214&gt;=Tablas!$G$20, AR214&lt;Tablas!$G$21), 2,  IF(AND(AR214&gt;=Tablas!$G$21, AR214&lt;=Tablas!$G$22), 3,  ""))))</f>
        <v/>
      </c>
      <c r="AV214" s="85" t="str">
        <f t="shared" si="348"/>
        <v/>
      </c>
      <c r="AW214" s="101" t="str">
        <f t="shared" si="349"/>
        <v/>
      </c>
      <c r="AX214" s="177"/>
      <c r="AY214" s="169"/>
      <c r="AZ214" s="158"/>
      <c r="BA214" s="169"/>
      <c r="BB214" s="182"/>
      <c r="BC214" s="182"/>
      <c r="BD214" s="185"/>
      <c r="BE214" s="185"/>
      <c r="BF214" s="158" t="str">
        <f t="shared" si="356"/>
        <v/>
      </c>
      <c r="BG214" s="191"/>
    </row>
    <row r="215" spans="1:59" ht="15" customHeight="1" x14ac:dyDescent="0.25">
      <c r="A215" s="167"/>
      <c r="B215" s="195"/>
      <c r="C215" s="161"/>
      <c r="D215" s="160"/>
      <c r="E215" s="161"/>
      <c r="F215" s="164"/>
      <c r="G215" s="167"/>
      <c r="H215" s="167"/>
      <c r="I215" s="167"/>
      <c r="J215" s="167"/>
      <c r="K215" s="167"/>
      <c r="L215" s="166"/>
      <c r="M215" s="166"/>
      <c r="N215" s="166"/>
      <c r="O215" s="166"/>
      <c r="P215" s="166"/>
      <c r="Q215" s="166"/>
      <c r="R215" s="177"/>
      <c r="S215" s="167"/>
      <c r="T215" s="167"/>
      <c r="U215" s="167"/>
      <c r="V215" s="167"/>
      <c r="W215" s="167"/>
      <c r="X215" s="164"/>
      <c r="Y215" s="164"/>
      <c r="Z215" s="172"/>
      <c r="AA215" s="188"/>
      <c r="AB215" s="172"/>
      <c r="AC215" s="172"/>
      <c r="AD215" s="175"/>
      <c r="AE215" s="62" t="s">
        <v>153</v>
      </c>
      <c r="AF215" s="133"/>
      <c r="AG215" s="65"/>
      <c r="AH215" s="64"/>
      <c r="AI215" s="64"/>
      <c r="AJ215" s="64"/>
      <c r="AK215" s="64"/>
      <c r="AL215" s="64"/>
      <c r="AM215" s="80" t="str">
        <f>IFERROR((Tablas!$C$1*VLOOKUP(AH215, tipo_control, 2, 0)+Tablas!$E$1*VLOOKUP(AI215, nat_control, 2, 0)+Tablas!$G$1*VLOOKUP(AJ215, ev_control, 2, 0)+Tablas!$I$1*VLOOKUP(AK215, frec_control, 2, 0)+Tablas!$K$1*VLOOKUP(AL215, doc_control, 2, 0))*0.1*peso_dis, "")</f>
        <v/>
      </c>
      <c r="AN215" s="64"/>
      <c r="AO215" s="64"/>
      <c r="AP215" s="64"/>
      <c r="AQ215" s="80" t="str">
        <f>IFERROR((Tablas!$C$9*VLOOKUP(AN215, amb_control, 2, 0)+Tablas!$E$9*VLOOKUP(AO215, ejec_control, 2, 0)+Tablas!$G$9*VLOOKUP(AP215, cub_control, 2, 0))*0.1*peso_ejec, "")</f>
        <v/>
      </c>
      <c r="AR215" s="91" t="str">
        <f t="shared" si="347"/>
        <v/>
      </c>
      <c r="AS215" s="85" t="str">
        <f t="shared" si="350"/>
        <v/>
      </c>
      <c r="AT215" s="85" t="str">
        <f t="shared" si="351"/>
        <v/>
      </c>
      <c r="AU215" s="85" t="str">
        <f>IF(AR215&lt;Tablas!$G$19, 0, IF(AND(AR215&gt;=Tablas!$G$19, AR215&lt;Tablas!$G$20), 1,  IF(AND(AR215&gt;=Tablas!$G$20, AR215&lt;Tablas!$G$21), 2,  IF(AND(AR215&gt;=Tablas!$G$21, AR215&lt;=Tablas!$G$22), 3,  ""))))</f>
        <v/>
      </c>
      <c r="AV215" s="85" t="str">
        <f t="shared" si="348"/>
        <v/>
      </c>
      <c r="AW215" s="101" t="str">
        <f t="shared" si="349"/>
        <v/>
      </c>
      <c r="AX215" s="177"/>
      <c r="AY215" s="169"/>
      <c r="AZ215" s="158"/>
      <c r="BA215" s="169"/>
      <c r="BB215" s="182"/>
      <c r="BC215" s="182"/>
      <c r="BD215" s="185"/>
      <c r="BE215" s="185"/>
      <c r="BF215" s="158"/>
      <c r="BG215" s="191"/>
    </row>
    <row r="216" spans="1:59" ht="15" customHeight="1" thickBot="1" x14ac:dyDescent="0.3">
      <c r="A216" s="167"/>
      <c r="B216" s="195"/>
      <c r="C216" s="161"/>
      <c r="D216" s="160"/>
      <c r="E216" s="161"/>
      <c r="F216" s="165"/>
      <c r="G216" s="149"/>
      <c r="H216" s="149"/>
      <c r="I216" s="149"/>
      <c r="J216" s="149"/>
      <c r="K216" s="149"/>
      <c r="L216" s="166"/>
      <c r="M216" s="166"/>
      <c r="N216" s="166"/>
      <c r="O216" s="166"/>
      <c r="P216" s="166"/>
      <c r="Q216" s="166"/>
      <c r="R216" s="177"/>
      <c r="S216" s="149"/>
      <c r="T216" s="149"/>
      <c r="U216" s="149"/>
      <c r="V216" s="149"/>
      <c r="W216" s="149"/>
      <c r="X216" s="165"/>
      <c r="Y216" s="165"/>
      <c r="Z216" s="172"/>
      <c r="AA216" s="188"/>
      <c r="AB216" s="172"/>
      <c r="AC216" s="172"/>
      <c r="AD216" s="175"/>
      <c r="AE216" s="66" t="s">
        <v>154</v>
      </c>
      <c r="AF216" s="134"/>
      <c r="AG216" s="67"/>
      <c r="AH216" s="69"/>
      <c r="AI216" s="69"/>
      <c r="AJ216" s="69"/>
      <c r="AK216" s="69"/>
      <c r="AL216" s="69"/>
      <c r="AM216" s="81" t="str">
        <f>IFERROR((Tablas!$C$1*VLOOKUP(AH216, tipo_control, 2, 0)+Tablas!$E$1*VLOOKUP(AI216, nat_control, 2, 0)+Tablas!$G$1*VLOOKUP(AJ216, ev_control, 2, 0)+Tablas!$I$1*VLOOKUP(AK216, frec_control, 2, 0)+Tablas!$K$1*VLOOKUP(AL216, doc_control, 2, 0))*0.1*peso_dis, "")</f>
        <v/>
      </c>
      <c r="AN216" s="69"/>
      <c r="AO216" s="69"/>
      <c r="AP216" s="69"/>
      <c r="AQ216" s="81" t="str">
        <f>IFERROR((Tablas!$C$9*VLOOKUP(AN216, amb_control, 2, 0)+Tablas!$E$9*VLOOKUP(AO216, ejec_control, 2, 0)+Tablas!$G$9*VLOOKUP(AP216, cub_control, 2, 0))*0.1*peso_ejec, "")</f>
        <v/>
      </c>
      <c r="AR216" s="93" t="str">
        <f t="shared" si="347"/>
        <v/>
      </c>
      <c r="AS216" s="94" t="str">
        <f t="shared" si="350"/>
        <v/>
      </c>
      <c r="AT216" s="94" t="str">
        <f t="shared" si="351"/>
        <v/>
      </c>
      <c r="AU216" s="94" t="str">
        <f>IF(AR216&lt;Tablas!$G$19, 0, IF(AND(AR216&gt;=Tablas!$G$19, AR216&lt;Tablas!$G$20), 1,  IF(AND(AR216&gt;=Tablas!$G$20, AR216&lt;Tablas!$G$21), 2,  IF(AND(AR216&gt;=Tablas!$G$21, AR216&lt;=Tablas!$G$22), 3,  ""))))</f>
        <v/>
      </c>
      <c r="AV216" s="94" t="str">
        <f t="shared" si="348"/>
        <v/>
      </c>
      <c r="AW216" s="102" t="str">
        <f t="shared" si="349"/>
        <v/>
      </c>
      <c r="AX216" s="157"/>
      <c r="AY216" s="170"/>
      <c r="AZ216" s="179"/>
      <c r="BA216" s="170"/>
      <c r="BB216" s="182"/>
      <c r="BC216" s="182"/>
      <c r="BD216" s="185"/>
      <c r="BE216" s="185"/>
      <c r="BF216" s="159"/>
      <c r="BG216" s="191"/>
    </row>
    <row r="217" spans="1:59" ht="15" customHeight="1" x14ac:dyDescent="0.25">
      <c r="A217" s="167"/>
      <c r="B217" s="195"/>
      <c r="C217" s="161" t="s">
        <v>16</v>
      </c>
      <c r="D217" s="160"/>
      <c r="E217" s="149"/>
      <c r="F217" s="163" t="str">
        <f t="shared" si="333"/>
        <v/>
      </c>
      <c r="G217" s="148"/>
      <c r="H217" s="148"/>
      <c r="I217" s="148"/>
      <c r="J217" s="148"/>
      <c r="K217" s="148"/>
      <c r="L217" s="165" t="str">
        <f>IFERROR(VLOOKUP(G217, tabla02, 2, 0), "")</f>
        <v/>
      </c>
      <c r="M217" s="165" t="str">
        <f>IFERROR(VLOOKUP(H217, tabla02, 2, 0), "")</f>
        <v/>
      </c>
      <c r="N217" s="165" t="str">
        <f>IFERROR(VLOOKUP(I217, tabla02, 2, 0), "")</f>
        <v/>
      </c>
      <c r="O217" s="165" t="str">
        <f>IFERROR(VLOOKUP(J217, tabla02, 2, 0), "")</f>
        <v/>
      </c>
      <c r="P217" s="165" t="str">
        <f>IFERROR(VLOOKUP(K217, tabla02, 2, 0), "")</f>
        <v/>
      </c>
      <c r="Q217" s="165" t="str">
        <f t="shared" ref="Q217" si="357">IF(SUM(L217:P217)=0, "", MAX(L217:P217))</f>
        <v/>
      </c>
      <c r="R217" s="159" t="str">
        <f>IFERROR(VLOOKUP(Q217, tabla04, 3, 0), "")</f>
        <v/>
      </c>
      <c r="S217" s="148"/>
      <c r="T217" s="148"/>
      <c r="U217" s="148"/>
      <c r="V217" s="148"/>
      <c r="W217" s="148"/>
      <c r="X217" s="163" t="str">
        <f>IFERROR(VLOOKUP(CONCATENATE(F217, "-", Q217), cuadrante_sev, 3, 0), "")</f>
        <v/>
      </c>
      <c r="Y217" s="163" t="str">
        <f t="shared" ref="Y217" si="358">IFERROR(IF(X217="Baja", 1, IF(X217="Moderada", 2, IF(X217="Alta", 3, IF(X217="Extrema", 4, "")))), "")</f>
        <v/>
      </c>
      <c r="Z217" s="172"/>
      <c r="AA217" s="188"/>
      <c r="AB217" s="172"/>
      <c r="AC217" s="172"/>
      <c r="AD217" s="175"/>
      <c r="AE217" s="70" t="s">
        <v>113</v>
      </c>
      <c r="AF217" s="135"/>
      <c r="AG217" s="77"/>
      <c r="AH217" s="61"/>
      <c r="AI217" s="61"/>
      <c r="AJ217" s="61"/>
      <c r="AK217" s="61"/>
      <c r="AL217" s="61"/>
      <c r="AM217" s="82" t="str">
        <f>IFERROR((Tablas!$C$1*VLOOKUP(AH217, tipo_control, 2, 0)+Tablas!$E$1*VLOOKUP(AI217, nat_control, 2, 0)+Tablas!$G$1*VLOOKUP(AJ217, ev_control, 2, 0)+Tablas!$I$1*VLOOKUP(AK217, frec_control, 2, 0)+Tablas!$K$1*VLOOKUP(AL217, doc_control, 2, 0))*0.1*peso_dis, "")</f>
        <v/>
      </c>
      <c r="AN217" s="61"/>
      <c r="AO217" s="61"/>
      <c r="AP217" s="61"/>
      <c r="AQ217" s="82" t="str">
        <f>IFERROR((Tablas!$C$9*VLOOKUP(AN217, amb_control, 2, 0)+Tablas!$E$9*VLOOKUP(AO217, ejec_control, 2, 0)+Tablas!$G$9*VLOOKUP(AP217, cub_control, 2, 0))*0.1*peso_ejec, "")</f>
        <v/>
      </c>
      <c r="AR217" s="96" t="str">
        <f t="shared" si="347"/>
        <v/>
      </c>
      <c r="AS217" s="97" t="str">
        <f t="shared" si="350"/>
        <v/>
      </c>
      <c r="AT217" s="87" t="str">
        <f t="shared" si="351"/>
        <v/>
      </c>
      <c r="AU217" s="97" t="str">
        <f>IF(AR217&lt;Tablas!$G$19, 0, IF(AND(AR217&gt;=Tablas!$G$19, AR217&lt;Tablas!$G$20), 1,  IF(AND(AR217&gt;=Tablas!$G$20, AR217&lt;Tablas!$G$21), 2,  IF(AND(AR217&gt;=Tablas!$G$21, AR217&lt;=Tablas!$G$22), 3,  ""))))</f>
        <v/>
      </c>
      <c r="AV217" s="97" t="str">
        <f t="shared" si="348"/>
        <v/>
      </c>
      <c r="AW217" s="103" t="str">
        <f t="shared" si="349"/>
        <v/>
      </c>
      <c r="AX217" s="176" t="str">
        <f t="shared" ref="AX217" si="359">IFERROR(VLOOKUP(AY217, tabla04, 2, 0), "")</f>
        <v/>
      </c>
      <c r="AY217" s="168" t="str">
        <f>IF(F217="", "", IF((F217-MAX(AV217:AV221))&lt;=0, 1, F217-MAX(AV217:AV221)))</f>
        <v/>
      </c>
      <c r="AZ217" s="178" t="str">
        <f t="shared" ref="AZ217" si="360">IFERROR(VLOOKUP(BA217, tabla04, 3, 0), "")</f>
        <v/>
      </c>
      <c r="BA217" s="168" t="str">
        <f>IF(Q217="", "", IF((Q217-MAX(AW217:AW221))&lt;=0, 1, Q217-MAX(AW217:AW221)))</f>
        <v/>
      </c>
      <c r="BB217" s="182"/>
      <c r="BC217" s="182"/>
      <c r="BD217" s="185"/>
      <c r="BE217" s="185"/>
      <c r="BF217" s="158" t="str">
        <f t="shared" ref="BF217:BF219" si="361">IFERROR(VLOOKUP(CONCATENATE(AY217, "-", BA217), cuadrante_sev, 3, 0), "")</f>
        <v/>
      </c>
      <c r="BG217" s="191"/>
    </row>
    <row r="218" spans="1:59" ht="15" customHeight="1" x14ac:dyDescent="0.25">
      <c r="A218" s="167"/>
      <c r="B218" s="195"/>
      <c r="C218" s="161"/>
      <c r="D218" s="160"/>
      <c r="E218" s="161"/>
      <c r="F218" s="164"/>
      <c r="G218" s="167"/>
      <c r="H218" s="167"/>
      <c r="I218" s="167"/>
      <c r="J218" s="167"/>
      <c r="K218" s="167"/>
      <c r="L218" s="166"/>
      <c r="M218" s="166"/>
      <c r="N218" s="166"/>
      <c r="O218" s="166"/>
      <c r="P218" s="166"/>
      <c r="Q218" s="166"/>
      <c r="R218" s="177"/>
      <c r="S218" s="167"/>
      <c r="T218" s="167"/>
      <c r="U218" s="167"/>
      <c r="V218" s="167"/>
      <c r="W218" s="167"/>
      <c r="X218" s="164"/>
      <c r="Y218" s="164"/>
      <c r="Z218" s="172"/>
      <c r="AA218" s="188"/>
      <c r="AB218" s="172"/>
      <c r="AC218" s="172"/>
      <c r="AD218" s="175"/>
      <c r="AE218" s="62" t="s">
        <v>114</v>
      </c>
      <c r="AF218" s="133"/>
      <c r="AG218" s="65"/>
      <c r="AH218" s="64"/>
      <c r="AI218" s="64"/>
      <c r="AJ218" s="64"/>
      <c r="AK218" s="64"/>
      <c r="AL218" s="64"/>
      <c r="AM218" s="80" t="str">
        <f>IFERROR((Tablas!$C$1*VLOOKUP(AH218, tipo_control, 2, 0)+Tablas!$E$1*VLOOKUP(AI218, nat_control, 2, 0)+Tablas!$G$1*VLOOKUP(AJ218, ev_control, 2, 0)+Tablas!$I$1*VLOOKUP(AK218, frec_control, 2, 0)+Tablas!$K$1*VLOOKUP(AL218, doc_control, 2, 0))*0.1*peso_dis, "")</f>
        <v/>
      </c>
      <c r="AN218" s="64"/>
      <c r="AO218" s="64"/>
      <c r="AP218" s="64"/>
      <c r="AQ218" s="80" t="str">
        <f>IFERROR((Tablas!$C$9*VLOOKUP(AN218, amb_control, 2, 0)+Tablas!$E$9*VLOOKUP(AO218, ejec_control, 2, 0)+Tablas!$G$9*VLOOKUP(AP218, cub_control, 2, 0))*0.1*peso_ejec, "")</f>
        <v/>
      </c>
      <c r="AR218" s="91" t="str">
        <f t="shared" si="347"/>
        <v/>
      </c>
      <c r="AS218" s="85" t="str">
        <f t="shared" si="350"/>
        <v/>
      </c>
      <c r="AT218" s="85" t="str">
        <f t="shared" si="351"/>
        <v/>
      </c>
      <c r="AU218" s="85" t="str">
        <f>IF(AR218&lt;Tablas!$G$19, 0, IF(AND(AR218&gt;=Tablas!$G$19, AR218&lt;Tablas!$G$20), 1,  IF(AND(AR218&gt;=Tablas!$G$20, AR218&lt;Tablas!$G$21), 2,  IF(AND(AR218&gt;=Tablas!$G$21, AR218&lt;=Tablas!$G$22), 3,  ""))))</f>
        <v/>
      </c>
      <c r="AV218" s="85" t="str">
        <f t="shared" si="348"/>
        <v/>
      </c>
      <c r="AW218" s="101" t="str">
        <f t="shared" si="349"/>
        <v/>
      </c>
      <c r="AX218" s="177"/>
      <c r="AY218" s="169"/>
      <c r="AZ218" s="158"/>
      <c r="BA218" s="169"/>
      <c r="BB218" s="182"/>
      <c r="BC218" s="182"/>
      <c r="BD218" s="185"/>
      <c r="BE218" s="185"/>
      <c r="BF218" s="158" t="str">
        <f t="shared" si="361"/>
        <v/>
      </c>
      <c r="BG218" s="191"/>
    </row>
    <row r="219" spans="1:59" ht="15" customHeight="1" x14ac:dyDescent="0.25">
      <c r="A219" s="167"/>
      <c r="B219" s="195"/>
      <c r="C219" s="161"/>
      <c r="D219" s="160"/>
      <c r="E219" s="161"/>
      <c r="F219" s="164"/>
      <c r="G219" s="167"/>
      <c r="H219" s="167"/>
      <c r="I219" s="167"/>
      <c r="J219" s="167"/>
      <c r="K219" s="167"/>
      <c r="L219" s="166"/>
      <c r="M219" s="166"/>
      <c r="N219" s="166"/>
      <c r="O219" s="166"/>
      <c r="P219" s="166"/>
      <c r="Q219" s="166"/>
      <c r="R219" s="177"/>
      <c r="S219" s="167"/>
      <c r="T219" s="167"/>
      <c r="U219" s="167"/>
      <c r="V219" s="167"/>
      <c r="W219" s="167"/>
      <c r="X219" s="164"/>
      <c r="Y219" s="164"/>
      <c r="Z219" s="172"/>
      <c r="AA219" s="188"/>
      <c r="AB219" s="172"/>
      <c r="AC219" s="172"/>
      <c r="AD219" s="175"/>
      <c r="AE219" s="62" t="s">
        <v>115</v>
      </c>
      <c r="AF219" s="133"/>
      <c r="AG219" s="65"/>
      <c r="AH219" s="64"/>
      <c r="AI219" s="64"/>
      <c r="AJ219" s="64"/>
      <c r="AK219" s="64"/>
      <c r="AL219" s="64"/>
      <c r="AM219" s="80" t="str">
        <f>IFERROR((Tablas!$C$1*VLOOKUP(AH219, tipo_control, 2, 0)+Tablas!$E$1*VLOOKUP(AI219, nat_control, 2, 0)+Tablas!$G$1*VLOOKUP(AJ219, ev_control, 2, 0)+Tablas!$I$1*VLOOKUP(AK219, frec_control, 2, 0)+Tablas!$K$1*VLOOKUP(AL219, doc_control, 2, 0))*0.1*peso_dis, "")</f>
        <v/>
      </c>
      <c r="AN219" s="64"/>
      <c r="AO219" s="64"/>
      <c r="AP219" s="64"/>
      <c r="AQ219" s="80" t="str">
        <f>IFERROR((Tablas!$C$9*VLOOKUP(AN219, amb_control, 2, 0)+Tablas!$E$9*VLOOKUP(AO219, ejec_control, 2, 0)+Tablas!$G$9*VLOOKUP(AP219, cub_control, 2, 0))*0.1*peso_ejec, "")</f>
        <v/>
      </c>
      <c r="AR219" s="91" t="str">
        <f t="shared" si="347"/>
        <v/>
      </c>
      <c r="AS219" s="85" t="str">
        <f t="shared" si="350"/>
        <v/>
      </c>
      <c r="AT219" s="85" t="str">
        <f t="shared" si="351"/>
        <v/>
      </c>
      <c r="AU219" s="85" t="str">
        <f>IF(AR219&lt;Tablas!$G$19, 0, IF(AND(AR219&gt;=Tablas!$G$19, AR219&lt;Tablas!$G$20), 1,  IF(AND(AR219&gt;=Tablas!$G$20, AR219&lt;Tablas!$G$21), 2,  IF(AND(AR219&gt;=Tablas!$G$21, AR219&lt;=Tablas!$G$22), 3,  ""))))</f>
        <v/>
      </c>
      <c r="AV219" s="85" t="str">
        <f t="shared" si="348"/>
        <v/>
      </c>
      <c r="AW219" s="101" t="str">
        <f t="shared" si="349"/>
        <v/>
      </c>
      <c r="AX219" s="177"/>
      <c r="AY219" s="169"/>
      <c r="AZ219" s="158"/>
      <c r="BA219" s="169"/>
      <c r="BB219" s="182"/>
      <c r="BC219" s="182"/>
      <c r="BD219" s="185"/>
      <c r="BE219" s="185"/>
      <c r="BF219" s="158" t="str">
        <f t="shared" si="361"/>
        <v/>
      </c>
      <c r="BG219" s="191"/>
    </row>
    <row r="220" spans="1:59" ht="15" customHeight="1" x14ac:dyDescent="0.25">
      <c r="A220" s="167"/>
      <c r="B220" s="195"/>
      <c r="C220" s="161"/>
      <c r="D220" s="160"/>
      <c r="E220" s="161"/>
      <c r="F220" s="164"/>
      <c r="G220" s="167"/>
      <c r="H220" s="167"/>
      <c r="I220" s="167"/>
      <c r="J220" s="167"/>
      <c r="K220" s="167"/>
      <c r="L220" s="166"/>
      <c r="M220" s="166"/>
      <c r="N220" s="166"/>
      <c r="O220" s="166"/>
      <c r="P220" s="166"/>
      <c r="Q220" s="166"/>
      <c r="R220" s="177"/>
      <c r="S220" s="167"/>
      <c r="T220" s="167"/>
      <c r="U220" s="167"/>
      <c r="V220" s="167"/>
      <c r="W220" s="167"/>
      <c r="X220" s="164"/>
      <c r="Y220" s="164"/>
      <c r="Z220" s="172"/>
      <c r="AA220" s="188"/>
      <c r="AB220" s="172"/>
      <c r="AC220" s="172"/>
      <c r="AD220" s="175"/>
      <c r="AE220" s="62" t="s">
        <v>153</v>
      </c>
      <c r="AF220" s="133"/>
      <c r="AG220" s="65"/>
      <c r="AH220" s="64"/>
      <c r="AI220" s="64"/>
      <c r="AJ220" s="64"/>
      <c r="AK220" s="64"/>
      <c r="AL220" s="64"/>
      <c r="AM220" s="80" t="str">
        <f>IFERROR((Tablas!$C$1*VLOOKUP(AH220, tipo_control, 2, 0)+Tablas!$E$1*VLOOKUP(AI220, nat_control, 2, 0)+Tablas!$G$1*VLOOKUP(AJ220, ev_control, 2, 0)+Tablas!$I$1*VLOOKUP(AK220, frec_control, 2, 0)+Tablas!$K$1*VLOOKUP(AL220, doc_control, 2, 0))*0.1*peso_dis, "")</f>
        <v/>
      </c>
      <c r="AN220" s="64"/>
      <c r="AO220" s="64"/>
      <c r="AP220" s="64"/>
      <c r="AQ220" s="80" t="str">
        <f>IFERROR((Tablas!$C$9*VLOOKUP(AN220, amb_control, 2, 0)+Tablas!$E$9*VLOOKUP(AO220, ejec_control, 2, 0)+Tablas!$G$9*VLOOKUP(AP220, cub_control, 2, 0))*0.1*peso_ejec, "")</f>
        <v/>
      </c>
      <c r="AR220" s="91" t="str">
        <f t="shared" si="347"/>
        <v/>
      </c>
      <c r="AS220" s="85" t="str">
        <f t="shared" si="350"/>
        <v/>
      </c>
      <c r="AT220" s="85" t="str">
        <f t="shared" si="351"/>
        <v/>
      </c>
      <c r="AU220" s="85" t="str">
        <f>IF(AR220&lt;Tablas!$G$19, 0, IF(AND(AR220&gt;=Tablas!$G$19, AR220&lt;Tablas!$G$20), 1,  IF(AND(AR220&gt;=Tablas!$G$20, AR220&lt;Tablas!$G$21), 2,  IF(AND(AR220&gt;=Tablas!$G$21, AR220&lt;=Tablas!$G$22), 3,  ""))))</f>
        <v/>
      </c>
      <c r="AV220" s="85" t="str">
        <f t="shared" si="348"/>
        <v/>
      </c>
      <c r="AW220" s="101" t="str">
        <f t="shared" si="349"/>
        <v/>
      </c>
      <c r="AX220" s="177"/>
      <c r="AY220" s="169"/>
      <c r="AZ220" s="158"/>
      <c r="BA220" s="169"/>
      <c r="BB220" s="182"/>
      <c r="BC220" s="182"/>
      <c r="BD220" s="185"/>
      <c r="BE220" s="185"/>
      <c r="BF220" s="158"/>
      <c r="BG220" s="191"/>
    </row>
    <row r="221" spans="1:59" ht="15" customHeight="1" thickBot="1" x14ac:dyDescent="0.3">
      <c r="A221" s="167"/>
      <c r="B221" s="195"/>
      <c r="C221" s="161"/>
      <c r="D221" s="160"/>
      <c r="E221" s="161"/>
      <c r="F221" s="165"/>
      <c r="G221" s="149"/>
      <c r="H221" s="149"/>
      <c r="I221" s="149"/>
      <c r="J221" s="149"/>
      <c r="K221" s="149"/>
      <c r="L221" s="166"/>
      <c r="M221" s="166"/>
      <c r="N221" s="166"/>
      <c r="O221" s="166"/>
      <c r="P221" s="166"/>
      <c r="Q221" s="166"/>
      <c r="R221" s="177"/>
      <c r="S221" s="149"/>
      <c r="T221" s="149"/>
      <c r="U221" s="149"/>
      <c r="V221" s="149"/>
      <c r="W221" s="149"/>
      <c r="X221" s="165"/>
      <c r="Y221" s="165"/>
      <c r="Z221" s="172"/>
      <c r="AA221" s="188"/>
      <c r="AB221" s="172"/>
      <c r="AC221" s="172"/>
      <c r="AD221" s="175"/>
      <c r="AE221" s="66" t="s">
        <v>154</v>
      </c>
      <c r="AF221" s="134"/>
      <c r="AG221" s="67"/>
      <c r="AH221" s="69"/>
      <c r="AI221" s="69"/>
      <c r="AJ221" s="69"/>
      <c r="AK221" s="69"/>
      <c r="AL221" s="69"/>
      <c r="AM221" s="81" t="str">
        <f>IFERROR((Tablas!$C$1*VLOOKUP(AH221, tipo_control, 2, 0)+Tablas!$E$1*VLOOKUP(AI221, nat_control, 2, 0)+Tablas!$G$1*VLOOKUP(AJ221, ev_control, 2, 0)+Tablas!$I$1*VLOOKUP(AK221, frec_control, 2, 0)+Tablas!$K$1*VLOOKUP(AL221, doc_control, 2, 0))*0.1*peso_dis, "")</f>
        <v/>
      </c>
      <c r="AN221" s="69"/>
      <c r="AO221" s="69"/>
      <c r="AP221" s="69"/>
      <c r="AQ221" s="81" t="str">
        <f>IFERROR((Tablas!$C$9*VLOOKUP(AN221, amb_control, 2, 0)+Tablas!$E$9*VLOOKUP(AO221, ejec_control, 2, 0)+Tablas!$G$9*VLOOKUP(AP221, cub_control, 2, 0))*0.1*peso_ejec, "")</f>
        <v/>
      </c>
      <c r="AR221" s="93" t="str">
        <f t="shared" si="347"/>
        <v/>
      </c>
      <c r="AS221" s="94" t="str">
        <f t="shared" si="350"/>
        <v/>
      </c>
      <c r="AT221" s="94" t="str">
        <f t="shared" si="351"/>
        <v/>
      </c>
      <c r="AU221" s="94" t="str">
        <f>IF(AR221&lt;Tablas!$G$19, 0, IF(AND(AR221&gt;=Tablas!$G$19, AR221&lt;Tablas!$G$20), 1,  IF(AND(AR221&gt;=Tablas!$G$20, AR221&lt;Tablas!$G$21), 2,  IF(AND(AR221&gt;=Tablas!$G$21, AR221&lt;=Tablas!$G$22), 3,  ""))))</f>
        <v/>
      </c>
      <c r="AV221" s="94" t="str">
        <f t="shared" si="348"/>
        <v/>
      </c>
      <c r="AW221" s="102" t="str">
        <f t="shared" si="349"/>
        <v/>
      </c>
      <c r="AX221" s="157"/>
      <c r="AY221" s="170"/>
      <c r="AZ221" s="179"/>
      <c r="BA221" s="170"/>
      <c r="BB221" s="182"/>
      <c r="BC221" s="182"/>
      <c r="BD221" s="185"/>
      <c r="BE221" s="185"/>
      <c r="BF221" s="159"/>
      <c r="BG221" s="191"/>
    </row>
    <row r="222" spans="1:59" ht="15" customHeight="1" x14ac:dyDescent="0.25">
      <c r="A222" s="167"/>
      <c r="B222" s="195"/>
      <c r="C222" s="161" t="s">
        <v>18</v>
      </c>
      <c r="D222" s="160"/>
      <c r="E222" s="149"/>
      <c r="F222" s="163" t="str">
        <f t="shared" si="333"/>
        <v/>
      </c>
      <c r="G222" s="148"/>
      <c r="H222" s="148"/>
      <c r="I222" s="148"/>
      <c r="J222" s="148"/>
      <c r="K222" s="148"/>
      <c r="L222" s="165" t="str">
        <f t="shared" ref="L222" si="362">IFERROR(VLOOKUP(G222, tabla02, 2, 0), "")</f>
        <v/>
      </c>
      <c r="M222" s="165" t="str">
        <f t="shared" ref="M222" si="363">IFERROR(VLOOKUP(H222, tabla02, 2, 0), "")</f>
        <v/>
      </c>
      <c r="N222" s="165" t="str">
        <f t="shared" ref="N222" si="364">IFERROR(VLOOKUP(I222, tabla02, 2, 0), "")</f>
        <v/>
      </c>
      <c r="O222" s="165" t="str">
        <f t="shared" ref="O222" si="365">IFERROR(VLOOKUP(J222, tabla02, 2, 0), "")</f>
        <v/>
      </c>
      <c r="P222" s="165" t="str">
        <f t="shared" ref="P222" si="366">IFERROR(VLOOKUP(K222, tabla02, 2, 0), "")</f>
        <v/>
      </c>
      <c r="Q222" s="165" t="str">
        <f t="shared" ref="Q222" si="367">IF(SUM(L222:P222)=0, "", MAX(L222:P222))</f>
        <v/>
      </c>
      <c r="R222" s="159" t="str">
        <f>IFERROR(VLOOKUP(Q222, tabla04, 3, 0), "")</f>
        <v/>
      </c>
      <c r="S222" s="148"/>
      <c r="T222" s="148"/>
      <c r="U222" s="148"/>
      <c r="V222" s="148"/>
      <c r="W222" s="148"/>
      <c r="X222" s="163" t="str">
        <f>IFERROR(VLOOKUP(CONCATENATE(F222, "-", Q222), cuadrante_sev, 3, 0), "")</f>
        <v/>
      </c>
      <c r="Y222" s="163" t="str">
        <f t="shared" ref="Y222" si="368">IFERROR(IF(X222="Baja", 1, IF(X222="Moderada", 2, IF(X222="Alta", 3, IF(X222="Extrema", 4, "")))), "")</f>
        <v/>
      </c>
      <c r="Z222" s="172"/>
      <c r="AA222" s="188"/>
      <c r="AB222" s="172"/>
      <c r="AC222" s="172"/>
      <c r="AD222" s="175"/>
      <c r="AE222" s="70" t="s">
        <v>113</v>
      </c>
      <c r="AF222" s="135"/>
      <c r="AG222" s="77"/>
      <c r="AH222" s="61"/>
      <c r="AI222" s="61"/>
      <c r="AJ222" s="61"/>
      <c r="AK222" s="61"/>
      <c r="AL222" s="61"/>
      <c r="AM222" s="82" t="str">
        <f>IFERROR((Tablas!$C$1*VLOOKUP(AH222, tipo_control, 2, 0)+Tablas!$E$1*VLOOKUP(AI222, nat_control, 2, 0)+Tablas!$G$1*VLOOKUP(AJ222, ev_control, 2, 0)+Tablas!$I$1*VLOOKUP(AK222, frec_control, 2, 0)+Tablas!$K$1*VLOOKUP(AL222, doc_control, 2, 0))*0.1*peso_dis, "")</f>
        <v/>
      </c>
      <c r="AN222" s="61"/>
      <c r="AO222" s="61"/>
      <c r="AP222" s="61"/>
      <c r="AQ222" s="82" t="str">
        <f>IFERROR((Tablas!$C$9*VLOOKUP(AN222, amb_control, 2, 0)+Tablas!$E$9*VLOOKUP(AO222, ejec_control, 2, 0)+Tablas!$G$9*VLOOKUP(AP222, cub_control, 2, 0))*0.1*peso_ejec, "")</f>
        <v/>
      </c>
      <c r="AR222" s="96" t="str">
        <f t="shared" si="347"/>
        <v/>
      </c>
      <c r="AS222" s="97" t="str">
        <f t="shared" si="350"/>
        <v/>
      </c>
      <c r="AT222" s="87" t="str">
        <f t="shared" si="351"/>
        <v/>
      </c>
      <c r="AU222" s="97" t="str">
        <f>IF(AR222&lt;Tablas!$G$19, 0, IF(AND(AR222&gt;=Tablas!$G$19, AR222&lt;Tablas!$G$20), 1,  IF(AND(AR222&gt;=Tablas!$G$20, AR222&lt;Tablas!$G$21), 2,  IF(AND(AR222&gt;=Tablas!$G$21, AR222&lt;=Tablas!$G$22), 3,  ""))))</f>
        <v/>
      </c>
      <c r="AV222" s="97" t="str">
        <f t="shared" si="348"/>
        <v/>
      </c>
      <c r="AW222" s="103" t="str">
        <f t="shared" si="349"/>
        <v/>
      </c>
      <c r="AX222" s="176" t="str">
        <f t="shared" ref="AX222" si="369">IFERROR(VLOOKUP(AY222, tabla04, 2, 0), "")</f>
        <v/>
      </c>
      <c r="AY222" s="168" t="str">
        <f>IF(F222="", "", IF((F222-MAX(AV222:AV226))&lt;=0, 1, F222-MAX(AV222:AV226)))</f>
        <v/>
      </c>
      <c r="AZ222" s="178" t="str">
        <f t="shared" ref="AZ222" si="370">IFERROR(VLOOKUP(BA222, tabla04, 3, 0), "")</f>
        <v/>
      </c>
      <c r="BA222" s="168" t="str">
        <f>IF(Q222="", "", IF((Q222-MAX(AW222:AW226))&lt;=0, 1, Q222-MAX(AW222:AW226)))</f>
        <v/>
      </c>
      <c r="BB222" s="182"/>
      <c r="BC222" s="182"/>
      <c r="BD222" s="185"/>
      <c r="BE222" s="185"/>
      <c r="BF222" s="158" t="str">
        <f t="shared" ref="BF222:BF224" si="371">IFERROR(VLOOKUP(CONCATENATE(AY222, "-", BA222), cuadrante_sev, 3, 0), "")</f>
        <v/>
      </c>
      <c r="BG222" s="191"/>
    </row>
    <row r="223" spans="1:59" ht="15" customHeight="1" x14ac:dyDescent="0.25">
      <c r="A223" s="167"/>
      <c r="B223" s="195"/>
      <c r="C223" s="161"/>
      <c r="D223" s="160"/>
      <c r="E223" s="161"/>
      <c r="F223" s="164"/>
      <c r="G223" s="167"/>
      <c r="H223" s="167"/>
      <c r="I223" s="167"/>
      <c r="J223" s="167"/>
      <c r="K223" s="167"/>
      <c r="L223" s="166"/>
      <c r="M223" s="166"/>
      <c r="N223" s="166"/>
      <c r="O223" s="166"/>
      <c r="P223" s="166"/>
      <c r="Q223" s="166"/>
      <c r="R223" s="177"/>
      <c r="S223" s="167"/>
      <c r="T223" s="167"/>
      <c r="U223" s="167"/>
      <c r="V223" s="167"/>
      <c r="W223" s="167"/>
      <c r="X223" s="164"/>
      <c r="Y223" s="164"/>
      <c r="Z223" s="172"/>
      <c r="AA223" s="188"/>
      <c r="AB223" s="172"/>
      <c r="AC223" s="172"/>
      <c r="AD223" s="175"/>
      <c r="AE223" s="62" t="s">
        <v>114</v>
      </c>
      <c r="AF223" s="133"/>
      <c r="AG223" s="65"/>
      <c r="AH223" s="64"/>
      <c r="AI223" s="64"/>
      <c r="AJ223" s="64"/>
      <c r="AK223" s="64"/>
      <c r="AL223" s="64"/>
      <c r="AM223" s="80" t="str">
        <f>IFERROR((Tablas!$C$1*VLOOKUP(AH223, tipo_control, 2, 0)+Tablas!$E$1*VLOOKUP(AI223, nat_control, 2, 0)+Tablas!$G$1*VLOOKUP(AJ223, ev_control, 2, 0)+Tablas!$I$1*VLOOKUP(AK223, frec_control, 2, 0)+Tablas!$K$1*VLOOKUP(AL223, doc_control, 2, 0))*0.1*peso_dis, "")</f>
        <v/>
      </c>
      <c r="AN223" s="64"/>
      <c r="AO223" s="64"/>
      <c r="AP223" s="64"/>
      <c r="AQ223" s="80" t="str">
        <f>IFERROR((Tablas!$C$9*VLOOKUP(AN223, amb_control, 2, 0)+Tablas!$E$9*VLOOKUP(AO223, ejec_control, 2, 0)+Tablas!$G$9*VLOOKUP(AP223, cub_control, 2, 0))*0.1*peso_ejec, "")</f>
        <v/>
      </c>
      <c r="AR223" s="91" t="str">
        <f t="shared" si="347"/>
        <v/>
      </c>
      <c r="AS223" s="85" t="str">
        <f t="shared" si="350"/>
        <v/>
      </c>
      <c r="AT223" s="85" t="str">
        <f t="shared" si="351"/>
        <v/>
      </c>
      <c r="AU223" s="85" t="str">
        <f>IF(AR223&lt;Tablas!$G$19, 0, IF(AND(AR223&gt;=Tablas!$G$19, AR223&lt;Tablas!$G$20), 1,  IF(AND(AR223&gt;=Tablas!$G$20, AR223&lt;Tablas!$G$21), 2,  IF(AND(AR223&gt;=Tablas!$G$21, AR223&lt;=Tablas!$G$22), 3,  ""))))</f>
        <v/>
      </c>
      <c r="AV223" s="85" t="str">
        <f t="shared" si="348"/>
        <v/>
      </c>
      <c r="AW223" s="101" t="str">
        <f t="shared" si="349"/>
        <v/>
      </c>
      <c r="AX223" s="177"/>
      <c r="AY223" s="169"/>
      <c r="AZ223" s="158"/>
      <c r="BA223" s="169"/>
      <c r="BB223" s="182"/>
      <c r="BC223" s="182"/>
      <c r="BD223" s="185"/>
      <c r="BE223" s="185"/>
      <c r="BF223" s="158" t="str">
        <f t="shared" si="371"/>
        <v/>
      </c>
      <c r="BG223" s="191"/>
    </row>
    <row r="224" spans="1:59" ht="15" customHeight="1" x14ac:dyDescent="0.25">
      <c r="A224" s="167"/>
      <c r="B224" s="195"/>
      <c r="C224" s="161"/>
      <c r="D224" s="160"/>
      <c r="E224" s="161"/>
      <c r="F224" s="164"/>
      <c r="G224" s="167"/>
      <c r="H224" s="167"/>
      <c r="I224" s="167"/>
      <c r="J224" s="167"/>
      <c r="K224" s="167"/>
      <c r="L224" s="166"/>
      <c r="M224" s="166"/>
      <c r="N224" s="166"/>
      <c r="O224" s="166"/>
      <c r="P224" s="166"/>
      <c r="Q224" s="166"/>
      <c r="R224" s="177"/>
      <c r="S224" s="167"/>
      <c r="T224" s="167"/>
      <c r="U224" s="167"/>
      <c r="V224" s="167"/>
      <c r="W224" s="167"/>
      <c r="X224" s="164"/>
      <c r="Y224" s="164"/>
      <c r="Z224" s="172"/>
      <c r="AA224" s="188"/>
      <c r="AB224" s="172"/>
      <c r="AC224" s="172"/>
      <c r="AD224" s="175"/>
      <c r="AE224" s="62" t="s">
        <v>115</v>
      </c>
      <c r="AF224" s="133"/>
      <c r="AG224" s="65"/>
      <c r="AH224" s="64"/>
      <c r="AI224" s="64"/>
      <c r="AJ224" s="64"/>
      <c r="AK224" s="64"/>
      <c r="AL224" s="64"/>
      <c r="AM224" s="80" t="str">
        <f>IFERROR((Tablas!$C$1*VLOOKUP(AH224, tipo_control, 2, 0)+Tablas!$E$1*VLOOKUP(AI224, nat_control, 2, 0)+Tablas!$G$1*VLOOKUP(AJ224, ev_control, 2, 0)+Tablas!$I$1*VLOOKUP(AK224, frec_control, 2, 0)+Tablas!$K$1*VLOOKUP(AL224, doc_control, 2, 0))*0.1*peso_dis, "")</f>
        <v/>
      </c>
      <c r="AN224" s="64"/>
      <c r="AO224" s="64"/>
      <c r="AP224" s="64"/>
      <c r="AQ224" s="80" t="str">
        <f>IFERROR((Tablas!$C$9*VLOOKUP(AN224, amb_control, 2, 0)+Tablas!$E$9*VLOOKUP(AO224, ejec_control, 2, 0)+Tablas!$G$9*VLOOKUP(AP224, cub_control, 2, 0))*0.1*peso_ejec, "")</f>
        <v/>
      </c>
      <c r="AR224" s="91" t="str">
        <f t="shared" si="347"/>
        <v/>
      </c>
      <c r="AS224" s="85" t="str">
        <f t="shared" si="350"/>
        <v/>
      </c>
      <c r="AT224" s="85" t="str">
        <f t="shared" si="351"/>
        <v/>
      </c>
      <c r="AU224" s="85" t="str">
        <f>IF(AR224&lt;Tablas!$G$19, 0, IF(AND(AR224&gt;=Tablas!$G$19, AR224&lt;Tablas!$G$20), 1,  IF(AND(AR224&gt;=Tablas!$G$20, AR224&lt;Tablas!$G$21), 2,  IF(AND(AR224&gt;=Tablas!$G$21, AR224&lt;=Tablas!$G$22), 3,  ""))))</f>
        <v/>
      </c>
      <c r="AV224" s="85" t="str">
        <f t="shared" si="348"/>
        <v/>
      </c>
      <c r="AW224" s="101" t="str">
        <f t="shared" si="349"/>
        <v/>
      </c>
      <c r="AX224" s="177"/>
      <c r="AY224" s="169"/>
      <c r="AZ224" s="158"/>
      <c r="BA224" s="169"/>
      <c r="BB224" s="182"/>
      <c r="BC224" s="182"/>
      <c r="BD224" s="185"/>
      <c r="BE224" s="185"/>
      <c r="BF224" s="158" t="str">
        <f t="shared" si="371"/>
        <v/>
      </c>
      <c r="BG224" s="191"/>
    </row>
    <row r="225" spans="1:59" ht="15" customHeight="1" x14ac:dyDescent="0.25">
      <c r="A225" s="167"/>
      <c r="B225" s="195"/>
      <c r="C225" s="161"/>
      <c r="D225" s="160"/>
      <c r="E225" s="161"/>
      <c r="F225" s="164"/>
      <c r="G225" s="167"/>
      <c r="H225" s="167"/>
      <c r="I225" s="167"/>
      <c r="J225" s="167"/>
      <c r="K225" s="167"/>
      <c r="L225" s="166"/>
      <c r="M225" s="166"/>
      <c r="N225" s="166"/>
      <c r="O225" s="166"/>
      <c r="P225" s="166"/>
      <c r="Q225" s="166"/>
      <c r="R225" s="177"/>
      <c r="S225" s="167"/>
      <c r="T225" s="167"/>
      <c r="U225" s="167"/>
      <c r="V225" s="167"/>
      <c r="W225" s="167"/>
      <c r="X225" s="164"/>
      <c r="Y225" s="164"/>
      <c r="Z225" s="172"/>
      <c r="AA225" s="188"/>
      <c r="AB225" s="172"/>
      <c r="AC225" s="172"/>
      <c r="AD225" s="175"/>
      <c r="AE225" s="62" t="s">
        <v>153</v>
      </c>
      <c r="AF225" s="133"/>
      <c r="AG225" s="65"/>
      <c r="AH225" s="64"/>
      <c r="AI225" s="64"/>
      <c r="AJ225" s="64"/>
      <c r="AK225" s="64"/>
      <c r="AL225" s="64"/>
      <c r="AM225" s="80" t="str">
        <f>IFERROR((Tablas!$C$1*VLOOKUP(AH225, tipo_control, 2, 0)+Tablas!$E$1*VLOOKUP(AI225, nat_control, 2, 0)+Tablas!$G$1*VLOOKUP(AJ225, ev_control, 2, 0)+Tablas!$I$1*VLOOKUP(AK225, frec_control, 2, 0)+Tablas!$K$1*VLOOKUP(AL225, doc_control, 2, 0))*0.1*peso_dis, "")</f>
        <v/>
      </c>
      <c r="AN225" s="64"/>
      <c r="AO225" s="64"/>
      <c r="AP225" s="64"/>
      <c r="AQ225" s="80" t="str">
        <f>IFERROR((Tablas!$C$9*VLOOKUP(AN225, amb_control, 2, 0)+Tablas!$E$9*VLOOKUP(AO225, ejec_control, 2, 0)+Tablas!$G$9*VLOOKUP(AP225, cub_control, 2, 0))*0.1*peso_ejec, "")</f>
        <v/>
      </c>
      <c r="AR225" s="91" t="str">
        <f t="shared" si="347"/>
        <v/>
      </c>
      <c r="AS225" s="85" t="str">
        <f t="shared" si="350"/>
        <v/>
      </c>
      <c r="AT225" s="85" t="str">
        <f t="shared" si="351"/>
        <v/>
      </c>
      <c r="AU225" s="85" t="str">
        <f>IF(AR225&lt;Tablas!$G$19, 0, IF(AND(AR225&gt;=Tablas!$G$19, AR225&lt;Tablas!$G$20), 1,  IF(AND(AR225&gt;=Tablas!$G$20, AR225&lt;Tablas!$G$21), 2,  IF(AND(AR225&gt;=Tablas!$G$21, AR225&lt;=Tablas!$G$22), 3,  ""))))</f>
        <v/>
      </c>
      <c r="AV225" s="85" t="str">
        <f t="shared" si="348"/>
        <v/>
      </c>
      <c r="AW225" s="101" t="str">
        <f t="shared" si="349"/>
        <v/>
      </c>
      <c r="AX225" s="177"/>
      <c r="AY225" s="169"/>
      <c r="AZ225" s="158"/>
      <c r="BA225" s="169"/>
      <c r="BB225" s="182"/>
      <c r="BC225" s="182"/>
      <c r="BD225" s="185"/>
      <c r="BE225" s="185"/>
      <c r="BF225" s="158"/>
      <c r="BG225" s="191"/>
    </row>
    <row r="226" spans="1:59" ht="15" customHeight="1" thickBot="1" x14ac:dyDescent="0.3">
      <c r="A226" s="167"/>
      <c r="B226" s="195"/>
      <c r="C226" s="161"/>
      <c r="D226" s="160"/>
      <c r="E226" s="161"/>
      <c r="F226" s="165"/>
      <c r="G226" s="149"/>
      <c r="H226" s="149"/>
      <c r="I226" s="149"/>
      <c r="J226" s="149"/>
      <c r="K226" s="149"/>
      <c r="L226" s="166"/>
      <c r="M226" s="166"/>
      <c r="N226" s="166"/>
      <c r="O226" s="166"/>
      <c r="P226" s="166"/>
      <c r="Q226" s="166"/>
      <c r="R226" s="177"/>
      <c r="S226" s="149"/>
      <c r="T226" s="149"/>
      <c r="U226" s="149"/>
      <c r="V226" s="149"/>
      <c r="W226" s="149"/>
      <c r="X226" s="165"/>
      <c r="Y226" s="165"/>
      <c r="Z226" s="172"/>
      <c r="AA226" s="188"/>
      <c r="AB226" s="172"/>
      <c r="AC226" s="172"/>
      <c r="AD226" s="175"/>
      <c r="AE226" s="66" t="s">
        <v>154</v>
      </c>
      <c r="AF226" s="134"/>
      <c r="AG226" s="67"/>
      <c r="AH226" s="69"/>
      <c r="AI226" s="69"/>
      <c r="AJ226" s="69"/>
      <c r="AK226" s="69"/>
      <c r="AL226" s="69"/>
      <c r="AM226" s="81" t="str">
        <f>IFERROR((Tablas!$C$1*VLOOKUP(AH226, tipo_control, 2, 0)+Tablas!$E$1*VLOOKUP(AI226, nat_control, 2, 0)+Tablas!$G$1*VLOOKUP(AJ226, ev_control, 2, 0)+Tablas!$I$1*VLOOKUP(AK226, frec_control, 2, 0)+Tablas!$K$1*VLOOKUP(AL226, doc_control, 2, 0))*0.1*peso_dis, "")</f>
        <v/>
      </c>
      <c r="AN226" s="69"/>
      <c r="AO226" s="69"/>
      <c r="AP226" s="69"/>
      <c r="AQ226" s="81" t="str">
        <f>IFERROR((Tablas!$C$9*VLOOKUP(AN226, amb_control, 2, 0)+Tablas!$E$9*VLOOKUP(AO226, ejec_control, 2, 0)+Tablas!$G$9*VLOOKUP(AP226, cub_control, 2, 0))*0.1*peso_ejec, "")</f>
        <v/>
      </c>
      <c r="AR226" s="93" t="str">
        <f t="shared" si="347"/>
        <v/>
      </c>
      <c r="AS226" s="94" t="str">
        <f t="shared" si="350"/>
        <v/>
      </c>
      <c r="AT226" s="94" t="str">
        <f t="shared" si="351"/>
        <v/>
      </c>
      <c r="AU226" s="94" t="str">
        <f>IF(AR226&lt;Tablas!$G$19, 0, IF(AND(AR226&gt;=Tablas!$G$19, AR226&lt;Tablas!$G$20), 1,  IF(AND(AR226&gt;=Tablas!$G$20, AR226&lt;Tablas!$G$21), 2,  IF(AND(AR226&gt;=Tablas!$G$21, AR226&lt;=Tablas!$G$22), 3,  ""))))</f>
        <v/>
      </c>
      <c r="AV226" s="94" t="str">
        <f t="shared" si="348"/>
        <v/>
      </c>
      <c r="AW226" s="102" t="str">
        <f t="shared" si="349"/>
        <v/>
      </c>
      <c r="AX226" s="157"/>
      <c r="AY226" s="170"/>
      <c r="AZ226" s="179"/>
      <c r="BA226" s="170"/>
      <c r="BB226" s="182"/>
      <c r="BC226" s="182"/>
      <c r="BD226" s="185"/>
      <c r="BE226" s="185"/>
      <c r="BF226" s="159"/>
      <c r="BG226" s="191"/>
    </row>
    <row r="227" spans="1:59" ht="15" customHeight="1" x14ac:dyDescent="0.25">
      <c r="A227" s="167"/>
      <c r="B227" s="195"/>
      <c r="C227" s="161" t="s">
        <v>19</v>
      </c>
      <c r="D227" s="160"/>
      <c r="E227" s="149"/>
      <c r="F227" s="163" t="str">
        <f t="shared" si="333"/>
        <v/>
      </c>
      <c r="G227" s="148"/>
      <c r="H227" s="148"/>
      <c r="I227" s="148"/>
      <c r="J227" s="148"/>
      <c r="K227" s="148"/>
      <c r="L227" s="165" t="str">
        <f t="shared" ref="L227" si="372">IFERROR(VLOOKUP(G227, tabla02, 2, 0), "")</f>
        <v/>
      </c>
      <c r="M227" s="165" t="str">
        <f t="shared" ref="M227" si="373">IFERROR(VLOOKUP(H227, tabla02, 2, 0), "")</f>
        <v/>
      </c>
      <c r="N227" s="165" t="str">
        <f t="shared" ref="N227" si="374">IFERROR(VLOOKUP(I227, tabla02, 2, 0), "")</f>
        <v/>
      </c>
      <c r="O227" s="165" t="str">
        <f t="shared" ref="O227" si="375">IFERROR(VLOOKUP(J227, tabla02, 2, 0), "")</f>
        <v/>
      </c>
      <c r="P227" s="165" t="str">
        <f t="shared" ref="P227" si="376">IFERROR(VLOOKUP(K227, tabla02, 2, 0), "")</f>
        <v/>
      </c>
      <c r="Q227" s="165" t="str">
        <f t="shared" ref="Q227" si="377">IF(SUM(L227:P227)=0, "", MAX(L227:P227))</f>
        <v/>
      </c>
      <c r="R227" s="159" t="str">
        <f>IFERROR(VLOOKUP(Q227, tabla04, 3, 0), "")</f>
        <v/>
      </c>
      <c r="S227" s="148"/>
      <c r="T227" s="148"/>
      <c r="U227" s="148"/>
      <c r="V227" s="148"/>
      <c r="W227" s="148"/>
      <c r="X227" s="163" t="str">
        <f>IFERROR(VLOOKUP(CONCATENATE(F227, "-", Q227), cuadrante_sev, 3, 0), "")</f>
        <v/>
      </c>
      <c r="Y227" s="163" t="str">
        <f t="shared" ref="Y227" si="378">IFERROR(IF(X227="Baja", 1, IF(X227="Moderada", 2, IF(X227="Alta", 3, IF(X227="Extrema", 4, "")))), "")</f>
        <v/>
      </c>
      <c r="Z227" s="172"/>
      <c r="AA227" s="188"/>
      <c r="AB227" s="172"/>
      <c r="AC227" s="172"/>
      <c r="AD227" s="175"/>
      <c r="AE227" s="70" t="s">
        <v>113</v>
      </c>
      <c r="AF227" s="135"/>
      <c r="AG227" s="71"/>
      <c r="AH227" s="72"/>
      <c r="AI227" s="72"/>
      <c r="AJ227" s="72"/>
      <c r="AK227" s="72"/>
      <c r="AL227" s="72"/>
      <c r="AM227" s="82" t="str">
        <f>IFERROR((Tablas!$C$1*VLOOKUP(AH227, tipo_control, 2, 0)+Tablas!$E$1*VLOOKUP(AI227, nat_control, 2, 0)+Tablas!$G$1*VLOOKUP(AJ227, ev_control, 2, 0)+Tablas!$I$1*VLOOKUP(AK227, frec_control, 2, 0)+Tablas!$K$1*VLOOKUP(AL227, doc_control, 2, 0))*0.1*peso_dis, "")</f>
        <v/>
      </c>
      <c r="AN227" s="72"/>
      <c r="AO227" s="72"/>
      <c r="AP227" s="72"/>
      <c r="AQ227" s="82" t="str">
        <f>IFERROR((Tablas!$C$9*VLOOKUP(AN227, amb_control, 2, 0)+Tablas!$E$9*VLOOKUP(AO227, ejec_control, 2, 0)+Tablas!$G$9*VLOOKUP(AP227, cub_control, 2, 0))*0.1*peso_ejec, "")</f>
        <v/>
      </c>
      <c r="AR227" s="96" t="str">
        <f t="shared" si="347"/>
        <v/>
      </c>
      <c r="AS227" s="97" t="str">
        <f t="shared" si="350"/>
        <v/>
      </c>
      <c r="AT227" s="87" t="str">
        <f t="shared" si="351"/>
        <v/>
      </c>
      <c r="AU227" s="97" t="str">
        <f>IF(AR227&lt;Tablas!$G$19, 0, IF(AND(AR227&gt;=Tablas!$G$19, AR227&lt;Tablas!$G$20), 1,  IF(AND(AR227&gt;=Tablas!$G$20, AR227&lt;Tablas!$G$21), 2,  IF(AND(AR227&gt;=Tablas!$G$21, AR227&lt;=Tablas!$G$22), 3,  ""))))</f>
        <v/>
      </c>
      <c r="AV227" s="97" t="str">
        <f t="shared" si="348"/>
        <v/>
      </c>
      <c r="AW227" s="103" t="str">
        <f t="shared" si="349"/>
        <v/>
      </c>
      <c r="AX227" s="176" t="str">
        <f t="shared" ref="AX227" si="379">IFERROR(VLOOKUP(AY227, tabla04, 2, 0), "")</f>
        <v/>
      </c>
      <c r="AY227" s="168" t="str">
        <f>IF(F227="", "", IF((F227-MAX(AV227:AV231))&lt;=0, 1, F227-MAX(AV227:AV231)))</f>
        <v/>
      </c>
      <c r="AZ227" s="178" t="str">
        <f t="shared" ref="AZ227" si="380">IFERROR(VLOOKUP(BA227, tabla04, 3, 0), "")</f>
        <v/>
      </c>
      <c r="BA227" s="168" t="str">
        <f>IF(Q227="", "", IF((Q227-MAX(AW227:AW231))&lt;=0, 1, Q227-MAX(AW227:AW231)))</f>
        <v/>
      </c>
      <c r="BB227" s="182"/>
      <c r="BC227" s="182"/>
      <c r="BD227" s="185"/>
      <c r="BE227" s="185"/>
      <c r="BF227" s="158" t="str">
        <f t="shared" ref="BF227:BF229" si="381">IFERROR(VLOOKUP(CONCATENATE(AY227, "-", BA227), cuadrante_sev, 3, 0), "")</f>
        <v/>
      </c>
      <c r="BG227" s="191"/>
    </row>
    <row r="228" spans="1:59" ht="15" customHeight="1" x14ac:dyDescent="0.25">
      <c r="A228" s="167"/>
      <c r="B228" s="195"/>
      <c r="C228" s="161"/>
      <c r="D228" s="160"/>
      <c r="E228" s="161"/>
      <c r="F228" s="164"/>
      <c r="G228" s="167"/>
      <c r="H228" s="167"/>
      <c r="I228" s="167"/>
      <c r="J228" s="167"/>
      <c r="K228" s="167"/>
      <c r="L228" s="166"/>
      <c r="M228" s="166"/>
      <c r="N228" s="166"/>
      <c r="O228" s="166"/>
      <c r="P228" s="166"/>
      <c r="Q228" s="166"/>
      <c r="R228" s="177"/>
      <c r="S228" s="167"/>
      <c r="T228" s="167"/>
      <c r="U228" s="167"/>
      <c r="V228" s="167"/>
      <c r="W228" s="167"/>
      <c r="X228" s="164"/>
      <c r="Y228" s="164"/>
      <c r="Z228" s="172"/>
      <c r="AA228" s="188"/>
      <c r="AB228" s="172"/>
      <c r="AC228" s="172"/>
      <c r="AD228" s="175"/>
      <c r="AE228" s="62" t="s">
        <v>114</v>
      </c>
      <c r="AF228" s="133"/>
      <c r="AG228" s="65"/>
      <c r="AH228" s="64"/>
      <c r="AI228" s="64"/>
      <c r="AJ228" s="64"/>
      <c r="AK228" s="64"/>
      <c r="AL228" s="64"/>
      <c r="AM228" s="80" t="str">
        <f>IFERROR((Tablas!$C$1*VLOOKUP(AH228, tipo_control, 2, 0)+Tablas!$E$1*VLOOKUP(AI228, nat_control, 2, 0)+Tablas!$G$1*VLOOKUP(AJ228, ev_control, 2, 0)+Tablas!$I$1*VLOOKUP(AK228, frec_control, 2, 0)+Tablas!$K$1*VLOOKUP(AL228, doc_control, 2, 0))*0.1*peso_dis, "")</f>
        <v/>
      </c>
      <c r="AN228" s="64"/>
      <c r="AO228" s="64"/>
      <c r="AP228" s="64"/>
      <c r="AQ228" s="80" t="str">
        <f>IFERROR((Tablas!$C$9*VLOOKUP(AN228, amb_control, 2, 0)+Tablas!$E$9*VLOOKUP(AO228, ejec_control, 2, 0)+Tablas!$G$9*VLOOKUP(AP228, cub_control, 2, 0))*0.1*peso_ejec, "")</f>
        <v/>
      </c>
      <c r="AR228" s="91" t="str">
        <f t="shared" si="347"/>
        <v/>
      </c>
      <c r="AS228" s="85" t="str">
        <f t="shared" si="350"/>
        <v/>
      </c>
      <c r="AT228" s="85" t="str">
        <f t="shared" si="351"/>
        <v/>
      </c>
      <c r="AU228" s="85" t="str">
        <f>IF(AR228&lt;Tablas!$G$19, 0, IF(AND(AR228&gt;=Tablas!$G$19, AR228&lt;Tablas!$G$20), 1,  IF(AND(AR228&gt;=Tablas!$G$20, AR228&lt;Tablas!$G$21), 2,  IF(AND(AR228&gt;=Tablas!$G$21, AR228&lt;=Tablas!$G$22), 3,  ""))))</f>
        <v/>
      </c>
      <c r="AV228" s="85" t="str">
        <f t="shared" si="348"/>
        <v/>
      </c>
      <c r="AW228" s="101" t="str">
        <f t="shared" si="349"/>
        <v/>
      </c>
      <c r="AX228" s="177"/>
      <c r="AY228" s="169"/>
      <c r="AZ228" s="158"/>
      <c r="BA228" s="169"/>
      <c r="BB228" s="182"/>
      <c r="BC228" s="182"/>
      <c r="BD228" s="185"/>
      <c r="BE228" s="185"/>
      <c r="BF228" s="158" t="str">
        <f t="shared" si="381"/>
        <v/>
      </c>
      <c r="BG228" s="191"/>
    </row>
    <row r="229" spans="1:59" ht="15" customHeight="1" x14ac:dyDescent="0.25">
      <c r="A229" s="167"/>
      <c r="B229" s="195"/>
      <c r="C229" s="161"/>
      <c r="D229" s="160"/>
      <c r="E229" s="161"/>
      <c r="F229" s="164"/>
      <c r="G229" s="167"/>
      <c r="H229" s="167"/>
      <c r="I229" s="167"/>
      <c r="J229" s="167"/>
      <c r="K229" s="167"/>
      <c r="L229" s="166"/>
      <c r="M229" s="166"/>
      <c r="N229" s="166"/>
      <c r="O229" s="166"/>
      <c r="P229" s="166"/>
      <c r="Q229" s="166"/>
      <c r="R229" s="177"/>
      <c r="S229" s="167"/>
      <c r="T229" s="167"/>
      <c r="U229" s="167"/>
      <c r="V229" s="167"/>
      <c r="W229" s="167"/>
      <c r="X229" s="164"/>
      <c r="Y229" s="164"/>
      <c r="Z229" s="172"/>
      <c r="AA229" s="188"/>
      <c r="AB229" s="172"/>
      <c r="AC229" s="172"/>
      <c r="AD229" s="175"/>
      <c r="AE229" s="62" t="s">
        <v>115</v>
      </c>
      <c r="AF229" s="133"/>
      <c r="AG229" s="65"/>
      <c r="AH229" s="64"/>
      <c r="AI229" s="64"/>
      <c r="AJ229" s="64"/>
      <c r="AK229" s="64"/>
      <c r="AL229" s="64"/>
      <c r="AM229" s="80" t="str">
        <f>IFERROR((Tablas!$C$1*VLOOKUP(AH229, tipo_control, 2, 0)+Tablas!$E$1*VLOOKUP(AI229, nat_control, 2, 0)+Tablas!$G$1*VLOOKUP(AJ229, ev_control, 2, 0)+Tablas!$I$1*VLOOKUP(AK229, frec_control, 2, 0)+Tablas!$K$1*VLOOKUP(AL229, doc_control, 2, 0))*0.1*peso_dis, "")</f>
        <v/>
      </c>
      <c r="AN229" s="64"/>
      <c r="AO229" s="64"/>
      <c r="AP229" s="64"/>
      <c r="AQ229" s="80" t="str">
        <f>IFERROR((Tablas!$C$9*VLOOKUP(AN229, amb_control, 2, 0)+Tablas!$E$9*VLOOKUP(AO229, ejec_control, 2, 0)+Tablas!$G$9*VLOOKUP(AP229, cub_control, 2, 0))*0.1*peso_ejec, "")</f>
        <v/>
      </c>
      <c r="AR229" s="91" t="str">
        <f t="shared" si="347"/>
        <v/>
      </c>
      <c r="AS229" s="85" t="str">
        <f t="shared" si="350"/>
        <v/>
      </c>
      <c r="AT229" s="85" t="str">
        <f t="shared" si="351"/>
        <v/>
      </c>
      <c r="AU229" s="85" t="str">
        <f>IF(AR229&lt;Tablas!$G$19, 0, IF(AND(AR229&gt;=Tablas!$G$19, AR229&lt;Tablas!$G$20), 1,  IF(AND(AR229&gt;=Tablas!$G$20, AR229&lt;Tablas!$G$21), 2,  IF(AND(AR229&gt;=Tablas!$G$21, AR229&lt;=Tablas!$G$22), 3,  ""))))</f>
        <v/>
      </c>
      <c r="AV229" s="85" t="str">
        <f t="shared" si="348"/>
        <v/>
      </c>
      <c r="AW229" s="101" t="str">
        <f t="shared" si="349"/>
        <v/>
      </c>
      <c r="AX229" s="177"/>
      <c r="AY229" s="169"/>
      <c r="AZ229" s="158"/>
      <c r="BA229" s="169"/>
      <c r="BB229" s="182"/>
      <c r="BC229" s="182"/>
      <c r="BD229" s="185"/>
      <c r="BE229" s="185"/>
      <c r="BF229" s="158" t="str">
        <f t="shared" si="381"/>
        <v/>
      </c>
      <c r="BG229" s="191"/>
    </row>
    <row r="230" spans="1:59" ht="15" customHeight="1" x14ac:dyDescent="0.25">
      <c r="A230" s="167"/>
      <c r="B230" s="195"/>
      <c r="C230" s="161"/>
      <c r="D230" s="160"/>
      <c r="E230" s="161"/>
      <c r="F230" s="164"/>
      <c r="G230" s="167"/>
      <c r="H230" s="167"/>
      <c r="I230" s="167"/>
      <c r="J230" s="167"/>
      <c r="K230" s="167"/>
      <c r="L230" s="166"/>
      <c r="M230" s="166"/>
      <c r="N230" s="166"/>
      <c r="O230" s="166"/>
      <c r="P230" s="166"/>
      <c r="Q230" s="166"/>
      <c r="R230" s="177"/>
      <c r="S230" s="167"/>
      <c r="T230" s="167"/>
      <c r="U230" s="167"/>
      <c r="V230" s="167"/>
      <c r="W230" s="167"/>
      <c r="X230" s="164"/>
      <c r="Y230" s="164"/>
      <c r="Z230" s="172"/>
      <c r="AA230" s="188"/>
      <c r="AB230" s="172"/>
      <c r="AC230" s="172"/>
      <c r="AD230" s="175"/>
      <c r="AE230" s="62" t="s">
        <v>153</v>
      </c>
      <c r="AF230" s="133"/>
      <c r="AG230" s="65"/>
      <c r="AH230" s="64"/>
      <c r="AI230" s="64"/>
      <c r="AJ230" s="64"/>
      <c r="AK230" s="64"/>
      <c r="AL230" s="64"/>
      <c r="AM230" s="80" t="str">
        <f>IFERROR((Tablas!$C$1*VLOOKUP(AH230, tipo_control, 2, 0)+Tablas!$E$1*VLOOKUP(AI230, nat_control, 2, 0)+Tablas!$G$1*VLOOKUP(AJ230, ev_control, 2, 0)+Tablas!$I$1*VLOOKUP(AK230, frec_control, 2, 0)+Tablas!$K$1*VLOOKUP(AL230, doc_control, 2, 0))*0.1*peso_dis, "")</f>
        <v/>
      </c>
      <c r="AN230" s="64"/>
      <c r="AO230" s="64"/>
      <c r="AP230" s="64"/>
      <c r="AQ230" s="80" t="str">
        <f>IFERROR((Tablas!$C$9*VLOOKUP(AN230, amb_control, 2, 0)+Tablas!$E$9*VLOOKUP(AO230, ejec_control, 2, 0)+Tablas!$G$9*VLOOKUP(AP230, cub_control, 2, 0))*0.1*peso_ejec, "")</f>
        <v/>
      </c>
      <c r="AR230" s="91" t="str">
        <f t="shared" si="347"/>
        <v/>
      </c>
      <c r="AS230" s="85" t="str">
        <f t="shared" si="350"/>
        <v/>
      </c>
      <c r="AT230" s="85" t="str">
        <f t="shared" si="351"/>
        <v/>
      </c>
      <c r="AU230" s="85" t="str">
        <f>IF(AR230&lt;Tablas!$G$19, 0, IF(AND(AR230&gt;=Tablas!$G$19, AR230&lt;Tablas!$G$20), 1,  IF(AND(AR230&gt;=Tablas!$G$20, AR230&lt;Tablas!$G$21), 2,  IF(AND(AR230&gt;=Tablas!$G$21, AR230&lt;=Tablas!$G$22), 3,  ""))))</f>
        <v/>
      </c>
      <c r="AV230" s="85" t="str">
        <f t="shared" si="348"/>
        <v/>
      </c>
      <c r="AW230" s="101" t="str">
        <f t="shared" si="349"/>
        <v/>
      </c>
      <c r="AX230" s="177"/>
      <c r="AY230" s="169"/>
      <c r="AZ230" s="158"/>
      <c r="BA230" s="169"/>
      <c r="BB230" s="182"/>
      <c r="BC230" s="182"/>
      <c r="BD230" s="185"/>
      <c r="BE230" s="185"/>
      <c r="BF230" s="158"/>
      <c r="BG230" s="191"/>
    </row>
    <row r="231" spans="1:59" ht="15" customHeight="1" thickBot="1" x14ac:dyDescent="0.3">
      <c r="A231" s="167"/>
      <c r="B231" s="195"/>
      <c r="C231" s="161"/>
      <c r="D231" s="160"/>
      <c r="E231" s="161"/>
      <c r="F231" s="165"/>
      <c r="G231" s="149"/>
      <c r="H231" s="149"/>
      <c r="I231" s="149"/>
      <c r="J231" s="149"/>
      <c r="K231" s="149"/>
      <c r="L231" s="166"/>
      <c r="M231" s="166"/>
      <c r="N231" s="166"/>
      <c r="O231" s="166"/>
      <c r="P231" s="166"/>
      <c r="Q231" s="166"/>
      <c r="R231" s="177"/>
      <c r="S231" s="149"/>
      <c r="T231" s="149"/>
      <c r="U231" s="149"/>
      <c r="V231" s="149"/>
      <c r="W231" s="149"/>
      <c r="X231" s="165"/>
      <c r="Y231" s="165"/>
      <c r="Z231" s="172"/>
      <c r="AA231" s="188"/>
      <c r="AB231" s="172"/>
      <c r="AC231" s="172"/>
      <c r="AD231" s="175"/>
      <c r="AE231" s="66" t="s">
        <v>154</v>
      </c>
      <c r="AF231" s="134"/>
      <c r="AG231" s="67"/>
      <c r="AH231" s="69"/>
      <c r="AI231" s="69"/>
      <c r="AJ231" s="69"/>
      <c r="AK231" s="69"/>
      <c r="AL231" s="69"/>
      <c r="AM231" s="81" t="str">
        <f>IFERROR((Tablas!$C$1*VLOOKUP(AH231, tipo_control, 2, 0)+Tablas!$E$1*VLOOKUP(AI231, nat_control, 2, 0)+Tablas!$G$1*VLOOKUP(AJ231, ev_control, 2, 0)+Tablas!$I$1*VLOOKUP(AK231, frec_control, 2, 0)+Tablas!$K$1*VLOOKUP(AL231, doc_control, 2, 0))*0.1*peso_dis, "")</f>
        <v/>
      </c>
      <c r="AN231" s="69"/>
      <c r="AO231" s="69"/>
      <c r="AP231" s="69"/>
      <c r="AQ231" s="81" t="str">
        <f>IFERROR((Tablas!$C$9*VLOOKUP(AN231, amb_control, 2, 0)+Tablas!$E$9*VLOOKUP(AO231, ejec_control, 2, 0)+Tablas!$G$9*VLOOKUP(AP231, cub_control, 2, 0))*0.1*peso_ejec, "")</f>
        <v/>
      </c>
      <c r="AR231" s="93" t="str">
        <f t="shared" si="347"/>
        <v/>
      </c>
      <c r="AS231" s="94" t="str">
        <f t="shared" si="350"/>
        <v/>
      </c>
      <c r="AT231" s="94" t="str">
        <f t="shared" si="351"/>
        <v/>
      </c>
      <c r="AU231" s="94" t="str">
        <f>IF(AR231&lt;Tablas!$G$19, 0, IF(AND(AR231&gt;=Tablas!$G$19, AR231&lt;Tablas!$G$20), 1,  IF(AND(AR231&gt;=Tablas!$G$20, AR231&lt;Tablas!$G$21), 2,  IF(AND(AR231&gt;=Tablas!$G$21, AR231&lt;=Tablas!$G$22), 3,  ""))))</f>
        <v/>
      </c>
      <c r="AV231" s="94" t="str">
        <f t="shared" si="348"/>
        <v/>
      </c>
      <c r="AW231" s="102" t="str">
        <f t="shared" si="349"/>
        <v/>
      </c>
      <c r="AX231" s="157"/>
      <c r="AY231" s="170"/>
      <c r="AZ231" s="179"/>
      <c r="BA231" s="170"/>
      <c r="BB231" s="182"/>
      <c r="BC231" s="182"/>
      <c r="BD231" s="185"/>
      <c r="BE231" s="185"/>
      <c r="BF231" s="159"/>
      <c r="BG231" s="191"/>
    </row>
    <row r="232" spans="1:59" ht="15" customHeight="1" x14ac:dyDescent="0.25">
      <c r="A232" s="167"/>
      <c r="B232" s="195"/>
      <c r="C232" s="161" t="s">
        <v>20</v>
      </c>
      <c r="D232" s="160"/>
      <c r="E232" s="149"/>
      <c r="F232" s="163" t="str">
        <f t="shared" si="333"/>
        <v/>
      </c>
      <c r="G232" s="148"/>
      <c r="H232" s="148"/>
      <c r="I232" s="148"/>
      <c r="J232" s="148"/>
      <c r="K232" s="148"/>
      <c r="L232" s="165" t="str">
        <f t="shared" ref="L232" si="382">IFERROR(VLOOKUP(G232, tabla02, 2, 0), "")</f>
        <v/>
      </c>
      <c r="M232" s="165" t="str">
        <f t="shared" ref="M232" si="383">IFERROR(VLOOKUP(H232, tabla02, 2, 0), "")</f>
        <v/>
      </c>
      <c r="N232" s="165" t="str">
        <f t="shared" ref="N232" si="384">IFERROR(VLOOKUP(I232, tabla02, 2, 0), "")</f>
        <v/>
      </c>
      <c r="O232" s="165" t="str">
        <f t="shared" ref="O232" si="385">IFERROR(VLOOKUP(J232, tabla02, 2, 0), "")</f>
        <v/>
      </c>
      <c r="P232" s="165" t="str">
        <f t="shared" ref="P232" si="386">IFERROR(VLOOKUP(K232, tabla02, 2, 0), "")</f>
        <v/>
      </c>
      <c r="Q232" s="165" t="str">
        <f t="shared" ref="Q232" si="387">IF(SUM(L232:P232)=0, "", MAX(L232:P232))</f>
        <v/>
      </c>
      <c r="R232" s="159" t="str">
        <f>IFERROR(VLOOKUP(Q232, tabla04, 3, 0), "")</f>
        <v/>
      </c>
      <c r="S232" s="148"/>
      <c r="T232" s="148"/>
      <c r="U232" s="148"/>
      <c r="V232" s="148"/>
      <c r="W232" s="148"/>
      <c r="X232" s="163" t="str">
        <f>IFERROR(VLOOKUP(CONCATENATE(F232, "-", Q232), cuadrante_sev, 3, 0), "")</f>
        <v/>
      </c>
      <c r="Y232" s="163" t="str">
        <f t="shared" ref="Y232" si="388">IFERROR(IF(X232="Baja", 1, IF(X232="Moderada", 2, IF(X232="Alta", 3, IF(X232="Extrema", 4, "")))), "")</f>
        <v/>
      </c>
      <c r="Z232" s="172"/>
      <c r="AA232" s="188"/>
      <c r="AB232" s="172"/>
      <c r="AC232" s="172"/>
      <c r="AD232" s="175"/>
      <c r="AE232" s="70" t="s">
        <v>113</v>
      </c>
      <c r="AF232" s="135"/>
      <c r="AG232" s="74"/>
      <c r="AH232" s="72"/>
      <c r="AI232" s="72"/>
      <c r="AJ232" s="72"/>
      <c r="AK232" s="72"/>
      <c r="AL232" s="72"/>
      <c r="AM232" s="82" t="str">
        <f>IFERROR((Tablas!$C$1*VLOOKUP(AH232, tipo_control, 2, 0)+Tablas!$E$1*VLOOKUP(AI232, nat_control, 2, 0)+Tablas!$G$1*VLOOKUP(AJ232, ev_control, 2, 0)+Tablas!$I$1*VLOOKUP(AK232, frec_control, 2, 0)+Tablas!$K$1*VLOOKUP(AL232, doc_control, 2, 0))*0.1*peso_dis, "")</f>
        <v/>
      </c>
      <c r="AN232" s="72"/>
      <c r="AO232" s="72"/>
      <c r="AP232" s="72"/>
      <c r="AQ232" s="82" t="str">
        <f>IFERROR((Tablas!$C$9*VLOOKUP(AN232, amb_control, 2, 0)+Tablas!$E$9*VLOOKUP(AO232, ejec_control, 2, 0)+Tablas!$G$9*VLOOKUP(AP232, cub_control, 2, 0))*0.1*peso_ejec, "")</f>
        <v/>
      </c>
      <c r="AR232" s="96" t="str">
        <f t="shared" si="347"/>
        <v/>
      </c>
      <c r="AS232" s="97" t="str">
        <f t="shared" si="350"/>
        <v/>
      </c>
      <c r="AT232" s="87" t="str">
        <f t="shared" si="351"/>
        <v/>
      </c>
      <c r="AU232" s="97" t="str">
        <f>IF(AR232&lt;Tablas!$G$19, 0, IF(AND(AR232&gt;=Tablas!$G$19, AR232&lt;Tablas!$G$20), 1,  IF(AND(AR232&gt;=Tablas!$G$20, AR232&lt;Tablas!$G$21), 2,  IF(AND(AR232&gt;=Tablas!$G$21, AR232&lt;=Tablas!$G$22), 3,  ""))))</f>
        <v/>
      </c>
      <c r="AV232" s="97" t="str">
        <f t="shared" si="348"/>
        <v/>
      </c>
      <c r="AW232" s="103" t="str">
        <f t="shared" si="349"/>
        <v/>
      </c>
      <c r="AX232" s="176" t="str">
        <f t="shared" ref="AX232" si="389">IFERROR(VLOOKUP(AY232, tabla04, 2, 0), "")</f>
        <v/>
      </c>
      <c r="AY232" s="168" t="str">
        <f>IF(F232="", "", IF((F232-MAX(AV232:AV236))&lt;=0, 1, F232-MAX(AV232:AV236)))</f>
        <v/>
      </c>
      <c r="AZ232" s="178" t="str">
        <f t="shared" ref="AZ232" si="390">IFERROR(VLOOKUP(BA232, tabla04, 3, 0), "")</f>
        <v/>
      </c>
      <c r="BA232" s="168" t="str">
        <f>IF(Q232="", "", IF((Q232-MAX(AW232:AW236))&lt;=0, 1, Q232-MAX(AW232:AW236)))</f>
        <v/>
      </c>
      <c r="BB232" s="182"/>
      <c r="BC232" s="182"/>
      <c r="BD232" s="185"/>
      <c r="BE232" s="185"/>
      <c r="BF232" s="158" t="str">
        <f t="shared" ref="BF232:BF234" si="391">IFERROR(VLOOKUP(CONCATENATE(AY232, "-", BA232), cuadrante_sev, 3, 0), "")</f>
        <v/>
      </c>
      <c r="BG232" s="191"/>
    </row>
    <row r="233" spans="1:59" ht="15" customHeight="1" x14ac:dyDescent="0.25">
      <c r="A233" s="167"/>
      <c r="B233" s="195"/>
      <c r="C233" s="161"/>
      <c r="D233" s="160"/>
      <c r="E233" s="161"/>
      <c r="F233" s="164"/>
      <c r="G233" s="167"/>
      <c r="H233" s="167"/>
      <c r="I233" s="167"/>
      <c r="J233" s="167"/>
      <c r="K233" s="167"/>
      <c r="L233" s="166"/>
      <c r="M233" s="166"/>
      <c r="N233" s="166"/>
      <c r="O233" s="166"/>
      <c r="P233" s="166"/>
      <c r="Q233" s="166"/>
      <c r="R233" s="177"/>
      <c r="S233" s="167"/>
      <c r="T233" s="167"/>
      <c r="U233" s="167"/>
      <c r="V233" s="167"/>
      <c r="W233" s="167"/>
      <c r="X233" s="164"/>
      <c r="Y233" s="164"/>
      <c r="Z233" s="172"/>
      <c r="AA233" s="188"/>
      <c r="AB233" s="172"/>
      <c r="AC233" s="172"/>
      <c r="AD233" s="175"/>
      <c r="AE233" s="62" t="s">
        <v>114</v>
      </c>
      <c r="AF233" s="133"/>
      <c r="AG233" s="65"/>
      <c r="AH233" s="64"/>
      <c r="AI233" s="64"/>
      <c r="AJ233" s="64"/>
      <c r="AK233" s="64"/>
      <c r="AL233" s="64"/>
      <c r="AM233" s="80" t="str">
        <f>IFERROR((Tablas!$C$1*VLOOKUP(AH233, tipo_control, 2, 0)+Tablas!$E$1*VLOOKUP(AI233, nat_control, 2, 0)+Tablas!$G$1*VLOOKUP(AJ233, ev_control, 2, 0)+Tablas!$I$1*VLOOKUP(AK233, frec_control, 2, 0)+Tablas!$K$1*VLOOKUP(AL233, doc_control, 2, 0))*0.1*peso_dis, "")</f>
        <v/>
      </c>
      <c r="AN233" s="64"/>
      <c r="AO233" s="64"/>
      <c r="AP233" s="64"/>
      <c r="AQ233" s="80" t="str">
        <f>IFERROR((Tablas!$C$9*VLOOKUP(AN233, amb_control, 2, 0)+Tablas!$E$9*VLOOKUP(AO233, ejec_control, 2, 0)+Tablas!$G$9*VLOOKUP(AP233, cub_control, 2, 0))*0.1*peso_ejec, "")</f>
        <v/>
      </c>
      <c r="AR233" s="91" t="str">
        <f t="shared" si="347"/>
        <v/>
      </c>
      <c r="AS233" s="85" t="str">
        <f t="shared" si="350"/>
        <v/>
      </c>
      <c r="AT233" s="85" t="str">
        <f t="shared" si="351"/>
        <v/>
      </c>
      <c r="AU233" s="85" t="str">
        <f>IF(AR233&lt;Tablas!$G$19, 0, IF(AND(AR233&gt;=Tablas!$G$19, AR233&lt;Tablas!$G$20), 1,  IF(AND(AR233&gt;=Tablas!$G$20, AR233&lt;Tablas!$G$21), 2,  IF(AND(AR233&gt;=Tablas!$G$21, AR233&lt;=Tablas!$G$22), 3,  ""))))</f>
        <v/>
      </c>
      <c r="AV233" s="85" t="str">
        <f t="shared" si="348"/>
        <v/>
      </c>
      <c r="AW233" s="101" t="str">
        <f t="shared" si="349"/>
        <v/>
      </c>
      <c r="AX233" s="177"/>
      <c r="AY233" s="169"/>
      <c r="AZ233" s="158"/>
      <c r="BA233" s="169"/>
      <c r="BB233" s="182"/>
      <c r="BC233" s="182"/>
      <c r="BD233" s="185"/>
      <c r="BE233" s="185"/>
      <c r="BF233" s="158" t="str">
        <f t="shared" si="391"/>
        <v/>
      </c>
      <c r="BG233" s="191"/>
    </row>
    <row r="234" spans="1:59" ht="15" customHeight="1" x14ac:dyDescent="0.25">
      <c r="A234" s="167"/>
      <c r="B234" s="195"/>
      <c r="C234" s="161"/>
      <c r="D234" s="160"/>
      <c r="E234" s="161"/>
      <c r="F234" s="164"/>
      <c r="G234" s="167"/>
      <c r="H234" s="167"/>
      <c r="I234" s="167"/>
      <c r="J234" s="167"/>
      <c r="K234" s="167"/>
      <c r="L234" s="166"/>
      <c r="M234" s="166"/>
      <c r="N234" s="166"/>
      <c r="O234" s="166"/>
      <c r="P234" s="166"/>
      <c r="Q234" s="166"/>
      <c r="R234" s="177"/>
      <c r="S234" s="167"/>
      <c r="T234" s="167"/>
      <c r="U234" s="167"/>
      <c r="V234" s="167"/>
      <c r="W234" s="167"/>
      <c r="X234" s="164"/>
      <c r="Y234" s="164"/>
      <c r="Z234" s="172"/>
      <c r="AA234" s="188"/>
      <c r="AB234" s="172"/>
      <c r="AC234" s="172"/>
      <c r="AD234" s="175"/>
      <c r="AE234" s="62" t="s">
        <v>115</v>
      </c>
      <c r="AF234" s="133"/>
      <c r="AG234" s="65"/>
      <c r="AH234" s="64"/>
      <c r="AI234" s="64"/>
      <c r="AJ234" s="64"/>
      <c r="AK234" s="64"/>
      <c r="AL234" s="64"/>
      <c r="AM234" s="80" t="str">
        <f>IFERROR((Tablas!$C$1*VLOOKUP(AH234, tipo_control, 2, 0)+Tablas!$E$1*VLOOKUP(AI234, nat_control, 2, 0)+Tablas!$G$1*VLOOKUP(AJ234, ev_control, 2, 0)+Tablas!$I$1*VLOOKUP(AK234, frec_control, 2, 0)+Tablas!$K$1*VLOOKUP(AL234, doc_control, 2, 0))*0.1*peso_dis, "")</f>
        <v/>
      </c>
      <c r="AN234" s="64"/>
      <c r="AO234" s="64"/>
      <c r="AP234" s="64"/>
      <c r="AQ234" s="80" t="str">
        <f>IFERROR((Tablas!$C$9*VLOOKUP(AN234, amb_control, 2, 0)+Tablas!$E$9*VLOOKUP(AO234, ejec_control, 2, 0)+Tablas!$G$9*VLOOKUP(AP234, cub_control, 2, 0))*0.1*peso_ejec, "")</f>
        <v/>
      </c>
      <c r="AR234" s="91" t="str">
        <f t="shared" si="347"/>
        <v/>
      </c>
      <c r="AS234" s="85" t="str">
        <f t="shared" si="350"/>
        <v/>
      </c>
      <c r="AT234" s="85" t="str">
        <f t="shared" si="351"/>
        <v/>
      </c>
      <c r="AU234" s="85" t="str">
        <f>IF(AR234&lt;Tablas!$G$19, 0, IF(AND(AR234&gt;=Tablas!$G$19, AR234&lt;Tablas!$G$20), 1,  IF(AND(AR234&gt;=Tablas!$G$20, AR234&lt;Tablas!$G$21), 2,  IF(AND(AR234&gt;=Tablas!$G$21, AR234&lt;=Tablas!$G$22), 3,  ""))))</f>
        <v/>
      </c>
      <c r="AV234" s="85" t="str">
        <f t="shared" si="348"/>
        <v/>
      </c>
      <c r="AW234" s="101" t="str">
        <f t="shared" si="349"/>
        <v/>
      </c>
      <c r="AX234" s="177"/>
      <c r="AY234" s="169"/>
      <c r="AZ234" s="158"/>
      <c r="BA234" s="169"/>
      <c r="BB234" s="182"/>
      <c r="BC234" s="182"/>
      <c r="BD234" s="185"/>
      <c r="BE234" s="185"/>
      <c r="BF234" s="158" t="str">
        <f t="shared" si="391"/>
        <v/>
      </c>
      <c r="BG234" s="191"/>
    </row>
    <row r="235" spans="1:59" ht="15" customHeight="1" x14ac:dyDescent="0.25">
      <c r="A235" s="167"/>
      <c r="B235" s="195"/>
      <c r="C235" s="161"/>
      <c r="D235" s="160"/>
      <c r="E235" s="161"/>
      <c r="F235" s="164"/>
      <c r="G235" s="167"/>
      <c r="H235" s="167"/>
      <c r="I235" s="167"/>
      <c r="J235" s="167"/>
      <c r="K235" s="167"/>
      <c r="L235" s="166"/>
      <c r="M235" s="166"/>
      <c r="N235" s="166"/>
      <c r="O235" s="166"/>
      <c r="P235" s="166"/>
      <c r="Q235" s="166"/>
      <c r="R235" s="177"/>
      <c r="S235" s="167"/>
      <c r="T235" s="167"/>
      <c r="U235" s="167"/>
      <c r="V235" s="167"/>
      <c r="W235" s="167"/>
      <c r="X235" s="164"/>
      <c r="Y235" s="164"/>
      <c r="Z235" s="172"/>
      <c r="AA235" s="188"/>
      <c r="AB235" s="172"/>
      <c r="AC235" s="172"/>
      <c r="AD235" s="175"/>
      <c r="AE235" s="62" t="s">
        <v>153</v>
      </c>
      <c r="AF235" s="133"/>
      <c r="AG235" s="65"/>
      <c r="AH235" s="64"/>
      <c r="AI235" s="64"/>
      <c r="AJ235" s="64"/>
      <c r="AK235" s="64"/>
      <c r="AL235" s="64"/>
      <c r="AM235" s="80" t="str">
        <f>IFERROR((Tablas!$C$1*VLOOKUP(AH235, tipo_control, 2, 0)+Tablas!$E$1*VLOOKUP(AI235, nat_control, 2, 0)+Tablas!$G$1*VLOOKUP(AJ235, ev_control, 2, 0)+Tablas!$I$1*VLOOKUP(AK235, frec_control, 2, 0)+Tablas!$K$1*VLOOKUP(AL235, doc_control, 2, 0))*0.1*peso_dis, "")</f>
        <v/>
      </c>
      <c r="AN235" s="64"/>
      <c r="AO235" s="64"/>
      <c r="AP235" s="64"/>
      <c r="AQ235" s="80" t="str">
        <f>IFERROR((Tablas!$C$9*VLOOKUP(AN235, amb_control, 2, 0)+Tablas!$E$9*VLOOKUP(AO235, ejec_control, 2, 0)+Tablas!$G$9*VLOOKUP(AP235, cub_control, 2, 0))*0.1*peso_ejec, "")</f>
        <v/>
      </c>
      <c r="AR235" s="91" t="str">
        <f t="shared" si="347"/>
        <v/>
      </c>
      <c r="AS235" s="85" t="str">
        <f t="shared" si="350"/>
        <v/>
      </c>
      <c r="AT235" s="85" t="str">
        <f t="shared" si="351"/>
        <v/>
      </c>
      <c r="AU235" s="85" t="str">
        <f>IF(AR235&lt;Tablas!$G$19, 0, IF(AND(AR235&gt;=Tablas!$G$19, AR235&lt;Tablas!$G$20), 1,  IF(AND(AR235&gt;=Tablas!$G$20, AR235&lt;Tablas!$G$21), 2,  IF(AND(AR235&gt;=Tablas!$G$21, AR235&lt;=Tablas!$G$22), 3,  ""))))</f>
        <v/>
      </c>
      <c r="AV235" s="85" t="str">
        <f t="shared" si="348"/>
        <v/>
      </c>
      <c r="AW235" s="101" t="str">
        <f t="shared" si="349"/>
        <v/>
      </c>
      <c r="AX235" s="177"/>
      <c r="AY235" s="169"/>
      <c r="AZ235" s="158"/>
      <c r="BA235" s="169"/>
      <c r="BB235" s="182"/>
      <c r="BC235" s="182"/>
      <c r="BD235" s="185"/>
      <c r="BE235" s="185"/>
      <c r="BF235" s="158"/>
      <c r="BG235" s="191"/>
    </row>
    <row r="236" spans="1:59" ht="15" customHeight="1" thickBot="1" x14ac:dyDescent="0.3">
      <c r="A236" s="167"/>
      <c r="B236" s="195"/>
      <c r="C236" s="161"/>
      <c r="D236" s="160"/>
      <c r="E236" s="161"/>
      <c r="F236" s="165"/>
      <c r="G236" s="149"/>
      <c r="H236" s="149"/>
      <c r="I236" s="149"/>
      <c r="J236" s="149"/>
      <c r="K236" s="149"/>
      <c r="L236" s="166"/>
      <c r="M236" s="166"/>
      <c r="N236" s="166"/>
      <c r="O236" s="166"/>
      <c r="P236" s="166"/>
      <c r="Q236" s="166"/>
      <c r="R236" s="177"/>
      <c r="S236" s="149"/>
      <c r="T236" s="149"/>
      <c r="U236" s="149"/>
      <c r="V236" s="149"/>
      <c r="W236" s="149"/>
      <c r="X236" s="165"/>
      <c r="Y236" s="165"/>
      <c r="Z236" s="172"/>
      <c r="AA236" s="188"/>
      <c r="AB236" s="172"/>
      <c r="AC236" s="172"/>
      <c r="AD236" s="175"/>
      <c r="AE236" s="66" t="s">
        <v>154</v>
      </c>
      <c r="AF236" s="134"/>
      <c r="AG236" s="67"/>
      <c r="AH236" s="69"/>
      <c r="AI236" s="69"/>
      <c r="AJ236" s="69"/>
      <c r="AK236" s="69"/>
      <c r="AL236" s="69"/>
      <c r="AM236" s="81" t="str">
        <f>IFERROR((Tablas!$C$1*VLOOKUP(AH236, tipo_control, 2, 0)+Tablas!$E$1*VLOOKUP(AI236, nat_control, 2, 0)+Tablas!$G$1*VLOOKUP(AJ236, ev_control, 2, 0)+Tablas!$I$1*VLOOKUP(AK236, frec_control, 2, 0)+Tablas!$K$1*VLOOKUP(AL236, doc_control, 2, 0))*0.1*peso_dis, "")</f>
        <v/>
      </c>
      <c r="AN236" s="69"/>
      <c r="AO236" s="69"/>
      <c r="AP236" s="69"/>
      <c r="AQ236" s="81" t="str">
        <f>IFERROR((Tablas!$C$9*VLOOKUP(AN236, amb_control, 2, 0)+Tablas!$E$9*VLOOKUP(AO236, ejec_control, 2, 0)+Tablas!$G$9*VLOOKUP(AP236, cub_control, 2, 0))*0.1*peso_ejec, "")</f>
        <v/>
      </c>
      <c r="AR236" s="93" t="str">
        <f t="shared" si="347"/>
        <v/>
      </c>
      <c r="AS236" s="94" t="str">
        <f t="shared" si="350"/>
        <v/>
      </c>
      <c r="AT236" s="94" t="str">
        <f t="shared" si="351"/>
        <v/>
      </c>
      <c r="AU236" s="94" t="str">
        <f>IF(AR236&lt;Tablas!$G$19, 0, IF(AND(AR236&gt;=Tablas!$G$19, AR236&lt;Tablas!$G$20), 1,  IF(AND(AR236&gt;=Tablas!$G$20, AR236&lt;Tablas!$G$21), 2,  IF(AND(AR236&gt;=Tablas!$G$21, AR236&lt;=Tablas!$G$22), 3,  ""))))</f>
        <v/>
      </c>
      <c r="AV236" s="94" t="str">
        <f t="shared" si="348"/>
        <v/>
      </c>
      <c r="AW236" s="102" t="str">
        <f t="shared" si="349"/>
        <v/>
      </c>
      <c r="AX236" s="157"/>
      <c r="AY236" s="170"/>
      <c r="AZ236" s="179"/>
      <c r="BA236" s="170"/>
      <c r="BB236" s="182"/>
      <c r="BC236" s="182"/>
      <c r="BD236" s="185"/>
      <c r="BE236" s="185"/>
      <c r="BF236" s="159"/>
      <c r="BG236" s="191"/>
    </row>
    <row r="237" spans="1:59" ht="15" customHeight="1" x14ac:dyDescent="0.25">
      <c r="A237" s="167"/>
      <c r="B237" s="195"/>
      <c r="C237" s="161" t="s">
        <v>180</v>
      </c>
      <c r="D237" s="160"/>
      <c r="E237" s="149"/>
      <c r="F237" s="163" t="str">
        <f t="shared" si="333"/>
        <v/>
      </c>
      <c r="G237" s="148"/>
      <c r="H237" s="148"/>
      <c r="I237" s="148"/>
      <c r="J237" s="148"/>
      <c r="K237" s="148"/>
      <c r="L237" s="165" t="str">
        <f t="shared" ref="L237" si="392">IFERROR(VLOOKUP(G237, tabla02, 2, 0), "")</f>
        <v/>
      </c>
      <c r="M237" s="165" t="str">
        <f t="shared" ref="M237" si="393">IFERROR(VLOOKUP(H237, tabla02, 2, 0), "")</f>
        <v/>
      </c>
      <c r="N237" s="165" t="str">
        <f t="shared" ref="N237" si="394">IFERROR(VLOOKUP(I237, tabla02, 2, 0), "")</f>
        <v/>
      </c>
      <c r="O237" s="165" t="str">
        <f t="shared" ref="O237" si="395">IFERROR(VLOOKUP(J237, tabla02, 2, 0), "")</f>
        <v/>
      </c>
      <c r="P237" s="165" t="str">
        <f t="shared" ref="P237" si="396">IFERROR(VLOOKUP(K237, tabla02, 2, 0), "")</f>
        <v/>
      </c>
      <c r="Q237" s="165" t="str">
        <f t="shared" ref="Q237" si="397">IF(SUM(L237:P237)=0, "", MAX(L237:P237))</f>
        <v/>
      </c>
      <c r="R237" s="159" t="str">
        <f>IFERROR(VLOOKUP(Q237, tabla04, 3, 0), "")</f>
        <v/>
      </c>
      <c r="S237" s="148"/>
      <c r="T237" s="148"/>
      <c r="U237" s="148"/>
      <c r="V237" s="148"/>
      <c r="W237" s="148"/>
      <c r="X237" s="163" t="str">
        <f>IFERROR(VLOOKUP(CONCATENATE(F237, "-", Q237), cuadrante_sev, 3, 0), "")</f>
        <v/>
      </c>
      <c r="Y237" s="163" t="str">
        <f t="shared" ref="Y237" si="398">IFERROR(IF(X237="Baja", 1, IF(X237="Moderada", 2, IF(X237="Alta", 3, IF(X237="Extrema", 4, "")))), "")</f>
        <v/>
      </c>
      <c r="Z237" s="172"/>
      <c r="AA237" s="188"/>
      <c r="AB237" s="172"/>
      <c r="AC237" s="172"/>
      <c r="AD237" s="175"/>
      <c r="AE237" s="70" t="s">
        <v>113</v>
      </c>
      <c r="AF237" s="135"/>
      <c r="AG237" s="74"/>
      <c r="AH237" s="72"/>
      <c r="AI237" s="72"/>
      <c r="AJ237" s="72"/>
      <c r="AK237" s="72"/>
      <c r="AL237" s="72"/>
      <c r="AM237" s="82" t="str">
        <f>IFERROR((Tablas!$C$1*VLOOKUP(AH237, tipo_control, 2, 0)+Tablas!$E$1*VLOOKUP(AI237, nat_control, 2, 0)+Tablas!$G$1*VLOOKUP(AJ237, ev_control, 2, 0)+Tablas!$I$1*VLOOKUP(AK237, frec_control, 2, 0)+Tablas!$K$1*VLOOKUP(AL237, doc_control, 2, 0))*0.1*peso_dis, "")</f>
        <v/>
      </c>
      <c r="AN237" s="72"/>
      <c r="AO237" s="72"/>
      <c r="AP237" s="72"/>
      <c r="AQ237" s="82" t="str">
        <f>IFERROR((Tablas!$C$9*VLOOKUP(AN237, amb_control, 2, 0)+Tablas!$E$9*VLOOKUP(AO237, ejec_control, 2, 0)+Tablas!$G$9*VLOOKUP(AP237, cub_control, 2, 0))*0.1*peso_ejec, "")</f>
        <v/>
      </c>
      <c r="AR237" s="96" t="str">
        <f t="shared" si="347"/>
        <v/>
      </c>
      <c r="AS237" s="97" t="str">
        <f t="shared" si="350"/>
        <v/>
      </c>
      <c r="AT237" s="87" t="str">
        <f t="shared" si="351"/>
        <v/>
      </c>
      <c r="AU237" s="97" t="str">
        <f>IF(AR237&lt;Tablas!$G$19, 0, IF(AND(AR237&gt;=Tablas!$G$19, AR237&lt;Tablas!$G$20), 1,  IF(AND(AR237&gt;=Tablas!$G$20, AR237&lt;Tablas!$G$21), 2,  IF(AND(AR237&gt;=Tablas!$G$21, AR237&lt;=Tablas!$G$22), 3,  ""))))</f>
        <v/>
      </c>
      <c r="AV237" s="97" t="str">
        <f t="shared" si="348"/>
        <v/>
      </c>
      <c r="AW237" s="103" t="str">
        <f t="shared" si="349"/>
        <v/>
      </c>
      <c r="AX237" s="176" t="str">
        <f t="shared" ref="AX237" si="399">IFERROR(VLOOKUP(AY237, tabla04, 2, 0), "")</f>
        <v/>
      </c>
      <c r="AY237" s="168" t="str">
        <f>IF(F237="", "", IF((F237-MAX(AV237:AV241))&lt;=0, 1, F237-MAX(AV237:AV241)))</f>
        <v/>
      </c>
      <c r="AZ237" s="178" t="str">
        <f t="shared" ref="AZ237" si="400">IFERROR(VLOOKUP(BA237, tabla04, 3, 0), "")</f>
        <v/>
      </c>
      <c r="BA237" s="168" t="str">
        <f>IF(Q237="", "", IF((Q237-MAX(AW237:AW241))&lt;=0, 1, Q237-MAX(AW237:AW241)))</f>
        <v/>
      </c>
      <c r="BB237" s="182"/>
      <c r="BC237" s="182"/>
      <c r="BD237" s="185"/>
      <c r="BE237" s="185"/>
      <c r="BF237" s="158" t="str">
        <f t="shared" ref="BF237:BF239" si="401">IFERROR(VLOOKUP(CONCATENATE(AY237, "-", BA237), cuadrante_sev, 3, 0), "")</f>
        <v/>
      </c>
      <c r="BG237" s="191"/>
    </row>
    <row r="238" spans="1:59" ht="15" customHeight="1" x14ac:dyDescent="0.25">
      <c r="A238" s="167"/>
      <c r="B238" s="195"/>
      <c r="C238" s="161"/>
      <c r="D238" s="160"/>
      <c r="E238" s="161"/>
      <c r="F238" s="164"/>
      <c r="G238" s="167"/>
      <c r="H238" s="167"/>
      <c r="I238" s="167"/>
      <c r="J238" s="167"/>
      <c r="K238" s="167"/>
      <c r="L238" s="166"/>
      <c r="M238" s="166"/>
      <c r="N238" s="166"/>
      <c r="O238" s="166"/>
      <c r="P238" s="166"/>
      <c r="Q238" s="166"/>
      <c r="R238" s="177"/>
      <c r="S238" s="167"/>
      <c r="T238" s="167"/>
      <c r="U238" s="167"/>
      <c r="V238" s="167"/>
      <c r="W238" s="167"/>
      <c r="X238" s="164"/>
      <c r="Y238" s="164"/>
      <c r="Z238" s="172"/>
      <c r="AA238" s="188"/>
      <c r="AB238" s="172"/>
      <c r="AC238" s="172"/>
      <c r="AD238" s="175"/>
      <c r="AE238" s="62" t="s">
        <v>114</v>
      </c>
      <c r="AF238" s="133"/>
      <c r="AG238" s="65"/>
      <c r="AH238" s="64"/>
      <c r="AI238" s="64"/>
      <c r="AJ238" s="64"/>
      <c r="AK238" s="64"/>
      <c r="AL238" s="64"/>
      <c r="AM238" s="80" t="str">
        <f>IFERROR((Tablas!$C$1*VLOOKUP(AH238, tipo_control, 2, 0)+Tablas!$E$1*VLOOKUP(AI238, nat_control, 2, 0)+Tablas!$G$1*VLOOKUP(AJ238, ev_control, 2, 0)+Tablas!$I$1*VLOOKUP(AK238, frec_control, 2, 0)+Tablas!$K$1*VLOOKUP(AL238, doc_control, 2, 0))*0.1*peso_dis, "")</f>
        <v/>
      </c>
      <c r="AN238" s="64"/>
      <c r="AO238" s="64"/>
      <c r="AP238" s="64"/>
      <c r="AQ238" s="80" t="str">
        <f>IFERROR((Tablas!$C$9*VLOOKUP(AN238, amb_control, 2, 0)+Tablas!$E$9*VLOOKUP(AO238, ejec_control, 2, 0)+Tablas!$G$9*VLOOKUP(AP238, cub_control, 2, 0))*0.1*peso_ejec, "")</f>
        <v/>
      </c>
      <c r="AR238" s="91" t="str">
        <f t="shared" si="347"/>
        <v/>
      </c>
      <c r="AS238" s="85" t="str">
        <f t="shared" si="350"/>
        <v/>
      </c>
      <c r="AT238" s="85" t="str">
        <f t="shared" si="351"/>
        <v/>
      </c>
      <c r="AU238" s="85" t="str">
        <f>IF(AR238&lt;Tablas!$G$19, 0, IF(AND(AR238&gt;=Tablas!$G$19, AR238&lt;Tablas!$G$20), 1,  IF(AND(AR238&gt;=Tablas!$G$20, AR238&lt;Tablas!$G$21), 2,  IF(AND(AR238&gt;=Tablas!$G$21, AR238&lt;=Tablas!$G$22), 3,  ""))))</f>
        <v/>
      </c>
      <c r="AV238" s="85" t="str">
        <f t="shared" si="348"/>
        <v/>
      </c>
      <c r="AW238" s="101" t="str">
        <f t="shared" si="349"/>
        <v/>
      </c>
      <c r="AX238" s="177"/>
      <c r="AY238" s="169"/>
      <c r="AZ238" s="158"/>
      <c r="BA238" s="169"/>
      <c r="BB238" s="182"/>
      <c r="BC238" s="182"/>
      <c r="BD238" s="185"/>
      <c r="BE238" s="185"/>
      <c r="BF238" s="158" t="str">
        <f t="shared" si="401"/>
        <v/>
      </c>
      <c r="BG238" s="191"/>
    </row>
    <row r="239" spans="1:59" ht="15" customHeight="1" x14ac:dyDescent="0.25">
      <c r="A239" s="167"/>
      <c r="B239" s="195"/>
      <c r="C239" s="161"/>
      <c r="D239" s="160"/>
      <c r="E239" s="161"/>
      <c r="F239" s="164"/>
      <c r="G239" s="167"/>
      <c r="H239" s="167"/>
      <c r="I239" s="167"/>
      <c r="J239" s="167"/>
      <c r="K239" s="167"/>
      <c r="L239" s="166"/>
      <c r="M239" s="166"/>
      <c r="N239" s="166"/>
      <c r="O239" s="166"/>
      <c r="P239" s="166"/>
      <c r="Q239" s="166"/>
      <c r="R239" s="177"/>
      <c r="S239" s="167"/>
      <c r="T239" s="167"/>
      <c r="U239" s="167"/>
      <c r="V239" s="167"/>
      <c r="W239" s="167"/>
      <c r="X239" s="164"/>
      <c r="Y239" s="164"/>
      <c r="Z239" s="172"/>
      <c r="AA239" s="188"/>
      <c r="AB239" s="172"/>
      <c r="AC239" s="172"/>
      <c r="AD239" s="175"/>
      <c r="AE239" s="62" t="s">
        <v>115</v>
      </c>
      <c r="AF239" s="133"/>
      <c r="AG239" s="65"/>
      <c r="AH239" s="64"/>
      <c r="AI239" s="64"/>
      <c r="AJ239" s="64"/>
      <c r="AK239" s="64"/>
      <c r="AL239" s="64"/>
      <c r="AM239" s="80" t="str">
        <f>IFERROR((Tablas!$C$1*VLOOKUP(AH239, tipo_control, 2, 0)+Tablas!$E$1*VLOOKUP(AI239, nat_control, 2, 0)+Tablas!$G$1*VLOOKUP(AJ239, ev_control, 2, 0)+Tablas!$I$1*VLOOKUP(AK239, frec_control, 2, 0)+Tablas!$K$1*VLOOKUP(AL239, doc_control, 2, 0))*0.1*peso_dis, "")</f>
        <v/>
      </c>
      <c r="AN239" s="64"/>
      <c r="AO239" s="64"/>
      <c r="AP239" s="64"/>
      <c r="AQ239" s="80" t="str">
        <f>IFERROR((Tablas!$C$9*VLOOKUP(AN239, amb_control, 2, 0)+Tablas!$E$9*VLOOKUP(AO239, ejec_control, 2, 0)+Tablas!$G$9*VLOOKUP(AP239, cub_control, 2, 0))*0.1*peso_ejec, "")</f>
        <v/>
      </c>
      <c r="AR239" s="91" t="str">
        <f t="shared" si="347"/>
        <v/>
      </c>
      <c r="AS239" s="85" t="str">
        <f t="shared" si="350"/>
        <v/>
      </c>
      <c r="AT239" s="85" t="str">
        <f t="shared" si="351"/>
        <v/>
      </c>
      <c r="AU239" s="85" t="str">
        <f>IF(AR239&lt;Tablas!$G$19, 0, IF(AND(AR239&gt;=Tablas!$G$19, AR239&lt;Tablas!$G$20), 1,  IF(AND(AR239&gt;=Tablas!$G$20, AR239&lt;Tablas!$G$21), 2,  IF(AND(AR239&gt;=Tablas!$G$21, AR239&lt;=Tablas!$G$22), 3,  ""))))</f>
        <v/>
      </c>
      <c r="AV239" s="85" t="str">
        <f t="shared" si="348"/>
        <v/>
      </c>
      <c r="AW239" s="101" t="str">
        <f t="shared" si="349"/>
        <v/>
      </c>
      <c r="AX239" s="177"/>
      <c r="AY239" s="169"/>
      <c r="AZ239" s="158"/>
      <c r="BA239" s="169"/>
      <c r="BB239" s="182"/>
      <c r="BC239" s="182"/>
      <c r="BD239" s="185"/>
      <c r="BE239" s="185"/>
      <c r="BF239" s="158" t="str">
        <f t="shared" si="401"/>
        <v/>
      </c>
      <c r="BG239" s="191"/>
    </row>
    <row r="240" spans="1:59" ht="15" customHeight="1" x14ac:dyDescent="0.25">
      <c r="A240" s="167"/>
      <c r="B240" s="195"/>
      <c r="C240" s="161"/>
      <c r="D240" s="160"/>
      <c r="E240" s="161"/>
      <c r="F240" s="164"/>
      <c r="G240" s="167"/>
      <c r="H240" s="167"/>
      <c r="I240" s="167"/>
      <c r="J240" s="167"/>
      <c r="K240" s="167"/>
      <c r="L240" s="166"/>
      <c r="M240" s="166"/>
      <c r="N240" s="166"/>
      <c r="O240" s="166"/>
      <c r="P240" s="166"/>
      <c r="Q240" s="166"/>
      <c r="R240" s="177"/>
      <c r="S240" s="167"/>
      <c r="T240" s="167"/>
      <c r="U240" s="167"/>
      <c r="V240" s="167"/>
      <c r="W240" s="167"/>
      <c r="X240" s="164"/>
      <c r="Y240" s="164"/>
      <c r="Z240" s="172"/>
      <c r="AA240" s="188"/>
      <c r="AB240" s="172"/>
      <c r="AC240" s="172"/>
      <c r="AD240" s="175"/>
      <c r="AE240" s="62" t="s">
        <v>153</v>
      </c>
      <c r="AF240" s="133"/>
      <c r="AG240" s="65"/>
      <c r="AH240" s="64"/>
      <c r="AI240" s="64"/>
      <c r="AJ240" s="64"/>
      <c r="AK240" s="64"/>
      <c r="AL240" s="64"/>
      <c r="AM240" s="80" t="str">
        <f>IFERROR((Tablas!$C$1*VLOOKUP(AH240, tipo_control, 2, 0)+Tablas!$E$1*VLOOKUP(AI240, nat_control, 2, 0)+Tablas!$G$1*VLOOKUP(AJ240, ev_control, 2, 0)+Tablas!$I$1*VLOOKUP(AK240, frec_control, 2, 0)+Tablas!$K$1*VLOOKUP(AL240, doc_control, 2, 0))*0.1*peso_dis, "")</f>
        <v/>
      </c>
      <c r="AN240" s="64"/>
      <c r="AO240" s="64"/>
      <c r="AP240" s="64"/>
      <c r="AQ240" s="80" t="str">
        <f>IFERROR((Tablas!$C$9*VLOOKUP(AN240, amb_control, 2, 0)+Tablas!$E$9*VLOOKUP(AO240, ejec_control, 2, 0)+Tablas!$G$9*VLOOKUP(AP240, cub_control, 2, 0))*0.1*peso_ejec, "")</f>
        <v/>
      </c>
      <c r="AR240" s="91" t="str">
        <f t="shared" si="347"/>
        <v/>
      </c>
      <c r="AS240" s="85" t="str">
        <f t="shared" si="350"/>
        <v/>
      </c>
      <c r="AT240" s="85" t="str">
        <f t="shared" si="351"/>
        <v/>
      </c>
      <c r="AU240" s="85" t="str">
        <f>IF(AR240&lt;Tablas!$G$19, 0, IF(AND(AR240&gt;=Tablas!$G$19, AR240&lt;Tablas!$G$20), 1,  IF(AND(AR240&gt;=Tablas!$G$20, AR240&lt;Tablas!$G$21), 2,  IF(AND(AR240&gt;=Tablas!$G$21, AR240&lt;=Tablas!$G$22), 3,  ""))))</f>
        <v/>
      </c>
      <c r="AV240" s="85" t="str">
        <f t="shared" si="348"/>
        <v/>
      </c>
      <c r="AW240" s="101" t="str">
        <f t="shared" si="349"/>
        <v/>
      </c>
      <c r="AX240" s="177"/>
      <c r="AY240" s="169"/>
      <c r="AZ240" s="158"/>
      <c r="BA240" s="169"/>
      <c r="BB240" s="182"/>
      <c r="BC240" s="182"/>
      <c r="BD240" s="185"/>
      <c r="BE240" s="185"/>
      <c r="BF240" s="158"/>
      <c r="BG240" s="191"/>
    </row>
    <row r="241" spans="1:59" ht="15" customHeight="1" thickBot="1" x14ac:dyDescent="0.3">
      <c r="A241" s="167"/>
      <c r="B241" s="195"/>
      <c r="C241" s="161"/>
      <c r="D241" s="160"/>
      <c r="E241" s="161"/>
      <c r="F241" s="165"/>
      <c r="G241" s="149"/>
      <c r="H241" s="149"/>
      <c r="I241" s="149"/>
      <c r="J241" s="149"/>
      <c r="K241" s="149"/>
      <c r="L241" s="166"/>
      <c r="M241" s="166"/>
      <c r="N241" s="166"/>
      <c r="O241" s="166"/>
      <c r="P241" s="166"/>
      <c r="Q241" s="166"/>
      <c r="R241" s="177"/>
      <c r="S241" s="149"/>
      <c r="T241" s="149"/>
      <c r="U241" s="149"/>
      <c r="V241" s="149"/>
      <c r="W241" s="149"/>
      <c r="X241" s="165"/>
      <c r="Y241" s="165"/>
      <c r="Z241" s="172"/>
      <c r="AA241" s="188"/>
      <c r="AB241" s="172"/>
      <c r="AC241" s="172"/>
      <c r="AD241" s="175"/>
      <c r="AE241" s="66" t="s">
        <v>154</v>
      </c>
      <c r="AF241" s="134"/>
      <c r="AG241" s="67"/>
      <c r="AH241" s="69"/>
      <c r="AI241" s="69"/>
      <c r="AJ241" s="69"/>
      <c r="AK241" s="69"/>
      <c r="AL241" s="69"/>
      <c r="AM241" s="81" t="str">
        <f>IFERROR((Tablas!$C$1*VLOOKUP(AH241, tipo_control, 2, 0)+Tablas!$E$1*VLOOKUP(AI241, nat_control, 2, 0)+Tablas!$G$1*VLOOKUP(AJ241, ev_control, 2, 0)+Tablas!$I$1*VLOOKUP(AK241, frec_control, 2, 0)+Tablas!$K$1*VLOOKUP(AL241, doc_control, 2, 0))*0.1*peso_dis, "")</f>
        <v/>
      </c>
      <c r="AN241" s="69"/>
      <c r="AO241" s="69"/>
      <c r="AP241" s="69"/>
      <c r="AQ241" s="81" t="str">
        <f>IFERROR((Tablas!$C$9*VLOOKUP(AN241, amb_control, 2, 0)+Tablas!$E$9*VLOOKUP(AO241, ejec_control, 2, 0)+Tablas!$G$9*VLOOKUP(AP241, cub_control, 2, 0))*0.1*peso_ejec, "")</f>
        <v/>
      </c>
      <c r="AR241" s="93" t="str">
        <f t="shared" si="347"/>
        <v/>
      </c>
      <c r="AS241" s="94" t="str">
        <f t="shared" si="350"/>
        <v/>
      </c>
      <c r="AT241" s="94" t="str">
        <f t="shared" si="351"/>
        <v/>
      </c>
      <c r="AU241" s="94" t="str">
        <f>IF(AR241&lt;Tablas!$G$19, 0, IF(AND(AR241&gt;=Tablas!$G$19, AR241&lt;Tablas!$G$20), 1,  IF(AND(AR241&gt;=Tablas!$G$20, AR241&lt;Tablas!$G$21), 2,  IF(AND(AR241&gt;=Tablas!$G$21, AR241&lt;=Tablas!$G$22), 3,  ""))))</f>
        <v/>
      </c>
      <c r="AV241" s="94" t="str">
        <f t="shared" si="348"/>
        <v/>
      </c>
      <c r="AW241" s="102" t="str">
        <f t="shared" si="349"/>
        <v/>
      </c>
      <c r="AX241" s="157"/>
      <c r="AY241" s="170"/>
      <c r="AZ241" s="179"/>
      <c r="BA241" s="170"/>
      <c r="BB241" s="182"/>
      <c r="BC241" s="182"/>
      <c r="BD241" s="185"/>
      <c r="BE241" s="185"/>
      <c r="BF241" s="159"/>
      <c r="BG241" s="191"/>
    </row>
    <row r="242" spans="1:59" ht="15" customHeight="1" x14ac:dyDescent="0.25">
      <c r="A242" s="167"/>
      <c r="B242" s="195"/>
      <c r="C242" s="161" t="s">
        <v>181</v>
      </c>
      <c r="D242" s="160"/>
      <c r="E242" s="149"/>
      <c r="F242" s="163" t="str">
        <f t="shared" si="333"/>
        <v/>
      </c>
      <c r="G242" s="148"/>
      <c r="H242" s="148"/>
      <c r="I242" s="148"/>
      <c r="J242" s="148"/>
      <c r="K242" s="148"/>
      <c r="L242" s="165" t="str">
        <f t="shared" ref="L242" si="402">IFERROR(VLOOKUP(G242, tabla02, 2, 0), "")</f>
        <v/>
      </c>
      <c r="M242" s="165" t="str">
        <f t="shared" ref="M242" si="403">IFERROR(VLOOKUP(H242, tabla02, 2, 0), "")</f>
        <v/>
      </c>
      <c r="N242" s="165" t="str">
        <f t="shared" ref="N242" si="404">IFERROR(VLOOKUP(I242, tabla02, 2, 0), "")</f>
        <v/>
      </c>
      <c r="O242" s="165" t="str">
        <f t="shared" ref="O242" si="405">IFERROR(VLOOKUP(J242, tabla02, 2, 0), "")</f>
        <v/>
      </c>
      <c r="P242" s="165" t="str">
        <f t="shared" ref="P242" si="406">IFERROR(VLOOKUP(K242, tabla02, 2, 0), "")</f>
        <v/>
      </c>
      <c r="Q242" s="165" t="str">
        <f t="shared" ref="Q242" si="407">IF(SUM(L242:P242)=0, "", MAX(L242:P242))</f>
        <v/>
      </c>
      <c r="R242" s="159" t="str">
        <f>IFERROR(VLOOKUP(Q242, tabla04, 3, 0), "")</f>
        <v/>
      </c>
      <c r="S242" s="148"/>
      <c r="T242" s="148"/>
      <c r="U242" s="148"/>
      <c r="V242" s="148"/>
      <c r="W242" s="148"/>
      <c r="X242" s="163" t="str">
        <f>IFERROR(VLOOKUP(CONCATENATE(F242, "-", Q242), cuadrante_sev, 3, 0), "")</f>
        <v/>
      </c>
      <c r="Y242" s="163" t="str">
        <f t="shared" ref="Y242" si="408">IFERROR(IF(X242="Baja", 1, IF(X242="Moderada", 2, IF(X242="Alta", 3, IF(X242="Extrema", 4, "")))), "")</f>
        <v/>
      </c>
      <c r="Z242" s="172"/>
      <c r="AA242" s="188"/>
      <c r="AB242" s="172"/>
      <c r="AC242" s="172"/>
      <c r="AD242" s="175"/>
      <c r="AE242" s="70" t="s">
        <v>113</v>
      </c>
      <c r="AF242" s="135"/>
      <c r="AG242" s="74"/>
      <c r="AH242" s="72"/>
      <c r="AI242" s="72"/>
      <c r="AJ242" s="72"/>
      <c r="AK242" s="72"/>
      <c r="AL242" s="72"/>
      <c r="AM242" s="82" t="str">
        <f>IFERROR((Tablas!$C$1*VLOOKUP(AH242, tipo_control, 2, 0)+Tablas!$E$1*VLOOKUP(AI242, nat_control, 2, 0)+Tablas!$G$1*VLOOKUP(AJ242, ev_control, 2, 0)+Tablas!$I$1*VLOOKUP(AK242, frec_control, 2, 0)+Tablas!$K$1*VLOOKUP(AL242, doc_control, 2, 0))*0.1*peso_dis, "")</f>
        <v/>
      </c>
      <c r="AN242" s="72"/>
      <c r="AO242" s="72"/>
      <c r="AP242" s="72"/>
      <c r="AQ242" s="82" t="str">
        <f>IFERROR((Tablas!$C$9*VLOOKUP(AN242, amb_control, 2, 0)+Tablas!$E$9*VLOOKUP(AO242, ejec_control, 2, 0)+Tablas!$G$9*VLOOKUP(AP242, cub_control, 2, 0))*0.1*peso_ejec, "")</f>
        <v/>
      </c>
      <c r="AR242" s="96" t="str">
        <f t="shared" si="347"/>
        <v/>
      </c>
      <c r="AS242" s="97" t="str">
        <f t="shared" si="350"/>
        <v/>
      </c>
      <c r="AT242" s="87" t="str">
        <f t="shared" si="351"/>
        <v/>
      </c>
      <c r="AU242" s="97" t="str">
        <f>IF(AR242&lt;Tablas!$G$19, 0, IF(AND(AR242&gt;=Tablas!$G$19, AR242&lt;Tablas!$G$20), 1,  IF(AND(AR242&gt;=Tablas!$G$20, AR242&lt;Tablas!$G$21), 2,  IF(AND(AR242&gt;=Tablas!$G$21, AR242&lt;=Tablas!$G$22), 3,  ""))))</f>
        <v/>
      </c>
      <c r="AV242" s="97" t="str">
        <f t="shared" si="348"/>
        <v/>
      </c>
      <c r="AW242" s="103" t="str">
        <f t="shared" si="349"/>
        <v/>
      </c>
      <c r="AX242" s="176" t="str">
        <f t="shared" ref="AX242" si="409">IFERROR(VLOOKUP(AY242, tabla04, 2, 0), "")</f>
        <v/>
      </c>
      <c r="AY242" s="168" t="str">
        <f>IF(F242="", "", IF((F242-MAX(AV242:AV246))&lt;=0, 1, F242-MAX(AV242:AV246)))</f>
        <v/>
      </c>
      <c r="AZ242" s="178" t="str">
        <f t="shared" ref="AZ242" si="410">IFERROR(VLOOKUP(BA242, tabla04, 3, 0), "")</f>
        <v/>
      </c>
      <c r="BA242" s="168" t="str">
        <f>IF(Q242="", "", IF((Q242-MAX(AW242:AW246))&lt;=0, 1, Q242-MAX(AW242:AW246)))</f>
        <v/>
      </c>
      <c r="BB242" s="182"/>
      <c r="BC242" s="182"/>
      <c r="BD242" s="185"/>
      <c r="BE242" s="185"/>
      <c r="BF242" s="158" t="str">
        <f t="shared" ref="BF242:BF244" si="411">IFERROR(VLOOKUP(CONCATENATE(AY242, "-", BA242), cuadrante_sev, 3, 0), "")</f>
        <v/>
      </c>
      <c r="BG242" s="191"/>
    </row>
    <row r="243" spans="1:59" ht="15" customHeight="1" x14ac:dyDescent="0.25">
      <c r="A243" s="167"/>
      <c r="B243" s="195"/>
      <c r="C243" s="161"/>
      <c r="D243" s="160"/>
      <c r="E243" s="161"/>
      <c r="F243" s="164"/>
      <c r="G243" s="167"/>
      <c r="H243" s="167"/>
      <c r="I243" s="167"/>
      <c r="J243" s="167"/>
      <c r="K243" s="167"/>
      <c r="L243" s="166"/>
      <c r="M243" s="166"/>
      <c r="N243" s="166"/>
      <c r="O243" s="166"/>
      <c r="P243" s="166"/>
      <c r="Q243" s="166"/>
      <c r="R243" s="177"/>
      <c r="S243" s="167"/>
      <c r="T243" s="167"/>
      <c r="U243" s="167"/>
      <c r="V243" s="167"/>
      <c r="W243" s="167"/>
      <c r="X243" s="164"/>
      <c r="Y243" s="164"/>
      <c r="Z243" s="172"/>
      <c r="AA243" s="188"/>
      <c r="AB243" s="172"/>
      <c r="AC243" s="172"/>
      <c r="AD243" s="175"/>
      <c r="AE243" s="62" t="s">
        <v>114</v>
      </c>
      <c r="AF243" s="133"/>
      <c r="AG243" s="65"/>
      <c r="AH243" s="64"/>
      <c r="AI243" s="64"/>
      <c r="AJ243" s="64"/>
      <c r="AK243" s="64"/>
      <c r="AL243" s="64"/>
      <c r="AM243" s="80" t="str">
        <f>IFERROR((Tablas!$C$1*VLOOKUP(AH243, tipo_control, 2, 0)+Tablas!$E$1*VLOOKUP(AI243, nat_control, 2, 0)+Tablas!$G$1*VLOOKUP(AJ243, ev_control, 2, 0)+Tablas!$I$1*VLOOKUP(AK243, frec_control, 2, 0)+Tablas!$K$1*VLOOKUP(AL243, doc_control, 2, 0))*0.1*peso_dis, "")</f>
        <v/>
      </c>
      <c r="AN243" s="64"/>
      <c r="AO243" s="64"/>
      <c r="AP243" s="64"/>
      <c r="AQ243" s="80" t="str">
        <f>IFERROR((Tablas!$C$9*VLOOKUP(AN243, amb_control, 2, 0)+Tablas!$E$9*VLOOKUP(AO243, ejec_control, 2, 0)+Tablas!$G$9*VLOOKUP(AP243, cub_control, 2, 0))*0.1*peso_ejec, "")</f>
        <v/>
      </c>
      <c r="AR243" s="91" t="str">
        <f t="shared" si="347"/>
        <v/>
      </c>
      <c r="AS243" s="85" t="str">
        <f t="shared" si="350"/>
        <v/>
      </c>
      <c r="AT243" s="85" t="str">
        <f t="shared" si="351"/>
        <v/>
      </c>
      <c r="AU243" s="85" t="str">
        <f>IF(AR243&lt;Tablas!$G$19, 0, IF(AND(AR243&gt;=Tablas!$G$19, AR243&lt;Tablas!$G$20), 1,  IF(AND(AR243&gt;=Tablas!$G$20, AR243&lt;Tablas!$G$21), 2,  IF(AND(AR243&gt;=Tablas!$G$21, AR243&lt;=Tablas!$G$22), 3,  ""))))</f>
        <v/>
      </c>
      <c r="AV243" s="85" t="str">
        <f t="shared" si="348"/>
        <v/>
      </c>
      <c r="AW243" s="101" t="str">
        <f t="shared" si="349"/>
        <v/>
      </c>
      <c r="AX243" s="177"/>
      <c r="AY243" s="169"/>
      <c r="AZ243" s="158"/>
      <c r="BA243" s="169"/>
      <c r="BB243" s="182"/>
      <c r="BC243" s="182"/>
      <c r="BD243" s="185"/>
      <c r="BE243" s="185"/>
      <c r="BF243" s="158" t="str">
        <f t="shared" si="411"/>
        <v/>
      </c>
      <c r="BG243" s="191"/>
    </row>
    <row r="244" spans="1:59" ht="15" customHeight="1" x14ac:dyDescent="0.25">
      <c r="A244" s="167"/>
      <c r="B244" s="195"/>
      <c r="C244" s="161"/>
      <c r="D244" s="160"/>
      <c r="E244" s="161"/>
      <c r="F244" s="164"/>
      <c r="G244" s="167"/>
      <c r="H244" s="167"/>
      <c r="I244" s="167"/>
      <c r="J244" s="167"/>
      <c r="K244" s="167"/>
      <c r="L244" s="166"/>
      <c r="M244" s="166"/>
      <c r="N244" s="166"/>
      <c r="O244" s="166"/>
      <c r="P244" s="166"/>
      <c r="Q244" s="166"/>
      <c r="R244" s="177"/>
      <c r="S244" s="167"/>
      <c r="T244" s="167"/>
      <c r="U244" s="167"/>
      <c r="V244" s="167"/>
      <c r="W244" s="167"/>
      <c r="X244" s="164"/>
      <c r="Y244" s="164"/>
      <c r="Z244" s="172"/>
      <c r="AA244" s="188"/>
      <c r="AB244" s="172"/>
      <c r="AC244" s="172"/>
      <c r="AD244" s="175"/>
      <c r="AE244" s="62" t="s">
        <v>115</v>
      </c>
      <c r="AF244" s="133"/>
      <c r="AG244" s="65"/>
      <c r="AH244" s="64"/>
      <c r="AI244" s="64"/>
      <c r="AJ244" s="64"/>
      <c r="AK244" s="64"/>
      <c r="AL244" s="64"/>
      <c r="AM244" s="80" t="str">
        <f>IFERROR((Tablas!$C$1*VLOOKUP(AH244, tipo_control, 2, 0)+Tablas!$E$1*VLOOKUP(AI244, nat_control, 2, 0)+Tablas!$G$1*VLOOKUP(AJ244, ev_control, 2, 0)+Tablas!$I$1*VLOOKUP(AK244, frec_control, 2, 0)+Tablas!$K$1*VLOOKUP(AL244, doc_control, 2, 0))*0.1*peso_dis, "")</f>
        <v/>
      </c>
      <c r="AN244" s="64"/>
      <c r="AO244" s="64"/>
      <c r="AP244" s="64"/>
      <c r="AQ244" s="80" t="str">
        <f>IFERROR((Tablas!$C$9*VLOOKUP(AN244, amb_control, 2, 0)+Tablas!$E$9*VLOOKUP(AO244, ejec_control, 2, 0)+Tablas!$G$9*VLOOKUP(AP244, cub_control, 2, 0))*0.1*peso_ejec, "")</f>
        <v/>
      </c>
      <c r="AR244" s="91" t="str">
        <f t="shared" si="347"/>
        <v/>
      </c>
      <c r="AS244" s="85" t="str">
        <f t="shared" si="350"/>
        <v/>
      </c>
      <c r="AT244" s="85" t="str">
        <f t="shared" si="351"/>
        <v/>
      </c>
      <c r="AU244" s="85" t="str">
        <f>IF(AR244&lt;Tablas!$G$19, 0, IF(AND(AR244&gt;=Tablas!$G$19, AR244&lt;Tablas!$G$20), 1,  IF(AND(AR244&gt;=Tablas!$G$20, AR244&lt;Tablas!$G$21), 2,  IF(AND(AR244&gt;=Tablas!$G$21, AR244&lt;=Tablas!$G$22), 3,  ""))))</f>
        <v/>
      </c>
      <c r="AV244" s="85" t="str">
        <f t="shared" si="348"/>
        <v/>
      </c>
      <c r="AW244" s="101" t="str">
        <f t="shared" si="349"/>
        <v/>
      </c>
      <c r="AX244" s="177"/>
      <c r="AY244" s="169"/>
      <c r="AZ244" s="158"/>
      <c r="BA244" s="169"/>
      <c r="BB244" s="182"/>
      <c r="BC244" s="182"/>
      <c r="BD244" s="185"/>
      <c r="BE244" s="185"/>
      <c r="BF244" s="158" t="str">
        <f t="shared" si="411"/>
        <v/>
      </c>
      <c r="BG244" s="191"/>
    </row>
    <row r="245" spans="1:59" ht="15" customHeight="1" x14ac:dyDescent="0.25">
      <c r="A245" s="167"/>
      <c r="B245" s="195"/>
      <c r="C245" s="161"/>
      <c r="D245" s="160"/>
      <c r="E245" s="161"/>
      <c r="F245" s="164"/>
      <c r="G245" s="167"/>
      <c r="H245" s="167"/>
      <c r="I245" s="167"/>
      <c r="J245" s="167"/>
      <c r="K245" s="167"/>
      <c r="L245" s="166"/>
      <c r="M245" s="166"/>
      <c r="N245" s="166"/>
      <c r="O245" s="166"/>
      <c r="P245" s="166"/>
      <c r="Q245" s="166"/>
      <c r="R245" s="177"/>
      <c r="S245" s="167"/>
      <c r="T245" s="167"/>
      <c r="U245" s="167"/>
      <c r="V245" s="167"/>
      <c r="W245" s="167"/>
      <c r="X245" s="164"/>
      <c r="Y245" s="164"/>
      <c r="Z245" s="172"/>
      <c r="AA245" s="188"/>
      <c r="AB245" s="172"/>
      <c r="AC245" s="172"/>
      <c r="AD245" s="175"/>
      <c r="AE245" s="62" t="s">
        <v>153</v>
      </c>
      <c r="AF245" s="133"/>
      <c r="AG245" s="65"/>
      <c r="AH245" s="64"/>
      <c r="AI245" s="64"/>
      <c r="AJ245" s="64"/>
      <c r="AK245" s="64"/>
      <c r="AL245" s="64"/>
      <c r="AM245" s="80" t="str">
        <f>IFERROR((Tablas!$C$1*VLOOKUP(AH245, tipo_control, 2, 0)+Tablas!$E$1*VLOOKUP(AI245, nat_control, 2, 0)+Tablas!$G$1*VLOOKUP(AJ245, ev_control, 2, 0)+Tablas!$I$1*VLOOKUP(AK245, frec_control, 2, 0)+Tablas!$K$1*VLOOKUP(AL245, doc_control, 2, 0))*0.1*peso_dis, "")</f>
        <v/>
      </c>
      <c r="AN245" s="64"/>
      <c r="AO245" s="64"/>
      <c r="AP245" s="64"/>
      <c r="AQ245" s="80" t="str">
        <f>IFERROR((Tablas!$C$9*VLOOKUP(AN245, amb_control, 2, 0)+Tablas!$E$9*VLOOKUP(AO245, ejec_control, 2, 0)+Tablas!$G$9*VLOOKUP(AP245, cub_control, 2, 0))*0.1*peso_ejec, "")</f>
        <v/>
      </c>
      <c r="AR245" s="91" t="str">
        <f t="shared" si="347"/>
        <v/>
      </c>
      <c r="AS245" s="85" t="str">
        <f t="shared" si="350"/>
        <v/>
      </c>
      <c r="AT245" s="85" t="str">
        <f t="shared" si="351"/>
        <v/>
      </c>
      <c r="AU245" s="85" t="str">
        <f>IF(AR245&lt;Tablas!$G$19, 0, IF(AND(AR245&gt;=Tablas!$G$19, AR245&lt;Tablas!$G$20), 1,  IF(AND(AR245&gt;=Tablas!$G$20, AR245&lt;Tablas!$G$21), 2,  IF(AND(AR245&gt;=Tablas!$G$21, AR245&lt;=Tablas!$G$22), 3,  ""))))</f>
        <v/>
      </c>
      <c r="AV245" s="85" t="str">
        <f t="shared" si="348"/>
        <v/>
      </c>
      <c r="AW245" s="101" t="str">
        <f t="shared" si="349"/>
        <v/>
      </c>
      <c r="AX245" s="177"/>
      <c r="AY245" s="169"/>
      <c r="AZ245" s="158"/>
      <c r="BA245" s="169"/>
      <c r="BB245" s="182"/>
      <c r="BC245" s="182"/>
      <c r="BD245" s="185"/>
      <c r="BE245" s="185"/>
      <c r="BF245" s="158"/>
      <c r="BG245" s="191"/>
    </row>
    <row r="246" spans="1:59" ht="15" customHeight="1" thickBot="1" x14ac:dyDescent="0.3">
      <c r="A246" s="167"/>
      <c r="B246" s="195"/>
      <c r="C246" s="161"/>
      <c r="D246" s="160"/>
      <c r="E246" s="161"/>
      <c r="F246" s="165"/>
      <c r="G246" s="149"/>
      <c r="H246" s="149"/>
      <c r="I246" s="149"/>
      <c r="J246" s="149"/>
      <c r="K246" s="149"/>
      <c r="L246" s="166"/>
      <c r="M246" s="166"/>
      <c r="N246" s="166"/>
      <c r="O246" s="166"/>
      <c r="P246" s="166"/>
      <c r="Q246" s="166"/>
      <c r="R246" s="177"/>
      <c r="S246" s="149"/>
      <c r="T246" s="149"/>
      <c r="U246" s="149"/>
      <c r="V246" s="149"/>
      <c r="W246" s="149"/>
      <c r="X246" s="165"/>
      <c r="Y246" s="165"/>
      <c r="Z246" s="172"/>
      <c r="AA246" s="188"/>
      <c r="AB246" s="172"/>
      <c r="AC246" s="172"/>
      <c r="AD246" s="175"/>
      <c r="AE246" s="66" t="s">
        <v>154</v>
      </c>
      <c r="AF246" s="134"/>
      <c r="AG246" s="67"/>
      <c r="AH246" s="69"/>
      <c r="AI246" s="69"/>
      <c r="AJ246" s="69"/>
      <c r="AK246" s="69"/>
      <c r="AL246" s="69"/>
      <c r="AM246" s="81" t="str">
        <f>IFERROR((Tablas!$C$1*VLOOKUP(AH246, tipo_control, 2, 0)+Tablas!$E$1*VLOOKUP(AI246, nat_control, 2, 0)+Tablas!$G$1*VLOOKUP(AJ246, ev_control, 2, 0)+Tablas!$I$1*VLOOKUP(AK246, frec_control, 2, 0)+Tablas!$K$1*VLOOKUP(AL246, doc_control, 2, 0))*0.1*peso_dis, "")</f>
        <v/>
      </c>
      <c r="AN246" s="69"/>
      <c r="AO246" s="69"/>
      <c r="AP246" s="69"/>
      <c r="AQ246" s="81" t="str">
        <f>IFERROR((Tablas!$C$9*VLOOKUP(AN246, amb_control, 2, 0)+Tablas!$E$9*VLOOKUP(AO246, ejec_control, 2, 0)+Tablas!$G$9*VLOOKUP(AP246, cub_control, 2, 0))*0.1*peso_ejec, "")</f>
        <v/>
      </c>
      <c r="AR246" s="93" t="str">
        <f t="shared" si="347"/>
        <v/>
      </c>
      <c r="AS246" s="94" t="str">
        <f t="shared" si="350"/>
        <v/>
      </c>
      <c r="AT246" s="94" t="str">
        <f t="shared" si="351"/>
        <v/>
      </c>
      <c r="AU246" s="94" t="str">
        <f>IF(AR246&lt;Tablas!$G$19, 0, IF(AND(AR246&gt;=Tablas!$G$19, AR246&lt;Tablas!$G$20), 1,  IF(AND(AR246&gt;=Tablas!$G$20, AR246&lt;Tablas!$G$21), 2,  IF(AND(AR246&gt;=Tablas!$G$21, AR246&lt;=Tablas!$G$22), 3,  ""))))</f>
        <v/>
      </c>
      <c r="AV246" s="94" t="str">
        <f t="shared" si="348"/>
        <v/>
      </c>
      <c r="AW246" s="102" t="str">
        <f t="shared" si="349"/>
        <v/>
      </c>
      <c r="AX246" s="157"/>
      <c r="AY246" s="170"/>
      <c r="AZ246" s="179"/>
      <c r="BA246" s="170"/>
      <c r="BB246" s="182"/>
      <c r="BC246" s="182"/>
      <c r="BD246" s="185"/>
      <c r="BE246" s="185"/>
      <c r="BF246" s="159"/>
      <c r="BG246" s="191"/>
    </row>
    <row r="247" spans="1:59" ht="15" customHeight="1" x14ac:dyDescent="0.25">
      <c r="A247" s="167"/>
      <c r="B247" s="195"/>
      <c r="C247" s="161" t="s">
        <v>182</v>
      </c>
      <c r="D247" s="160"/>
      <c r="E247" s="149"/>
      <c r="F247" s="163" t="str">
        <f t="shared" si="333"/>
        <v/>
      </c>
      <c r="G247" s="148"/>
      <c r="H247" s="148"/>
      <c r="I247" s="148"/>
      <c r="J247" s="148"/>
      <c r="K247" s="148"/>
      <c r="L247" s="165" t="str">
        <f t="shared" ref="L247" si="412">IFERROR(VLOOKUP(G247, tabla02, 2, 0), "")</f>
        <v/>
      </c>
      <c r="M247" s="165" t="str">
        <f t="shared" ref="M247" si="413">IFERROR(VLOOKUP(H247, tabla02, 2, 0), "")</f>
        <v/>
      </c>
      <c r="N247" s="165" t="str">
        <f t="shared" ref="N247" si="414">IFERROR(VLOOKUP(I247, tabla02, 2, 0), "")</f>
        <v/>
      </c>
      <c r="O247" s="165" t="str">
        <f t="shared" ref="O247" si="415">IFERROR(VLOOKUP(J247, tabla02, 2, 0), "")</f>
        <v/>
      </c>
      <c r="P247" s="165" t="str">
        <f t="shared" ref="P247" si="416">IFERROR(VLOOKUP(K247, tabla02, 2, 0), "")</f>
        <v/>
      </c>
      <c r="Q247" s="165" t="str">
        <f t="shared" ref="Q247" si="417">IF(SUM(L247:P247)=0, "", MAX(L247:P247))</f>
        <v/>
      </c>
      <c r="R247" s="159" t="str">
        <f>IFERROR(VLOOKUP(Q247, tabla04, 3, 0), "")</f>
        <v/>
      </c>
      <c r="S247" s="148"/>
      <c r="T247" s="148"/>
      <c r="U247" s="148"/>
      <c r="V247" s="148"/>
      <c r="W247" s="148"/>
      <c r="X247" s="163" t="str">
        <f>IFERROR(VLOOKUP(CONCATENATE(F247, "-", Q247), cuadrante_sev, 3, 0), "")</f>
        <v/>
      </c>
      <c r="Y247" s="163" t="str">
        <f t="shared" ref="Y247" si="418">IFERROR(IF(X247="Baja", 1, IF(X247="Moderada", 2, IF(X247="Alta", 3, IF(X247="Extrema", 4, "")))), "")</f>
        <v/>
      </c>
      <c r="Z247" s="172"/>
      <c r="AA247" s="188"/>
      <c r="AB247" s="172"/>
      <c r="AC247" s="172"/>
      <c r="AD247" s="175"/>
      <c r="AE247" s="70" t="s">
        <v>113</v>
      </c>
      <c r="AF247" s="135"/>
      <c r="AG247" s="74"/>
      <c r="AH247" s="72"/>
      <c r="AI247" s="72"/>
      <c r="AJ247" s="72"/>
      <c r="AK247" s="72"/>
      <c r="AL247" s="72"/>
      <c r="AM247" s="82" t="str">
        <f>IFERROR((Tablas!$C$1*VLOOKUP(AH247, tipo_control, 2, 0)+Tablas!$E$1*VLOOKUP(AI247, nat_control, 2, 0)+Tablas!$G$1*VLOOKUP(AJ247, ev_control, 2, 0)+Tablas!$I$1*VLOOKUP(AK247, frec_control, 2, 0)+Tablas!$K$1*VLOOKUP(AL247, doc_control, 2, 0))*0.1*peso_dis, "")</f>
        <v/>
      </c>
      <c r="AN247" s="72"/>
      <c r="AO247" s="72"/>
      <c r="AP247" s="72"/>
      <c r="AQ247" s="82" t="str">
        <f>IFERROR((Tablas!$C$9*VLOOKUP(AN247, amb_control, 2, 0)+Tablas!$E$9*VLOOKUP(AO247, ejec_control, 2, 0)+Tablas!$G$9*VLOOKUP(AP247, cub_control, 2, 0))*0.1*peso_ejec, "")</f>
        <v/>
      </c>
      <c r="AR247" s="96" t="str">
        <f t="shared" si="347"/>
        <v/>
      </c>
      <c r="AS247" s="97" t="str">
        <f t="shared" si="350"/>
        <v/>
      </c>
      <c r="AT247" s="87" t="str">
        <f t="shared" si="351"/>
        <v/>
      </c>
      <c r="AU247" s="97" t="str">
        <f>IF(AR247&lt;Tablas!$G$19, 0, IF(AND(AR247&gt;=Tablas!$G$19, AR247&lt;Tablas!$G$20), 1,  IF(AND(AR247&gt;=Tablas!$G$20, AR247&lt;Tablas!$G$21), 2,  IF(AND(AR247&gt;=Tablas!$G$21, AR247&lt;=Tablas!$G$22), 3,  ""))))</f>
        <v/>
      </c>
      <c r="AV247" s="97" t="str">
        <f t="shared" si="348"/>
        <v/>
      </c>
      <c r="AW247" s="103" t="str">
        <f t="shared" si="349"/>
        <v/>
      </c>
      <c r="AX247" s="176" t="str">
        <f t="shared" ref="AX247" si="419">IFERROR(VLOOKUP(AY247, tabla04, 2, 0), "")</f>
        <v/>
      </c>
      <c r="AY247" s="168" t="str">
        <f>IF(F247="", "", IF((F247-MAX(AV247:AV251))&lt;=0, 1, F247-MAX(AV247:AV251)))</f>
        <v/>
      </c>
      <c r="AZ247" s="178" t="str">
        <f t="shared" ref="AZ247" si="420">IFERROR(VLOOKUP(BA247, tabla04, 3, 0), "")</f>
        <v/>
      </c>
      <c r="BA247" s="168" t="str">
        <f>IF(Q247="", "", IF((Q247-MAX(AW247:AW251))&lt;=0, 1, Q247-MAX(AW247:AW251)))</f>
        <v/>
      </c>
      <c r="BB247" s="182"/>
      <c r="BC247" s="182"/>
      <c r="BD247" s="185"/>
      <c r="BE247" s="185"/>
      <c r="BF247" s="158" t="str">
        <f t="shared" ref="BF247:BF249" si="421">IFERROR(VLOOKUP(CONCATENATE(AY247, "-", BA247), cuadrante_sev, 3, 0), "")</f>
        <v/>
      </c>
      <c r="BG247" s="191"/>
    </row>
    <row r="248" spans="1:59" ht="15" customHeight="1" x14ac:dyDescent="0.25">
      <c r="A248" s="167"/>
      <c r="B248" s="195"/>
      <c r="C248" s="161"/>
      <c r="D248" s="160"/>
      <c r="E248" s="161"/>
      <c r="F248" s="164"/>
      <c r="G248" s="167"/>
      <c r="H248" s="167"/>
      <c r="I248" s="167"/>
      <c r="J248" s="167"/>
      <c r="K248" s="167"/>
      <c r="L248" s="166"/>
      <c r="M248" s="166"/>
      <c r="N248" s="166"/>
      <c r="O248" s="166"/>
      <c r="P248" s="166"/>
      <c r="Q248" s="166"/>
      <c r="R248" s="177"/>
      <c r="S248" s="167"/>
      <c r="T248" s="167"/>
      <c r="U248" s="167"/>
      <c r="V248" s="167"/>
      <c r="W248" s="167"/>
      <c r="X248" s="164"/>
      <c r="Y248" s="164"/>
      <c r="Z248" s="172"/>
      <c r="AA248" s="188"/>
      <c r="AB248" s="172"/>
      <c r="AC248" s="172"/>
      <c r="AD248" s="175"/>
      <c r="AE248" s="62" t="s">
        <v>114</v>
      </c>
      <c r="AF248" s="133"/>
      <c r="AG248" s="65"/>
      <c r="AH248" s="64"/>
      <c r="AI248" s="64"/>
      <c r="AJ248" s="64"/>
      <c r="AK248" s="64"/>
      <c r="AL248" s="64"/>
      <c r="AM248" s="80" t="str">
        <f>IFERROR((Tablas!$C$1*VLOOKUP(AH248, tipo_control, 2, 0)+Tablas!$E$1*VLOOKUP(AI248, nat_control, 2, 0)+Tablas!$G$1*VLOOKUP(AJ248, ev_control, 2, 0)+Tablas!$I$1*VLOOKUP(AK248, frec_control, 2, 0)+Tablas!$K$1*VLOOKUP(AL248, doc_control, 2, 0))*0.1*peso_dis, "")</f>
        <v/>
      </c>
      <c r="AN248" s="64"/>
      <c r="AO248" s="64"/>
      <c r="AP248" s="64"/>
      <c r="AQ248" s="80" t="str">
        <f>IFERROR((Tablas!$C$9*VLOOKUP(AN248, amb_control, 2, 0)+Tablas!$E$9*VLOOKUP(AO248, ejec_control, 2, 0)+Tablas!$G$9*VLOOKUP(AP248, cub_control, 2, 0))*0.1*peso_ejec, "")</f>
        <v/>
      </c>
      <c r="AR248" s="91" t="str">
        <f t="shared" si="347"/>
        <v/>
      </c>
      <c r="AS248" s="85" t="str">
        <f t="shared" si="350"/>
        <v/>
      </c>
      <c r="AT248" s="85" t="str">
        <f t="shared" si="351"/>
        <v/>
      </c>
      <c r="AU248" s="85" t="str">
        <f>IF(AR248&lt;Tablas!$G$19, 0, IF(AND(AR248&gt;=Tablas!$G$19, AR248&lt;Tablas!$G$20), 1,  IF(AND(AR248&gt;=Tablas!$G$20, AR248&lt;Tablas!$G$21), 2,  IF(AND(AR248&gt;=Tablas!$G$21, AR248&lt;=Tablas!$G$22), 3,  ""))))</f>
        <v/>
      </c>
      <c r="AV248" s="85" t="str">
        <f t="shared" si="348"/>
        <v/>
      </c>
      <c r="AW248" s="101" t="str">
        <f t="shared" si="349"/>
        <v/>
      </c>
      <c r="AX248" s="177"/>
      <c r="AY248" s="169"/>
      <c r="AZ248" s="158"/>
      <c r="BA248" s="169"/>
      <c r="BB248" s="182"/>
      <c r="BC248" s="182"/>
      <c r="BD248" s="185"/>
      <c r="BE248" s="185"/>
      <c r="BF248" s="158" t="str">
        <f t="shared" si="421"/>
        <v/>
      </c>
      <c r="BG248" s="191"/>
    </row>
    <row r="249" spans="1:59" ht="15" customHeight="1" x14ac:dyDescent="0.25">
      <c r="A249" s="167"/>
      <c r="B249" s="195"/>
      <c r="C249" s="161"/>
      <c r="D249" s="160"/>
      <c r="E249" s="161"/>
      <c r="F249" s="164"/>
      <c r="G249" s="167"/>
      <c r="H249" s="167"/>
      <c r="I249" s="167"/>
      <c r="J249" s="167"/>
      <c r="K249" s="167"/>
      <c r="L249" s="166"/>
      <c r="M249" s="166"/>
      <c r="N249" s="166"/>
      <c r="O249" s="166"/>
      <c r="P249" s="166"/>
      <c r="Q249" s="166"/>
      <c r="R249" s="177"/>
      <c r="S249" s="167"/>
      <c r="T249" s="167"/>
      <c r="U249" s="167"/>
      <c r="V249" s="167"/>
      <c r="W249" s="167"/>
      <c r="X249" s="164"/>
      <c r="Y249" s="164"/>
      <c r="Z249" s="172"/>
      <c r="AA249" s="188"/>
      <c r="AB249" s="172"/>
      <c r="AC249" s="172"/>
      <c r="AD249" s="175"/>
      <c r="AE249" s="62" t="s">
        <v>115</v>
      </c>
      <c r="AF249" s="133"/>
      <c r="AG249" s="65"/>
      <c r="AH249" s="64"/>
      <c r="AI249" s="64"/>
      <c r="AJ249" s="64"/>
      <c r="AK249" s="64"/>
      <c r="AL249" s="64"/>
      <c r="AM249" s="80" t="str">
        <f>IFERROR((Tablas!$C$1*VLOOKUP(AH249, tipo_control, 2, 0)+Tablas!$E$1*VLOOKUP(AI249, nat_control, 2, 0)+Tablas!$G$1*VLOOKUP(AJ249, ev_control, 2, 0)+Tablas!$I$1*VLOOKUP(AK249, frec_control, 2, 0)+Tablas!$K$1*VLOOKUP(AL249, doc_control, 2, 0))*0.1*peso_dis, "")</f>
        <v/>
      </c>
      <c r="AN249" s="64"/>
      <c r="AO249" s="64"/>
      <c r="AP249" s="64"/>
      <c r="AQ249" s="80" t="str">
        <f>IFERROR((Tablas!$C$9*VLOOKUP(AN249, amb_control, 2, 0)+Tablas!$E$9*VLOOKUP(AO249, ejec_control, 2, 0)+Tablas!$G$9*VLOOKUP(AP249, cub_control, 2, 0))*0.1*peso_ejec, "")</f>
        <v/>
      </c>
      <c r="AR249" s="91" t="str">
        <f t="shared" si="347"/>
        <v/>
      </c>
      <c r="AS249" s="85" t="str">
        <f t="shared" si="350"/>
        <v/>
      </c>
      <c r="AT249" s="85" t="str">
        <f t="shared" si="351"/>
        <v/>
      </c>
      <c r="AU249" s="85" t="str">
        <f>IF(AR249&lt;Tablas!$G$19, 0, IF(AND(AR249&gt;=Tablas!$G$19, AR249&lt;Tablas!$G$20), 1,  IF(AND(AR249&gt;=Tablas!$G$20, AR249&lt;Tablas!$G$21), 2,  IF(AND(AR249&gt;=Tablas!$G$21, AR249&lt;=Tablas!$G$22), 3,  ""))))</f>
        <v/>
      </c>
      <c r="AV249" s="85" t="str">
        <f t="shared" si="348"/>
        <v/>
      </c>
      <c r="AW249" s="101" t="str">
        <f t="shared" si="349"/>
        <v/>
      </c>
      <c r="AX249" s="177"/>
      <c r="AY249" s="169"/>
      <c r="AZ249" s="158"/>
      <c r="BA249" s="169"/>
      <c r="BB249" s="182"/>
      <c r="BC249" s="182"/>
      <c r="BD249" s="185"/>
      <c r="BE249" s="185"/>
      <c r="BF249" s="158" t="str">
        <f t="shared" si="421"/>
        <v/>
      </c>
      <c r="BG249" s="191"/>
    </row>
    <row r="250" spans="1:59" ht="15" customHeight="1" x14ac:dyDescent="0.25">
      <c r="A250" s="167"/>
      <c r="B250" s="195"/>
      <c r="C250" s="161"/>
      <c r="D250" s="160"/>
      <c r="E250" s="161"/>
      <c r="F250" s="164"/>
      <c r="G250" s="167"/>
      <c r="H250" s="167"/>
      <c r="I250" s="167"/>
      <c r="J250" s="167"/>
      <c r="K250" s="167"/>
      <c r="L250" s="166"/>
      <c r="M250" s="166"/>
      <c r="N250" s="166"/>
      <c r="O250" s="166"/>
      <c r="P250" s="166"/>
      <c r="Q250" s="166"/>
      <c r="R250" s="177"/>
      <c r="S250" s="167"/>
      <c r="T250" s="167"/>
      <c r="U250" s="167"/>
      <c r="V250" s="167"/>
      <c r="W250" s="167"/>
      <c r="X250" s="164"/>
      <c r="Y250" s="164"/>
      <c r="Z250" s="172"/>
      <c r="AA250" s="188"/>
      <c r="AB250" s="172"/>
      <c r="AC250" s="172"/>
      <c r="AD250" s="175"/>
      <c r="AE250" s="62" t="s">
        <v>153</v>
      </c>
      <c r="AF250" s="133"/>
      <c r="AG250" s="65"/>
      <c r="AH250" s="64"/>
      <c r="AI250" s="64"/>
      <c r="AJ250" s="64"/>
      <c r="AK250" s="64"/>
      <c r="AL250" s="64"/>
      <c r="AM250" s="80" t="str">
        <f>IFERROR((Tablas!$C$1*VLOOKUP(AH250, tipo_control, 2, 0)+Tablas!$E$1*VLOOKUP(AI250, nat_control, 2, 0)+Tablas!$G$1*VLOOKUP(AJ250, ev_control, 2, 0)+Tablas!$I$1*VLOOKUP(AK250, frec_control, 2, 0)+Tablas!$K$1*VLOOKUP(AL250, doc_control, 2, 0))*0.1*peso_dis, "")</f>
        <v/>
      </c>
      <c r="AN250" s="64"/>
      <c r="AO250" s="64"/>
      <c r="AP250" s="64"/>
      <c r="AQ250" s="80" t="str">
        <f>IFERROR((Tablas!$C$9*VLOOKUP(AN250, amb_control, 2, 0)+Tablas!$E$9*VLOOKUP(AO250, ejec_control, 2, 0)+Tablas!$G$9*VLOOKUP(AP250, cub_control, 2, 0))*0.1*peso_ejec, "")</f>
        <v/>
      </c>
      <c r="AR250" s="91" t="str">
        <f t="shared" si="347"/>
        <v/>
      </c>
      <c r="AS250" s="85" t="str">
        <f t="shared" si="350"/>
        <v/>
      </c>
      <c r="AT250" s="85" t="str">
        <f t="shared" si="351"/>
        <v/>
      </c>
      <c r="AU250" s="85" t="str">
        <f>IF(AR250&lt;Tablas!$G$19, 0, IF(AND(AR250&gt;=Tablas!$G$19, AR250&lt;Tablas!$G$20), 1,  IF(AND(AR250&gt;=Tablas!$G$20, AR250&lt;Tablas!$G$21), 2,  IF(AND(AR250&gt;=Tablas!$G$21, AR250&lt;=Tablas!$G$22), 3,  ""))))</f>
        <v/>
      </c>
      <c r="AV250" s="85" t="str">
        <f t="shared" si="348"/>
        <v/>
      </c>
      <c r="AW250" s="101" t="str">
        <f t="shared" si="349"/>
        <v/>
      </c>
      <c r="AX250" s="177"/>
      <c r="AY250" s="169"/>
      <c r="AZ250" s="158"/>
      <c r="BA250" s="169"/>
      <c r="BB250" s="182"/>
      <c r="BC250" s="182"/>
      <c r="BD250" s="185"/>
      <c r="BE250" s="185"/>
      <c r="BF250" s="158"/>
      <c r="BG250" s="191"/>
    </row>
    <row r="251" spans="1:59" ht="15" customHeight="1" thickBot="1" x14ac:dyDescent="0.3">
      <c r="A251" s="167"/>
      <c r="B251" s="195"/>
      <c r="C251" s="161"/>
      <c r="D251" s="160"/>
      <c r="E251" s="161"/>
      <c r="F251" s="165"/>
      <c r="G251" s="149"/>
      <c r="H251" s="149"/>
      <c r="I251" s="149"/>
      <c r="J251" s="149"/>
      <c r="K251" s="149"/>
      <c r="L251" s="166"/>
      <c r="M251" s="166"/>
      <c r="N251" s="166"/>
      <c r="O251" s="166"/>
      <c r="P251" s="166"/>
      <c r="Q251" s="166"/>
      <c r="R251" s="177"/>
      <c r="S251" s="149"/>
      <c r="T251" s="149"/>
      <c r="U251" s="149"/>
      <c r="V251" s="149"/>
      <c r="W251" s="149"/>
      <c r="X251" s="165"/>
      <c r="Y251" s="165"/>
      <c r="Z251" s="172"/>
      <c r="AA251" s="188"/>
      <c r="AB251" s="172"/>
      <c r="AC251" s="172"/>
      <c r="AD251" s="175"/>
      <c r="AE251" s="66" t="s">
        <v>154</v>
      </c>
      <c r="AF251" s="134"/>
      <c r="AG251" s="67"/>
      <c r="AH251" s="69"/>
      <c r="AI251" s="69"/>
      <c r="AJ251" s="69"/>
      <c r="AK251" s="69"/>
      <c r="AL251" s="69"/>
      <c r="AM251" s="81" t="str">
        <f>IFERROR((Tablas!$C$1*VLOOKUP(AH251, tipo_control, 2, 0)+Tablas!$E$1*VLOOKUP(AI251, nat_control, 2, 0)+Tablas!$G$1*VLOOKUP(AJ251, ev_control, 2, 0)+Tablas!$I$1*VLOOKUP(AK251, frec_control, 2, 0)+Tablas!$K$1*VLOOKUP(AL251, doc_control, 2, 0))*0.1*peso_dis, "")</f>
        <v/>
      </c>
      <c r="AN251" s="69"/>
      <c r="AO251" s="69"/>
      <c r="AP251" s="69"/>
      <c r="AQ251" s="81" t="str">
        <f>IFERROR((Tablas!$C$9*VLOOKUP(AN251, amb_control, 2, 0)+Tablas!$E$9*VLOOKUP(AO251, ejec_control, 2, 0)+Tablas!$G$9*VLOOKUP(AP251, cub_control, 2, 0))*0.1*peso_ejec, "")</f>
        <v/>
      </c>
      <c r="AR251" s="93" t="str">
        <f t="shared" si="347"/>
        <v/>
      </c>
      <c r="AS251" s="94" t="str">
        <f t="shared" si="350"/>
        <v/>
      </c>
      <c r="AT251" s="94" t="str">
        <f t="shared" si="351"/>
        <v/>
      </c>
      <c r="AU251" s="94" t="str">
        <f>IF(AR251&lt;Tablas!$G$19, 0, IF(AND(AR251&gt;=Tablas!$G$19, AR251&lt;Tablas!$G$20), 1,  IF(AND(AR251&gt;=Tablas!$G$20, AR251&lt;Tablas!$G$21), 2,  IF(AND(AR251&gt;=Tablas!$G$21, AR251&lt;=Tablas!$G$22), 3,  ""))))</f>
        <v/>
      </c>
      <c r="AV251" s="94" t="str">
        <f t="shared" si="348"/>
        <v/>
      </c>
      <c r="AW251" s="102" t="str">
        <f t="shared" si="349"/>
        <v/>
      </c>
      <c r="AX251" s="157"/>
      <c r="AY251" s="170"/>
      <c r="AZ251" s="179"/>
      <c r="BA251" s="170"/>
      <c r="BB251" s="182"/>
      <c r="BC251" s="182"/>
      <c r="BD251" s="185"/>
      <c r="BE251" s="185"/>
      <c r="BF251" s="159"/>
      <c r="BG251" s="191"/>
    </row>
    <row r="252" spans="1:59" ht="15" customHeight="1" x14ac:dyDescent="0.25">
      <c r="A252" s="167"/>
      <c r="B252" s="195"/>
      <c r="C252" s="161" t="s">
        <v>183</v>
      </c>
      <c r="D252" s="160"/>
      <c r="E252" s="149"/>
      <c r="F252" s="163" t="str">
        <f t="shared" si="333"/>
        <v/>
      </c>
      <c r="G252" s="148"/>
      <c r="H252" s="148"/>
      <c r="I252" s="148"/>
      <c r="J252" s="148"/>
      <c r="K252" s="148"/>
      <c r="L252" s="165" t="str">
        <f t="shared" ref="L252" si="422">IFERROR(VLOOKUP(G252, tabla02, 2, 0), "")</f>
        <v/>
      </c>
      <c r="M252" s="165" t="str">
        <f t="shared" ref="M252" si="423">IFERROR(VLOOKUP(H252, tabla02, 2, 0), "")</f>
        <v/>
      </c>
      <c r="N252" s="165" t="str">
        <f t="shared" ref="N252" si="424">IFERROR(VLOOKUP(I252, tabla02, 2, 0), "")</f>
        <v/>
      </c>
      <c r="O252" s="165" t="str">
        <f t="shared" ref="O252" si="425">IFERROR(VLOOKUP(J252, tabla02, 2, 0), "")</f>
        <v/>
      </c>
      <c r="P252" s="165" t="str">
        <f t="shared" ref="P252" si="426">IFERROR(VLOOKUP(K252, tabla02, 2, 0), "")</f>
        <v/>
      </c>
      <c r="Q252" s="165" t="str">
        <f t="shared" ref="Q252" si="427">IF(SUM(L252:P252)=0, "", MAX(L252:P252))</f>
        <v/>
      </c>
      <c r="R252" s="159" t="str">
        <f>IFERROR(VLOOKUP(Q252, tabla04, 3, 0), "")</f>
        <v/>
      </c>
      <c r="S252" s="148"/>
      <c r="T252" s="148"/>
      <c r="U252" s="148"/>
      <c r="V252" s="148"/>
      <c r="W252" s="148"/>
      <c r="X252" s="163" t="str">
        <f>IFERROR(VLOOKUP(CONCATENATE(F252, "-", Q252), cuadrante_sev, 3, 0), "")</f>
        <v/>
      </c>
      <c r="Y252" s="163" t="str">
        <f t="shared" ref="Y252" si="428">IFERROR(IF(X252="Baja", 1, IF(X252="Moderada", 2, IF(X252="Alta", 3, IF(X252="Extrema", 4, "")))), "")</f>
        <v/>
      </c>
      <c r="Z252" s="172"/>
      <c r="AA252" s="188"/>
      <c r="AB252" s="172"/>
      <c r="AC252" s="172"/>
      <c r="AD252" s="175"/>
      <c r="AE252" s="70" t="s">
        <v>113</v>
      </c>
      <c r="AF252" s="135"/>
      <c r="AG252" s="74"/>
      <c r="AH252" s="72"/>
      <c r="AI252" s="72"/>
      <c r="AJ252" s="72"/>
      <c r="AK252" s="72"/>
      <c r="AL252" s="72"/>
      <c r="AM252" s="82" t="str">
        <f>IFERROR((Tablas!$C$1*VLOOKUP(AH252, tipo_control, 2, 0)+Tablas!$E$1*VLOOKUP(AI252, nat_control, 2, 0)+Tablas!$G$1*VLOOKUP(AJ252, ev_control, 2, 0)+Tablas!$I$1*VLOOKUP(AK252, frec_control, 2, 0)+Tablas!$K$1*VLOOKUP(AL252, doc_control, 2, 0))*0.1*peso_dis, "")</f>
        <v/>
      </c>
      <c r="AN252" s="72"/>
      <c r="AO252" s="72"/>
      <c r="AP252" s="72"/>
      <c r="AQ252" s="82" t="str">
        <f>IFERROR((Tablas!$C$9*VLOOKUP(AN252, amb_control, 2, 0)+Tablas!$E$9*VLOOKUP(AO252, ejec_control, 2, 0)+Tablas!$G$9*VLOOKUP(AP252, cub_control, 2, 0))*0.1*peso_ejec, "")</f>
        <v/>
      </c>
      <c r="AR252" s="96" t="str">
        <f t="shared" si="347"/>
        <v/>
      </c>
      <c r="AS252" s="97" t="str">
        <f t="shared" si="350"/>
        <v/>
      </c>
      <c r="AT252" s="87" t="str">
        <f t="shared" si="351"/>
        <v/>
      </c>
      <c r="AU252" s="97" t="str">
        <f>IF(AR252&lt;Tablas!$G$19, 0, IF(AND(AR252&gt;=Tablas!$G$19, AR252&lt;Tablas!$G$20), 1,  IF(AND(AR252&gt;=Tablas!$G$20, AR252&lt;Tablas!$G$21), 2,  IF(AND(AR252&gt;=Tablas!$G$21, AR252&lt;=Tablas!$G$22), 3,  ""))))</f>
        <v/>
      </c>
      <c r="AV252" s="97" t="str">
        <f t="shared" si="348"/>
        <v/>
      </c>
      <c r="AW252" s="103" t="str">
        <f t="shared" si="349"/>
        <v/>
      </c>
      <c r="AX252" s="176" t="str">
        <f t="shared" ref="AX252" si="429">IFERROR(VLOOKUP(AY252, tabla04, 2, 0), "")</f>
        <v/>
      </c>
      <c r="AY252" s="168" t="str">
        <f>IF(F252="", "", IF((F252-MAX(AV252:AV256))&lt;=0, 1, F252-MAX(AV252:AV256)))</f>
        <v/>
      </c>
      <c r="AZ252" s="178" t="str">
        <f t="shared" ref="AZ252" si="430">IFERROR(VLOOKUP(BA252, tabla04, 3, 0), "")</f>
        <v/>
      </c>
      <c r="BA252" s="168" t="str">
        <f>IF(Q252="", "", IF((Q252-MAX(AW252:AW256))&lt;=0, 1, Q252-MAX(AW252:AW256)))</f>
        <v/>
      </c>
      <c r="BB252" s="182"/>
      <c r="BC252" s="182"/>
      <c r="BD252" s="185"/>
      <c r="BE252" s="185"/>
      <c r="BF252" s="158" t="str">
        <f t="shared" ref="BF252:BF254" si="431">IFERROR(VLOOKUP(CONCATENATE(AY252, "-", BA252), cuadrante_sev, 3, 0), "")</f>
        <v/>
      </c>
      <c r="BG252" s="191"/>
    </row>
    <row r="253" spans="1:59" ht="15" customHeight="1" x14ac:dyDescent="0.25">
      <c r="A253" s="167"/>
      <c r="B253" s="195"/>
      <c r="C253" s="161"/>
      <c r="D253" s="160"/>
      <c r="E253" s="161"/>
      <c r="F253" s="164"/>
      <c r="G253" s="167"/>
      <c r="H253" s="167"/>
      <c r="I253" s="167"/>
      <c r="J253" s="167"/>
      <c r="K253" s="167"/>
      <c r="L253" s="166"/>
      <c r="M253" s="166"/>
      <c r="N253" s="166"/>
      <c r="O253" s="166"/>
      <c r="P253" s="166"/>
      <c r="Q253" s="166"/>
      <c r="R253" s="177"/>
      <c r="S253" s="167"/>
      <c r="T253" s="167"/>
      <c r="U253" s="167"/>
      <c r="V253" s="167"/>
      <c r="W253" s="167"/>
      <c r="X253" s="164"/>
      <c r="Y253" s="164"/>
      <c r="Z253" s="172"/>
      <c r="AA253" s="188"/>
      <c r="AB253" s="172"/>
      <c r="AC253" s="172"/>
      <c r="AD253" s="175"/>
      <c r="AE253" s="62" t="s">
        <v>114</v>
      </c>
      <c r="AF253" s="133"/>
      <c r="AG253" s="65"/>
      <c r="AH253" s="64"/>
      <c r="AI253" s="64"/>
      <c r="AJ253" s="64"/>
      <c r="AK253" s="64"/>
      <c r="AL253" s="64"/>
      <c r="AM253" s="80" t="str">
        <f>IFERROR((Tablas!$C$1*VLOOKUP(AH253, tipo_control, 2, 0)+Tablas!$E$1*VLOOKUP(AI253, nat_control, 2, 0)+Tablas!$G$1*VLOOKUP(AJ253, ev_control, 2, 0)+Tablas!$I$1*VLOOKUP(AK253, frec_control, 2, 0)+Tablas!$K$1*VLOOKUP(AL253, doc_control, 2, 0))*0.1*peso_dis, "")</f>
        <v/>
      </c>
      <c r="AN253" s="64"/>
      <c r="AO253" s="64"/>
      <c r="AP253" s="64"/>
      <c r="AQ253" s="80" t="str">
        <f>IFERROR((Tablas!$C$9*VLOOKUP(AN253, amb_control, 2, 0)+Tablas!$E$9*VLOOKUP(AO253, ejec_control, 2, 0)+Tablas!$G$9*VLOOKUP(AP253, cub_control, 2, 0))*0.1*peso_ejec, "")</f>
        <v/>
      </c>
      <c r="AR253" s="91" t="str">
        <f t="shared" si="347"/>
        <v/>
      </c>
      <c r="AS253" s="85" t="str">
        <f t="shared" si="350"/>
        <v/>
      </c>
      <c r="AT253" s="85" t="str">
        <f t="shared" si="351"/>
        <v/>
      </c>
      <c r="AU253" s="85" t="str">
        <f>IF(AR253&lt;Tablas!$G$19, 0, IF(AND(AR253&gt;=Tablas!$G$19, AR253&lt;Tablas!$G$20), 1,  IF(AND(AR253&gt;=Tablas!$G$20, AR253&lt;Tablas!$G$21), 2,  IF(AND(AR253&gt;=Tablas!$G$21, AR253&lt;=Tablas!$G$22), 3,  ""))))</f>
        <v/>
      </c>
      <c r="AV253" s="85" t="str">
        <f t="shared" si="348"/>
        <v/>
      </c>
      <c r="AW253" s="101" t="str">
        <f t="shared" si="349"/>
        <v/>
      </c>
      <c r="AX253" s="177"/>
      <c r="AY253" s="169"/>
      <c r="AZ253" s="158"/>
      <c r="BA253" s="169"/>
      <c r="BB253" s="182"/>
      <c r="BC253" s="182"/>
      <c r="BD253" s="185"/>
      <c r="BE253" s="185"/>
      <c r="BF253" s="158" t="str">
        <f t="shared" si="431"/>
        <v/>
      </c>
      <c r="BG253" s="191"/>
    </row>
    <row r="254" spans="1:59" ht="15" customHeight="1" x14ac:dyDescent="0.25">
      <c r="A254" s="167"/>
      <c r="B254" s="195"/>
      <c r="C254" s="161"/>
      <c r="D254" s="160"/>
      <c r="E254" s="161"/>
      <c r="F254" s="164"/>
      <c r="G254" s="167"/>
      <c r="H254" s="167"/>
      <c r="I254" s="167"/>
      <c r="J254" s="167"/>
      <c r="K254" s="167"/>
      <c r="L254" s="166"/>
      <c r="M254" s="166"/>
      <c r="N254" s="166"/>
      <c r="O254" s="166"/>
      <c r="P254" s="166"/>
      <c r="Q254" s="166"/>
      <c r="R254" s="177"/>
      <c r="S254" s="167"/>
      <c r="T254" s="167"/>
      <c r="U254" s="167"/>
      <c r="V254" s="167"/>
      <c r="W254" s="167"/>
      <c r="X254" s="164"/>
      <c r="Y254" s="164"/>
      <c r="Z254" s="172"/>
      <c r="AA254" s="188"/>
      <c r="AB254" s="172"/>
      <c r="AC254" s="172"/>
      <c r="AD254" s="175"/>
      <c r="AE254" s="62" t="s">
        <v>115</v>
      </c>
      <c r="AF254" s="133"/>
      <c r="AG254" s="65"/>
      <c r="AH254" s="64"/>
      <c r="AI254" s="64"/>
      <c r="AJ254" s="64"/>
      <c r="AK254" s="64"/>
      <c r="AL254" s="64"/>
      <c r="AM254" s="80" t="str">
        <f>IFERROR((Tablas!$C$1*VLOOKUP(AH254, tipo_control, 2, 0)+Tablas!$E$1*VLOOKUP(AI254, nat_control, 2, 0)+Tablas!$G$1*VLOOKUP(AJ254, ev_control, 2, 0)+Tablas!$I$1*VLOOKUP(AK254, frec_control, 2, 0)+Tablas!$K$1*VLOOKUP(AL254, doc_control, 2, 0))*0.1*peso_dis, "")</f>
        <v/>
      </c>
      <c r="AN254" s="64"/>
      <c r="AO254" s="64"/>
      <c r="AP254" s="64"/>
      <c r="AQ254" s="80" t="str">
        <f>IFERROR((Tablas!$C$9*VLOOKUP(AN254, amb_control, 2, 0)+Tablas!$E$9*VLOOKUP(AO254, ejec_control, 2, 0)+Tablas!$G$9*VLOOKUP(AP254, cub_control, 2, 0))*0.1*peso_ejec, "")</f>
        <v/>
      </c>
      <c r="AR254" s="91" t="str">
        <f t="shared" si="347"/>
        <v/>
      </c>
      <c r="AS254" s="85" t="str">
        <f t="shared" si="350"/>
        <v/>
      </c>
      <c r="AT254" s="85" t="str">
        <f t="shared" si="351"/>
        <v/>
      </c>
      <c r="AU254" s="85" t="str">
        <f>IF(AR254&lt;Tablas!$G$19, 0, IF(AND(AR254&gt;=Tablas!$G$19, AR254&lt;Tablas!$G$20), 1,  IF(AND(AR254&gt;=Tablas!$G$20, AR254&lt;Tablas!$G$21), 2,  IF(AND(AR254&gt;=Tablas!$G$21, AR254&lt;=Tablas!$G$22), 3,  ""))))</f>
        <v/>
      </c>
      <c r="AV254" s="85" t="str">
        <f t="shared" si="348"/>
        <v/>
      </c>
      <c r="AW254" s="101" t="str">
        <f t="shared" si="349"/>
        <v/>
      </c>
      <c r="AX254" s="177"/>
      <c r="AY254" s="169"/>
      <c r="AZ254" s="158"/>
      <c r="BA254" s="169"/>
      <c r="BB254" s="182"/>
      <c r="BC254" s="182"/>
      <c r="BD254" s="185"/>
      <c r="BE254" s="185"/>
      <c r="BF254" s="158" t="str">
        <f t="shared" si="431"/>
        <v/>
      </c>
      <c r="BG254" s="191"/>
    </row>
    <row r="255" spans="1:59" ht="15" customHeight="1" x14ac:dyDescent="0.25">
      <c r="A255" s="167"/>
      <c r="B255" s="195"/>
      <c r="C255" s="161"/>
      <c r="D255" s="160"/>
      <c r="E255" s="161"/>
      <c r="F255" s="164"/>
      <c r="G255" s="167"/>
      <c r="H255" s="167"/>
      <c r="I255" s="167"/>
      <c r="J255" s="167"/>
      <c r="K255" s="167"/>
      <c r="L255" s="166"/>
      <c r="M255" s="166"/>
      <c r="N255" s="166"/>
      <c r="O255" s="166"/>
      <c r="P255" s="166"/>
      <c r="Q255" s="166"/>
      <c r="R255" s="177"/>
      <c r="S255" s="167"/>
      <c r="T255" s="167"/>
      <c r="U255" s="167"/>
      <c r="V255" s="167"/>
      <c r="W255" s="167"/>
      <c r="X255" s="164"/>
      <c r="Y255" s="164"/>
      <c r="Z255" s="172"/>
      <c r="AA255" s="188"/>
      <c r="AB255" s="172"/>
      <c r="AC255" s="172"/>
      <c r="AD255" s="175"/>
      <c r="AE255" s="62" t="s">
        <v>153</v>
      </c>
      <c r="AF255" s="133"/>
      <c r="AG255" s="65"/>
      <c r="AH255" s="64"/>
      <c r="AI255" s="64"/>
      <c r="AJ255" s="64"/>
      <c r="AK255" s="64"/>
      <c r="AL255" s="64"/>
      <c r="AM255" s="80" t="str">
        <f>IFERROR((Tablas!$C$1*VLOOKUP(AH255, tipo_control, 2, 0)+Tablas!$E$1*VLOOKUP(AI255, nat_control, 2, 0)+Tablas!$G$1*VLOOKUP(AJ255, ev_control, 2, 0)+Tablas!$I$1*VLOOKUP(AK255, frec_control, 2, 0)+Tablas!$K$1*VLOOKUP(AL255, doc_control, 2, 0))*0.1*peso_dis, "")</f>
        <v/>
      </c>
      <c r="AN255" s="64"/>
      <c r="AO255" s="64"/>
      <c r="AP255" s="64"/>
      <c r="AQ255" s="80" t="str">
        <f>IFERROR((Tablas!$C$9*VLOOKUP(AN255, amb_control, 2, 0)+Tablas!$E$9*VLOOKUP(AO255, ejec_control, 2, 0)+Tablas!$G$9*VLOOKUP(AP255, cub_control, 2, 0))*0.1*peso_ejec, "")</f>
        <v/>
      </c>
      <c r="AR255" s="91" t="str">
        <f t="shared" si="347"/>
        <v/>
      </c>
      <c r="AS255" s="85" t="str">
        <f t="shared" si="350"/>
        <v/>
      </c>
      <c r="AT255" s="85" t="str">
        <f t="shared" si="351"/>
        <v/>
      </c>
      <c r="AU255" s="85" t="str">
        <f>IF(AR255&lt;Tablas!$G$19, 0, IF(AND(AR255&gt;=Tablas!$G$19, AR255&lt;Tablas!$G$20), 1,  IF(AND(AR255&gt;=Tablas!$G$20, AR255&lt;Tablas!$G$21), 2,  IF(AND(AR255&gt;=Tablas!$G$21, AR255&lt;=Tablas!$G$22), 3,  ""))))</f>
        <v/>
      </c>
      <c r="AV255" s="85" t="str">
        <f t="shared" si="348"/>
        <v/>
      </c>
      <c r="AW255" s="101" t="str">
        <f t="shared" si="349"/>
        <v/>
      </c>
      <c r="AX255" s="177"/>
      <c r="AY255" s="169"/>
      <c r="AZ255" s="158"/>
      <c r="BA255" s="169"/>
      <c r="BB255" s="182"/>
      <c r="BC255" s="182"/>
      <c r="BD255" s="185"/>
      <c r="BE255" s="185"/>
      <c r="BF255" s="158"/>
      <c r="BG255" s="191"/>
    </row>
    <row r="256" spans="1:59" ht="15" customHeight="1" thickBot="1" x14ac:dyDescent="0.3">
      <c r="A256" s="149"/>
      <c r="B256" s="196"/>
      <c r="C256" s="161"/>
      <c r="D256" s="160"/>
      <c r="E256" s="161"/>
      <c r="F256" s="165"/>
      <c r="G256" s="149"/>
      <c r="H256" s="149"/>
      <c r="I256" s="149"/>
      <c r="J256" s="149"/>
      <c r="K256" s="149"/>
      <c r="L256" s="166"/>
      <c r="M256" s="166"/>
      <c r="N256" s="166"/>
      <c r="O256" s="166"/>
      <c r="P256" s="166"/>
      <c r="Q256" s="166"/>
      <c r="R256" s="177"/>
      <c r="S256" s="149"/>
      <c r="T256" s="149"/>
      <c r="U256" s="149"/>
      <c r="V256" s="149"/>
      <c r="W256" s="149"/>
      <c r="X256" s="165"/>
      <c r="Y256" s="165"/>
      <c r="Z256" s="173"/>
      <c r="AA256" s="189"/>
      <c r="AB256" s="173"/>
      <c r="AC256" s="173"/>
      <c r="AD256" s="175"/>
      <c r="AE256" s="75" t="s">
        <v>154</v>
      </c>
      <c r="AF256" s="136"/>
      <c r="AG256" s="68"/>
      <c r="AH256" s="76"/>
      <c r="AI256" s="76"/>
      <c r="AJ256" s="76"/>
      <c r="AK256" s="76"/>
      <c r="AL256" s="76"/>
      <c r="AM256" s="83" t="str">
        <f>IFERROR((Tablas!$C$1*VLOOKUP(AH256, tipo_control, 2, 0)+Tablas!$E$1*VLOOKUP(AI256, nat_control, 2, 0)+Tablas!$G$1*VLOOKUP(AJ256, ev_control, 2, 0)+Tablas!$I$1*VLOOKUP(AK256, frec_control, 2, 0)+Tablas!$K$1*VLOOKUP(AL256, doc_control, 2, 0))*0.1*peso_dis, "")</f>
        <v/>
      </c>
      <c r="AN256" s="76"/>
      <c r="AO256" s="76"/>
      <c r="AP256" s="76"/>
      <c r="AQ256" s="83" t="str">
        <f>IFERROR((Tablas!$C$9*VLOOKUP(AN256, amb_control, 2, 0)+Tablas!$E$9*VLOOKUP(AO256, ejec_control, 2, 0)+Tablas!$G$9*VLOOKUP(AP256, cub_control, 2, 0))*0.1*peso_ejec, "")</f>
        <v/>
      </c>
      <c r="AR256" s="99" t="str">
        <f t="shared" si="347"/>
        <v/>
      </c>
      <c r="AS256" s="86" t="str">
        <f t="shared" si="350"/>
        <v/>
      </c>
      <c r="AT256" s="86" t="str">
        <f t="shared" si="351"/>
        <v/>
      </c>
      <c r="AU256" s="86" t="str">
        <f>IF(AR256&lt;Tablas!$G$19, 0, IF(AND(AR256&gt;=Tablas!$G$19, AR256&lt;Tablas!$G$20), 1,  IF(AND(AR256&gt;=Tablas!$G$20, AR256&lt;Tablas!$G$21), 2,  IF(AND(AR256&gt;=Tablas!$G$21, AR256&lt;=Tablas!$G$22), 3,  ""))))</f>
        <v/>
      </c>
      <c r="AV256" s="86" t="str">
        <f t="shared" si="348"/>
        <v/>
      </c>
      <c r="AW256" s="84" t="str">
        <f t="shared" si="349"/>
        <v/>
      </c>
      <c r="AX256" s="157"/>
      <c r="AY256" s="170"/>
      <c r="AZ256" s="179"/>
      <c r="BA256" s="170"/>
      <c r="BB256" s="183"/>
      <c r="BC256" s="183"/>
      <c r="BD256" s="186"/>
      <c r="BE256" s="186"/>
      <c r="BF256" s="159"/>
      <c r="BG256" s="191"/>
    </row>
    <row r="257" spans="1:59" ht="15" customHeight="1" x14ac:dyDescent="0.25">
      <c r="A257" s="148" t="s">
        <v>188</v>
      </c>
      <c r="B257" s="194" t="s">
        <v>225</v>
      </c>
      <c r="C257" s="161" t="s">
        <v>14</v>
      </c>
      <c r="D257" s="160"/>
      <c r="E257" s="149"/>
      <c r="F257" s="163" t="str">
        <f t="shared" si="333"/>
        <v/>
      </c>
      <c r="G257" s="148"/>
      <c r="H257" s="148"/>
      <c r="I257" s="148"/>
      <c r="J257" s="148"/>
      <c r="K257" s="148"/>
      <c r="L257" s="165" t="str">
        <f>IFERROR(VLOOKUP(G257, tabla02, 2, 0), "")</f>
        <v/>
      </c>
      <c r="M257" s="165" t="str">
        <f>IFERROR(VLOOKUP(H257, tabla02, 2, 0), "")</f>
        <v/>
      </c>
      <c r="N257" s="165" t="str">
        <f>IFERROR(VLOOKUP(I257, tabla02, 2, 0), "")</f>
        <v/>
      </c>
      <c r="O257" s="165" t="str">
        <f>IFERROR(VLOOKUP(J257, tabla02, 2, 0), "")</f>
        <v/>
      </c>
      <c r="P257" s="165" t="str">
        <f>IFERROR(VLOOKUP(K257, tabla02, 2, 0), "")</f>
        <v/>
      </c>
      <c r="Q257" s="165" t="str">
        <f t="shared" ref="Q257" si="432">IF(SUM(L257:P257)=0, "", MAX(L257:P257))</f>
        <v/>
      </c>
      <c r="R257" s="159" t="str">
        <f>IFERROR(VLOOKUP(Q257, tabla04, 3, 0), "")</f>
        <v/>
      </c>
      <c r="S257" s="148"/>
      <c r="T257" s="148"/>
      <c r="U257" s="148"/>
      <c r="V257" s="148"/>
      <c r="W257" s="148"/>
      <c r="X257" s="164" t="str">
        <f>IFERROR(VLOOKUP(CONCATENATE(F257, "-", Q257), cuadrante_sev, 3, 0), "")</f>
        <v/>
      </c>
      <c r="Y257" s="163" t="str">
        <f>IFERROR(IF(X257="Baja", 1, IF(X257="Moderada", 2, IF(X257="Alta", 3, IF(X257="Extrema", 4, "")))), "")</f>
        <v/>
      </c>
      <c r="Z257" s="171">
        <f t="shared" ref="Z257" si="433">MAX(F257:F306)</f>
        <v>0</v>
      </c>
      <c r="AA257" s="187">
        <f t="shared" ref="AA257" si="434">MAX(Q257:Q306)</f>
        <v>0</v>
      </c>
      <c r="AB257" s="171" t="str">
        <f>IFERROR(VLOOKUP(Z257, tabla04, 2, 0), "")</f>
        <v/>
      </c>
      <c r="AC257" s="171" t="str">
        <f>IFERROR(VLOOKUP(AA257, tabla04, 3, 0), "")</f>
        <v/>
      </c>
      <c r="AD257" s="174" t="str">
        <f>IFERROR(VLOOKUP(CONCATENATE(Z257, "-", AA257), cuadrante_sev, 3, 0), "")</f>
        <v/>
      </c>
      <c r="AE257" s="59" t="s">
        <v>113</v>
      </c>
      <c r="AF257" s="132"/>
      <c r="AG257" s="77"/>
      <c r="AH257" s="61"/>
      <c r="AI257" s="61"/>
      <c r="AJ257" s="61"/>
      <c r="AK257" s="61"/>
      <c r="AL257" s="61"/>
      <c r="AM257" s="79" t="str">
        <f>IFERROR((Tablas!$C$1*VLOOKUP(AH257, tipo_control, 2, 0)+Tablas!$E$1*VLOOKUP(AI257, nat_control, 2, 0)+Tablas!$G$1*VLOOKUP(AJ257, ev_control, 2, 0)+Tablas!$I$1*VLOOKUP(AK257, frec_control, 2, 0)+Tablas!$K$1*VLOOKUP(AL257, doc_control, 2, 0))*0.1*peso_dis, "")</f>
        <v/>
      </c>
      <c r="AN257" s="61"/>
      <c r="AO257" s="61"/>
      <c r="AP257" s="61"/>
      <c r="AQ257" s="79" t="str">
        <f>IFERROR((Tablas!$C$9*VLOOKUP(AN257, amb_control, 2, 0)+Tablas!$E$9*VLOOKUP(AO257, ejec_control, 2, 0)+Tablas!$G$9*VLOOKUP(AP257, cub_control, 2, 0))*0.1*peso_ejec, "")</f>
        <v/>
      </c>
      <c r="AR257" s="89" t="str">
        <f>IFERROR(AM257+AQ257, "")</f>
        <v/>
      </c>
      <c r="AS257" s="87" t="str">
        <f t="shared" si="350"/>
        <v/>
      </c>
      <c r="AT257" s="87" t="str">
        <f t="shared" si="351"/>
        <v/>
      </c>
      <c r="AU257" s="87" t="str">
        <f>IF(AR257&lt;Tablas!$G$19, 0, IF(AND(AR257&gt;=Tablas!$G$19, AR257&lt;Tablas!$G$20), 1,  IF(AND(AR257&gt;=Tablas!$G$20, AR257&lt;Tablas!$G$21), 2,  IF(AND(AR257&gt;=Tablas!$G$21, AR257&lt;=Tablas!$G$22), 3,  ""))))</f>
        <v/>
      </c>
      <c r="AV257" s="87" t="str">
        <f>IF(AS257="Sí",AU257,"")</f>
        <v/>
      </c>
      <c r="AW257" s="100" t="str">
        <f>IF(AT257="Sí",AU257,"")</f>
        <v/>
      </c>
      <c r="AX257" s="176" t="str">
        <f>IFERROR(VLOOKUP(AY257, tabla04, 2, 0), "")</f>
        <v/>
      </c>
      <c r="AY257" s="168" t="str">
        <f>IF(F257="", "", IF((F257-MAX(AV257:AV261))&lt;=0, 1, F257-MAX(AV257:AV261)))</f>
        <v/>
      </c>
      <c r="AZ257" s="178" t="str">
        <f>IFERROR(VLOOKUP(BA257, tabla04, 3, 0), "")</f>
        <v/>
      </c>
      <c r="BA257" s="168" t="str">
        <f>IF(Q257="", "", IF((Q257-MAX(AW257:AW261))&lt;=0, 1, Q257-MAX(AW257:AW261)))</f>
        <v/>
      </c>
      <c r="BB257" s="170">
        <f>IFERROR(MAX(AY257:AY306), "")</f>
        <v>0</v>
      </c>
      <c r="BC257" s="170">
        <f>IFERROR(MAX(BA257:BA306), "")</f>
        <v>0</v>
      </c>
      <c r="BD257" s="184" t="str">
        <f>IFERROR(VLOOKUP(BB257, tabla04, 2, 0), "")</f>
        <v/>
      </c>
      <c r="BE257" s="184" t="str">
        <f>IFERROR(VLOOKUP(BC257, tabla04, 3, 0), "")</f>
        <v/>
      </c>
      <c r="BF257" s="158" t="str">
        <f>IFERROR(VLOOKUP(CONCATENATE(AY257, "-", BA257), cuadrante_sev, 3, 0), "")</f>
        <v/>
      </c>
      <c r="BG257" s="190" t="str">
        <f>IFERROR(VLOOKUP(CONCATENATE(BB257, "-", BC257), cuadrante_sev, 3, 0), "")</f>
        <v/>
      </c>
    </row>
    <row r="258" spans="1:59" ht="15" customHeight="1" x14ac:dyDescent="0.25">
      <c r="A258" s="167"/>
      <c r="B258" s="195"/>
      <c r="C258" s="161"/>
      <c r="D258" s="160"/>
      <c r="E258" s="161"/>
      <c r="F258" s="164"/>
      <c r="G258" s="167"/>
      <c r="H258" s="167"/>
      <c r="I258" s="167"/>
      <c r="J258" s="167"/>
      <c r="K258" s="167"/>
      <c r="L258" s="166"/>
      <c r="M258" s="166"/>
      <c r="N258" s="166"/>
      <c r="O258" s="166"/>
      <c r="P258" s="166"/>
      <c r="Q258" s="166"/>
      <c r="R258" s="177"/>
      <c r="S258" s="167"/>
      <c r="T258" s="167"/>
      <c r="U258" s="167"/>
      <c r="V258" s="167"/>
      <c r="W258" s="167"/>
      <c r="X258" s="164"/>
      <c r="Y258" s="164"/>
      <c r="Z258" s="172"/>
      <c r="AA258" s="188"/>
      <c r="AB258" s="172"/>
      <c r="AC258" s="172"/>
      <c r="AD258" s="175"/>
      <c r="AE258" s="62" t="s">
        <v>114</v>
      </c>
      <c r="AF258" s="133"/>
      <c r="AG258" s="65"/>
      <c r="AH258" s="64"/>
      <c r="AI258" s="64"/>
      <c r="AJ258" s="64"/>
      <c r="AK258" s="64"/>
      <c r="AL258" s="64"/>
      <c r="AM258" s="80" t="str">
        <f>IFERROR((Tablas!$C$1*VLOOKUP(AH258, tipo_control, 2, 0)+Tablas!$E$1*VLOOKUP(AI258, nat_control, 2, 0)+Tablas!$G$1*VLOOKUP(AJ258, ev_control, 2, 0)+Tablas!$I$1*VLOOKUP(AK258, frec_control, 2, 0)+Tablas!$K$1*VLOOKUP(AL258, doc_control, 2, 0))*0.1*peso_dis, "")</f>
        <v/>
      </c>
      <c r="AN258" s="64"/>
      <c r="AO258" s="64"/>
      <c r="AP258" s="64"/>
      <c r="AQ258" s="80" t="str">
        <f>IFERROR((Tablas!$C$9*VLOOKUP(AN258, amb_control, 2, 0)+Tablas!$E$9*VLOOKUP(AO258, ejec_control, 2, 0)+Tablas!$G$9*VLOOKUP(AP258, cub_control, 2, 0))*0.1*peso_ejec, "")</f>
        <v/>
      </c>
      <c r="AR258" s="91" t="str">
        <f t="shared" ref="AR258:AR306" si="435">IFERROR(AM258+AQ258, "")</f>
        <v/>
      </c>
      <c r="AS258" s="87" t="str">
        <f t="shared" si="350"/>
        <v/>
      </c>
      <c r="AT258" s="85" t="str">
        <f t="shared" si="351"/>
        <v/>
      </c>
      <c r="AU258" s="85" t="str">
        <f>IF(AR258&lt;Tablas!$G$19, 0, IF(AND(AR258&gt;=Tablas!$G$19, AR258&lt;Tablas!$G$20), 1,  IF(AND(AR258&gt;=Tablas!$G$20, AR258&lt;Tablas!$G$21), 2,  IF(AND(AR258&gt;=Tablas!$G$21, AR258&lt;=Tablas!$G$22), 3,  ""))))</f>
        <v/>
      </c>
      <c r="AV258" s="85" t="str">
        <f t="shared" ref="AV258:AV306" si="436">IF(AS258="Sí",AU258,"")</f>
        <v/>
      </c>
      <c r="AW258" s="101" t="str">
        <f t="shared" ref="AW258:AW306" si="437">IF(AT258="Sí",AU258,"")</f>
        <v/>
      </c>
      <c r="AX258" s="177"/>
      <c r="AY258" s="169"/>
      <c r="AZ258" s="158"/>
      <c r="BA258" s="169"/>
      <c r="BB258" s="182"/>
      <c r="BC258" s="182"/>
      <c r="BD258" s="185"/>
      <c r="BE258" s="185"/>
      <c r="BF258" s="158"/>
      <c r="BG258" s="191"/>
    </row>
    <row r="259" spans="1:59" ht="15" customHeight="1" x14ac:dyDescent="0.25">
      <c r="A259" s="167"/>
      <c r="B259" s="195"/>
      <c r="C259" s="161"/>
      <c r="D259" s="160"/>
      <c r="E259" s="161"/>
      <c r="F259" s="164"/>
      <c r="G259" s="167"/>
      <c r="H259" s="167"/>
      <c r="I259" s="167"/>
      <c r="J259" s="167"/>
      <c r="K259" s="167"/>
      <c r="L259" s="166"/>
      <c r="M259" s="166"/>
      <c r="N259" s="166"/>
      <c r="O259" s="166"/>
      <c r="P259" s="166"/>
      <c r="Q259" s="166"/>
      <c r="R259" s="177"/>
      <c r="S259" s="167"/>
      <c r="T259" s="167"/>
      <c r="U259" s="167"/>
      <c r="V259" s="167"/>
      <c r="W259" s="167"/>
      <c r="X259" s="164"/>
      <c r="Y259" s="164"/>
      <c r="Z259" s="172"/>
      <c r="AA259" s="188"/>
      <c r="AB259" s="172"/>
      <c r="AC259" s="172"/>
      <c r="AD259" s="175"/>
      <c r="AE259" s="62" t="s">
        <v>115</v>
      </c>
      <c r="AF259" s="133"/>
      <c r="AG259" s="65"/>
      <c r="AH259" s="64"/>
      <c r="AI259" s="64"/>
      <c r="AJ259" s="64"/>
      <c r="AK259" s="64"/>
      <c r="AL259" s="64"/>
      <c r="AM259" s="80" t="str">
        <f>IFERROR((Tablas!$C$1*VLOOKUP(AH259, tipo_control, 2, 0)+Tablas!$E$1*VLOOKUP(AI259, nat_control, 2, 0)+Tablas!$G$1*VLOOKUP(AJ259, ev_control, 2, 0)+Tablas!$I$1*VLOOKUP(AK259, frec_control, 2, 0)+Tablas!$K$1*VLOOKUP(AL259, doc_control, 2, 0))*0.1*peso_dis, "")</f>
        <v/>
      </c>
      <c r="AN259" s="64"/>
      <c r="AO259" s="64"/>
      <c r="AP259" s="64"/>
      <c r="AQ259" s="80" t="str">
        <f>IFERROR((Tablas!$C$9*VLOOKUP(AN259, amb_control, 2, 0)+Tablas!$E$9*VLOOKUP(AO259, ejec_control, 2, 0)+Tablas!$G$9*VLOOKUP(AP259, cub_control, 2, 0))*0.1*peso_ejec, "")</f>
        <v/>
      </c>
      <c r="AR259" s="91" t="str">
        <f t="shared" si="435"/>
        <v/>
      </c>
      <c r="AS259" s="87" t="str">
        <f t="shared" si="350"/>
        <v/>
      </c>
      <c r="AT259" s="85" t="str">
        <f t="shared" si="351"/>
        <v/>
      </c>
      <c r="AU259" s="85" t="str">
        <f>IF(AR259&lt;Tablas!$G$19, 0, IF(AND(AR259&gt;=Tablas!$G$19, AR259&lt;Tablas!$G$20), 1,  IF(AND(AR259&gt;=Tablas!$G$20, AR259&lt;Tablas!$G$21), 2,  IF(AND(AR259&gt;=Tablas!$G$21, AR259&lt;=Tablas!$G$22), 3,  ""))))</f>
        <v/>
      </c>
      <c r="AV259" s="85" t="str">
        <f t="shared" si="436"/>
        <v/>
      </c>
      <c r="AW259" s="101" t="str">
        <f t="shared" si="437"/>
        <v/>
      </c>
      <c r="AX259" s="177"/>
      <c r="AY259" s="169"/>
      <c r="AZ259" s="158"/>
      <c r="BA259" s="169"/>
      <c r="BB259" s="182"/>
      <c r="BC259" s="182"/>
      <c r="BD259" s="185"/>
      <c r="BE259" s="185"/>
      <c r="BF259" s="158"/>
      <c r="BG259" s="191"/>
    </row>
    <row r="260" spans="1:59" ht="15" customHeight="1" x14ac:dyDescent="0.25">
      <c r="A260" s="167"/>
      <c r="B260" s="195"/>
      <c r="C260" s="161"/>
      <c r="D260" s="160"/>
      <c r="E260" s="161"/>
      <c r="F260" s="164"/>
      <c r="G260" s="167"/>
      <c r="H260" s="167"/>
      <c r="I260" s="167"/>
      <c r="J260" s="167"/>
      <c r="K260" s="167"/>
      <c r="L260" s="166"/>
      <c r="M260" s="166"/>
      <c r="N260" s="166"/>
      <c r="O260" s="166"/>
      <c r="P260" s="166"/>
      <c r="Q260" s="166"/>
      <c r="R260" s="177"/>
      <c r="S260" s="167"/>
      <c r="T260" s="167"/>
      <c r="U260" s="167"/>
      <c r="V260" s="167"/>
      <c r="W260" s="167"/>
      <c r="X260" s="164"/>
      <c r="Y260" s="164"/>
      <c r="Z260" s="172"/>
      <c r="AA260" s="188"/>
      <c r="AB260" s="172"/>
      <c r="AC260" s="172"/>
      <c r="AD260" s="175"/>
      <c r="AE260" s="62" t="s">
        <v>153</v>
      </c>
      <c r="AF260" s="133"/>
      <c r="AG260" s="65"/>
      <c r="AH260" s="64"/>
      <c r="AI260" s="64"/>
      <c r="AJ260" s="64"/>
      <c r="AK260" s="64"/>
      <c r="AL260" s="64"/>
      <c r="AM260" s="80" t="str">
        <f>IFERROR((Tablas!$C$1*VLOOKUP(AH260, tipo_control, 2, 0)+Tablas!$E$1*VLOOKUP(AI260, nat_control, 2, 0)+Tablas!$G$1*VLOOKUP(AJ260, ev_control, 2, 0)+Tablas!$I$1*VLOOKUP(AK260, frec_control, 2, 0)+Tablas!$K$1*VLOOKUP(AL260, doc_control, 2, 0))*0.1*peso_dis, "")</f>
        <v/>
      </c>
      <c r="AN260" s="64"/>
      <c r="AO260" s="64"/>
      <c r="AP260" s="64"/>
      <c r="AQ260" s="80" t="str">
        <f>IFERROR((Tablas!$C$9*VLOOKUP(AN260, amb_control, 2, 0)+Tablas!$E$9*VLOOKUP(AO260, ejec_control, 2, 0)+Tablas!$G$9*VLOOKUP(AP260, cub_control, 2, 0))*0.1*peso_ejec, "")</f>
        <v/>
      </c>
      <c r="AR260" s="91" t="str">
        <f t="shared" si="435"/>
        <v/>
      </c>
      <c r="AS260" s="87" t="str">
        <f t="shared" si="350"/>
        <v/>
      </c>
      <c r="AT260" s="85" t="str">
        <f t="shared" si="351"/>
        <v/>
      </c>
      <c r="AU260" s="85" t="str">
        <f>IF(AR260&lt;Tablas!$G$19, 0, IF(AND(AR260&gt;=Tablas!$G$19, AR260&lt;Tablas!$G$20), 1,  IF(AND(AR260&gt;=Tablas!$G$20, AR260&lt;Tablas!$G$21), 2,  IF(AND(AR260&gt;=Tablas!$G$21, AR260&lt;=Tablas!$G$22), 3,  ""))))</f>
        <v/>
      </c>
      <c r="AV260" s="85" t="str">
        <f t="shared" si="436"/>
        <v/>
      </c>
      <c r="AW260" s="101" t="str">
        <f t="shared" si="437"/>
        <v/>
      </c>
      <c r="AX260" s="177"/>
      <c r="AY260" s="169"/>
      <c r="AZ260" s="158"/>
      <c r="BA260" s="169"/>
      <c r="BB260" s="182"/>
      <c r="BC260" s="182"/>
      <c r="BD260" s="185"/>
      <c r="BE260" s="185"/>
      <c r="BF260" s="158"/>
      <c r="BG260" s="191"/>
    </row>
    <row r="261" spans="1:59" ht="15" customHeight="1" thickBot="1" x14ac:dyDescent="0.3">
      <c r="A261" s="167"/>
      <c r="B261" s="195"/>
      <c r="C261" s="161"/>
      <c r="D261" s="160"/>
      <c r="E261" s="161"/>
      <c r="F261" s="165"/>
      <c r="G261" s="149"/>
      <c r="H261" s="149"/>
      <c r="I261" s="149"/>
      <c r="J261" s="149"/>
      <c r="K261" s="149"/>
      <c r="L261" s="166"/>
      <c r="M261" s="166"/>
      <c r="N261" s="166"/>
      <c r="O261" s="166"/>
      <c r="P261" s="166"/>
      <c r="Q261" s="166"/>
      <c r="R261" s="177"/>
      <c r="S261" s="149"/>
      <c r="T261" s="149"/>
      <c r="U261" s="149"/>
      <c r="V261" s="149"/>
      <c r="W261" s="149"/>
      <c r="X261" s="165"/>
      <c r="Y261" s="165"/>
      <c r="Z261" s="172"/>
      <c r="AA261" s="188"/>
      <c r="AB261" s="172"/>
      <c r="AC261" s="172"/>
      <c r="AD261" s="175"/>
      <c r="AE261" s="66" t="s">
        <v>154</v>
      </c>
      <c r="AF261" s="134"/>
      <c r="AG261" s="67"/>
      <c r="AH261" s="69"/>
      <c r="AI261" s="69"/>
      <c r="AJ261" s="69"/>
      <c r="AK261" s="69"/>
      <c r="AL261" s="69"/>
      <c r="AM261" s="81" t="str">
        <f>IFERROR((Tablas!$C$1*VLOOKUP(AH261, tipo_control, 2, 0)+Tablas!$E$1*VLOOKUP(AI261, nat_control, 2, 0)+Tablas!$G$1*VLOOKUP(AJ261, ev_control, 2, 0)+Tablas!$I$1*VLOOKUP(AK261, frec_control, 2, 0)+Tablas!$K$1*VLOOKUP(AL261, doc_control, 2, 0))*0.1*peso_dis, "")</f>
        <v/>
      </c>
      <c r="AN261" s="69"/>
      <c r="AO261" s="69"/>
      <c r="AP261" s="69"/>
      <c r="AQ261" s="81" t="str">
        <f>IFERROR((Tablas!$C$9*VLOOKUP(AN261, amb_control, 2, 0)+Tablas!$E$9*VLOOKUP(AO261, ejec_control, 2, 0)+Tablas!$G$9*VLOOKUP(AP261, cub_control, 2, 0))*0.1*peso_ejec, "")</f>
        <v/>
      </c>
      <c r="AR261" s="93" t="str">
        <f t="shared" si="435"/>
        <v/>
      </c>
      <c r="AS261" s="87" t="str">
        <f t="shared" si="350"/>
        <v/>
      </c>
      <c r="AT261" s="94" t="str">
        <f t="shared" si="351"/>
        <v/>
      </c>
      <c r="AU261" s="94" t="str">
        <f>IF(AR261&lt;Tablas!$G$19, 0, IF(AND(AR261&gt;=Tablas!$G$19, AR261&lt;Tablas!$G$20), 1,  IF(AND(AR261&gt;=Tablas!$G$20, AR261&lt;Tablas!$G$21), 2,  IF(AND(AR261&gt;=Tablas!$G$21, AR261&lt;=Tablas!$G$22), 3,  ""))))</f>
        <v/>
      </c>
      <c r="AV261" s="94" t="str">
        <f t="shared" si="436"/>
        <v/>
      </c>
      <c r="AW261" s="102" t="str">
        <f t="shared" si="437"/>
        <v/>
      </c>
      <c r="AX261" s="157"/>
      <c r="AY261" s="170"/>
      <c r="AZ261" s="179"/>
      <c r="BA261" s="170"/>
      <c r="BB261" s="182"/>
      <c r="BC261" s="182"/>
      <c r="BD261" s="185"/>
      <c r="BE261" s="185"/>
      <c r="BF261" s="159"/>
      <c r="BG261" s="191"/>
    </row>
    <row r="262" spans="1:59" ht="15" customHeight="1" x14ac:dyDescent="0.25">
      <c r="A262" s="167"/>
      <c r="B262" s="195"/>
      <c r="C262" s="161" t="s">
        <v>15</v>
      </c>
      <c r="D262" s="160"/>
      <c r="E262" s="149"/>
      <c r="F262" s="163" t="str">
        <f t="shared" si="333"/>
        <v/>
      </c>
      <c r="G262" s="148"/>
      <c r="H262" s="148"/>
      <c r="I262" s="148"/>
      <c r="J262" s="148"/>
      <c r="K262" s="148"/>
      <c r="L262" s="165" t="str">
        <f>IFERROR(VLOOKUP(G262, tabla02, 2, 0), "")</f>
        <v/>
      </c>
      <c r="M262" s="165" t="str">
        <f>IFERROR(VLOOKUP(H262, tabla02, 2, 0), "")</f>
        <v/>
      </c>
      <c r="N262" s="165" t="str">
        <f>IFERROR(VLOOKUP(I262, tabla02, 2, 0), "")</f>
        <v/>
      </c>
      <c r="O262" s="165" t="str">
        <f>IFERROR(VLOOKUP(J262, tabla02, 2, 0), "")</f>
        <v/>
      </c>
      <c r="P262" s="165" t="str">
        <f>IFERROR(VLOOKUP(K262, tabla02, 2, 0), "")</f>
        <v/>
      </c>
      <c r="Q262" s="165" t="str">
        <f t="shared" ref="Q262" si="438">IF(SUM(L262:P262)=0, "", MAX(L262:P262))</f>
        <v/>
      </c>
      <c r="R262" s="159" t="str">
        <f>IFERROR(VLOOKUP(Q262, tabla04, 3, 0), "")</f>
        <v/>
      </c>
      <c r="S262" s="148"/>
      <c r="T262" s="148"/>
      <c r="U262" s="148"/>
      <c r="V262" s="148"/>
      <c r="W262" s="148"/>
      <c r="X262" s="163" t="str">
        <f>IFERROR(VLOOKUP(CONCATENATE(F262, "-", Q262), cuadrante_sev, 3, 0), "")</f>
        <v/>
      </c>
      <c r="Y262" s="163" t="str">
        <f t="shared" ref="Y262" si="439">IFERROR(IF(X262="Baja", 1, IF(X262="Moderada", 2, IF(X262="Alta", 3, IF(X262="Extrema", 4, "")))), "")</f>
        <v/>
      </c>
      <c r="Z262" s="172"/>
      <c r="AA262" s="188"/>
      <c r="AB262" s="172"/>
      <c r="AC262" s="172"/>
      <c r="AD262" s="175"/>
      <c r="AE262" s="70" t="s">
        <v>113</v>
      </c>
      <c r="AF262" s="135"/>
      <c r="AG262" s="74"/>
      <c r="AH262" s="72"/>
      <c r="AI262" s="72"/>
      <c r="AJ262" s="72"/>
      <c r="AK262" s="72"/>
      <c r="AL262" s="72"/>
      <c r="AM262" s="82" t="str">
        <f>IFERROR((Tablas!$C$1*VLOOKUP(AH262, tipo_control, 2, 0)+Tablas!$E$1*VLOOKUP(AI262, nat_control, 2, 0)+Tablas!$G$1*VLOOKUP(AJ262, ev_control, 2, 0)+Tablas!$I$1*VLOOKUP(AK262, frec_control, 2, 0)+Tablas!$K$1*VLOOKUP(AL262, doc_control, 2, 0))*0.1*peso_dis, "")</f>
        <v/>
      </c>
      <c r="AN262" s="72"/>
      <c r="AO262" s="72"/>
      <c r="AP262" s="72"/>
      <c r="AQ262" s="82" t="str">
        <f>IFERROR((Tablas!$C$9*VLOOKUP(AN262, amb_control, 2, 0)+Tablas!$E$9*VLOOKUP(AO262, ejec_control, 2, 0)+Tablas!$G$9*VLOOKUP(AP262, cub_control, 2, 0))*0.1*peso_ejec, "")</f>
        <v/>
      </c>
      <c r="AR262" s="96" t="str">
        <f t="shared" si="435"/>
        <v/>
      </c>
      <c r="AS262" s="97" t="str">
        <f t="shared" si="350"/>
        <v/>
      </c>
      <c r="AT262" s="87" t="str">
        <f t="shared" si="351"/>
        <v/>
      </c>
      <c r="AU262" s="97" t="str">
        <f>IF(AR262&lt;Tablas!$G$19, 0, IF(AND(AR262&gt;=Tablas!$G$19, AR262&lt;Tablas!$G$20), 1,  IF(AND(AR262&gt;=Tablas!$G$20, AR262&lt;Tablas!$G$21), 2,  IF(AND(AR262&gt;=Tablas!$G$21, AR262&lt;=Tablas!$G$22), 3,  ""))))</f>
        <v/>
      </c>
      <c r="AV262" s="97" t="str">
        <f t="shared" si="436"/>
        <v/>
      </c>
      <c r="AW262" s="103" t="str">
        <f t="shared" si="437"/>
        <v/>
      </c>
      <c r="AX262" s="176" t="str">
        <f t="shared" ref="AX262" si="440">IFERROR(VLOOKUP(AY262, tabla04, 2, 0), "")</f>
        <v/>
      </c>
      <c r="AY262" s="168" t="str">
        <f>IF(F262="", "", IF((F262-MAX(AV262:AV266))&lt;=0, 1, F262-MAX(AV262:AV266)))</f>
        <v/>
      </c>
      <c r="AZ262" s="178" t="str">
        <f t="shared" ref="AZ262" si="441">IFERROR(VLOOKUP(BA262, tabla04, 3, 0), "")</f>
        <v/>
      </c>
      <c r="BA262" s="168" t="str">
        <f>IF(Q262="", "", IF((Q262-MAX(AW262:AW266))&lt;=0, 1, Q262-MAX(AW262:AW266)))</f>
        <v/>
      </c>
      <c r="BB262" s="182"/>
      <c r="BC262" s="182"/>
      <c r="BD262" s="185"/>
      <c r="BE262" s="185"/>
      <c r="BF262" s="158" t="str">
        <f t="shared" ref="BF262:BF264" si="442">IFERROR(VLOOKUP(CONCATENATE(AY262, "-", BA262), cuadrante_sev, 3, 0), "")</f>
        <v/>
      </c>
      <c r="BG262" s="191"/>
    </row>
    <row r="263" spans="1:59" ht="15" customHeight="1" x14ac:dyDescent="0.25">
      <c r="A263" s="167"/>
      <c r="B263" s="195"/>
      <c r="C263" s="161"/>
      <c r="D263" s="160"/>
      <c r="E263" s="161"/>
      <c r="F263" s="164"/>
      <c r="G263" s="167"/>
      <c r="H263" s="167"/>
      <c r="I263" s="167"/>
      <c r="J263" s="167"/>
      <c r="K263" s="167"/>
      <c r="L263" s="166"/>
      <c r="M263" s="166"/>
      <c r="N263" s="166"/>
      <c r="O263" s="166"/>
      <c r="P263" s="166"/>
      <c r="Q263" s="166"/>
      <c r="R263" s="177"/>
      <c r="S263" s="167"/>
      <c r="T263" s="167"/>
      <c r="U263" s="167"/>
      <c r="V263" s="167"/>
      <c r="W263" s="167"/>
      <c r="X263" s="164"/>
      <c r="Y263" s="164"/>
      <c r="Z263" s="172"/>
      <c r="AA263" s="188"/>
      <c r="AB263" s="172"/>
      <c r="AC263" s="172"/>
      <c r="AD263" s="175"/>
      <c r="AE263" s="62" t="s">
        <v>114</v>
      </c>
      <c r="AF263" s="133"/>
      <c r="AG263" s="65"/>
      <c r="AH263" s="64"/>
      <c r="AI263" s="64"/>
      <c r="AJ263" s="64"/>
      <c r="AK263" s="64"/>
      <c r="AL263" s="64"/>
      <c r="AM263" s="80" t="str">
        <f>IFERROR((Tablas!$C$1*VLOOKUP(AH263, tipo_control, 2, 0)+Tablas!$E$1*VLOOKUP(AI263, nat_control, 2, 0)+Tablas!$G$1*VLOOKUP(AJ263, ev_control, 2, 0)+Tablas!$I$1*VLOOKUP(AK263, frec_control, 2, 0)+Tablas!$K$1*VLOOKUP(AL263, doc_control, 2, 0))*0.1*peso_dis, "")</f>
        <v/>
      </c>
      <c r="AN263" s="64"/>
      <c r="AO263" s="64"/>
      <c r="AP263" s="64"/>
      <c r="AQ263" s="80" t="str">
        <f>IFERROR((Tablas!$C$9*VLOOKUP(AN263, amb_control, 2, 0)+Tablas!$E$9*VLOOKUP(AO263, ejec_control, 2, 0)+Tablas!$G$9*VLOOKUP(AP263, cub_control, 2, 0))*0.1*peso_ejec, "")</f>
        <v/>
      </c>
      <c r="AR263" s="91" t="str">
        <f t="shared" si="435"/>
        <v/>
      </c>
      <c r="AS263" s="85" t="str">
        <f t="shared" si="350"/>
        <v/>
      </c>
      <c r="AT263" s="85" t="str">
        <f t="shared" si="351"/>
        <v/>
      </c>
      <c r="AU263" s="85" t="str">
        <f>IF(AR263&lt;Tablas!$G$19, 0, IF(AND(AR263&gt;=Tablas!$G$19, AR263&lt;Tablas!$G$20), 1,  IF(AND(AR263&gt;=Tablas!$G$20, AR263&lt;Tablas!$G$21), 2,  IF(AND(AR263&gt;=Tablas!$G$21, AR263&lt;=Tablas!$G$22), 3,  ""))))</f>
        <v/>
      </c>
      <c r="AV263" s="85" t="str">
        <f t="shared" si="436"/>
        <v/>
      </c>
      <c r="AW263" s="101" t="str">
        <f t="shared" si="437"/>
        <v/>
      </c>
      <c r="AX263" s="177"/>
      <c r="AY263" s="169"/>
      <c r="AZ263" s="158"/>
      <c r="BA263" s="169"/>
      <c r="BB263" s="182"/>
      <c r="BC263" s="182"/>
      <c r="BD263" s="185"/>
      <c r="BE263" s="185"/>
      <c r="BF263" s="158" t="str">
        <f t="shared" si="442"/>
        <v/>
      </c>
      <c r="BG263" s="191"/>
    </row>
    <row r="264" spans="1:59" ht="15" customHeight="1" x14ac:dyDescent="0.25">
      <c r="A264" s="167"/>
      <c r="B264" s="195"/>
      <c r="C264" s="161"/>
      <c r="D264" s="160"/>
      <c r="E264" s="161"/>
      <c r="F264" s="164"/>
      <c r="G264" s="167"/>
      <c r="H264" s="167"/>
      <c r="I264" s="167"/>
      <c r="J264" s="167"/>
      <c r="K264" s="167"/>
      <c r="L264" s="166"/>
      <c r="M264" s="166"/>
      <c r="N264" s="166"/>
      <c r="O264" s="166"/>
      <c r="P264" s="166"/>
      <c r="Q264" s="166"/>
      <c r="R264" s="177"/>
      <c r="S264" s="167"/>
      <c r="T264" s="167"/>
      <c r="U264" s="167"/>
      <c r="V264" s="167"/>
      <c r="W264" s="167"/>
      <c r="X264" s="164"/>
      <c r="Y264" s="164"/>
      <c r="Z264" s="172"/>
      <c r="AA264" s="188"/>
      <c r="AB264" s="172"/>
      <c r="AC264" s="172"/>
      <c r="AD264" s="175"/>
      <c r="AE264" s="62" t="s">
        <v>115</v>
      </c>
      <c r="AF264" s="133"/>
      <c r="AG264" s="65"/>
      <c r="AH264" s="64"/>
      <c r="AI264" s="64"/>
      <c r="AJ264" s="64"/>
      <c r="AK264" s="64"/>
      <c r="AL264" s="64"/>
      <c r="AM264" s="80" t="str">
        <f>IFERROR((Tablas!$C$1*VLOOKUP(AH264, tipo_control, 2, 0)+Tablas!$E$1*VLOOKUP(AI264, nat_control, 2, 0)+Tablas!$G$1*VLOOKUP(AJ264, ev_control, 2, 0)+Tablas!$I$1*VLOOKUP(AK264, frec_control, 2, 0)+Tablas!$K$1*VLOOKUP(AL264, doc_control, 2, 0))*0.1*peso_dis, "")</f>
        <v/>
      </c>
      <c r="AN264" s="64"/>
      <c r="AO264" s="64"/>
      <c r="AP264" s="64"/>
      <c r="AQ264" s="80" t="str">
        <f>IFERROR((Tablas!$C$9*VLOOKUP(AN264, amb_control, 2, 0)+Tablas!$E$9*VLOOKUP(AO264, ejec_control, 2, 0)+Tablas!$G$9*VLOOKUP(AP264, cub_control, 2, 0))*0.1*peso_ejec, "")</f>
        <v/>
      </c>
      <c r="AR264" s="91" t="str">
        <f t="shared" si="435"/>
        <v/>
      </c>
      <c r="AS264" s="85" t="str">
        <f t="shared" si="350"/>
        <v/>
      </c>
      <c r="AT264" s="85" t="str">
        <f t="shared" si="351"/>
        <v/>
      </c>
      <c r="AU264" s="85" t="str">
        <f>IF(AR264&lt;Tablas!$G$19, 0, IF(AND(AR264&gt;=Tablas!$G$19, AR264&lt;Tablas!$G$20), 1,  IF(AND(AR264&gt;=Tablas!$G$20, AR264&lt;Tablas!$G$21), 2,  IF(AND(AR264&gt;=Tablas!$G$21, AR264&lt;=Tablas!$G$22), 3,  ""))))</f>
        <v/>
      </c>
      <c r="AV264" s="85" t="str">
        <f t="shared" si="436"/>
        <v/>
      </c>
      <c r="AW264" s="101" t="str">
        <f t="shared" si="437"/>
        <v/>
      </c>
      <c r="AX264" s="177"/>
      <c r="AY264" s="169"/>
      <c r="AZ264" s="158"/>
      <c r="BA264" s="169"/>
      <c r="BB264" s="182"/>
      <c r="BC264" s="182"/>
      <c r="BD264" s="185"/>
      <c r="BE264" s="185"/>
      <c r="BF264" s="158" t="str">
        <f t="shared" si="442"/>
        <v/>
      </c>
      <c r="BG264" s="191"/>
    </row>
    <row r="265" spans="1:59" ht="15" customHeight="1" x14ac:dyDescent="0.25">
      <c r="A265" s="167"/>
      <c r="B265" s="195"/>
      <c r="C265" s="161"/>
      <c r="D265" s="160"/>
      <c r="E265" s="161"/>
      <c r="F265" s="164"/>
      <c r="G265" s="167"/>
      <c r="H265" s="167"/>
      <c r="I265" s="167"/>
      <c r="J265" s="167"/>
      <c r="K265" s="167"/>
      <c r="L265" s="166"/>
      <c r="M265" s="166"/>
      <c r="N265" s="166"/>
      <c r="O265" s="166"/>
      <c r="P265" s="166"/>
      <c r="Q265" s="166"/>
      <c r="R265" s="177"/>
      <c r="S265" s="167"/>
      <c r="T265" s="167"/>
      <c r="U265" s="167"/>
      <c r="V265" s="167"/>
      <c r="W265" s="167"/>
      <c r="X265" s="164"/>
      <c r="Y265" s="164"/>
      <c r="Z265" s="172"/>
      <c r="AA265" s="188"/>
      <c r="AB265" s="172"/>
      <c r="AC265" s="172"/>
      <c r="AD265" s="175"/>
      <c r="AE265" s="62" t="s">
        <v>153</v>
      </c>
      <c r="AF265" s="133"/>
      <c r="AG265" s="65"/>
      <c r="AH265" s="64"/>
      <c r="AI265" s="64"/>
      <c r="AJ265" s="64"/>
      <c r="AK265" s="64"/>
      <c r="AL265" s="64"/>
      <c r="AM265" s="80" t="str">
        <f>IFERROR((Tablas!$C$1*VLOOKUP(AH265, tipo_control, 2, 0)+Tablas!$E$1*VLOOKUP(AI265, nat_control, 2, 0)+Tablas!$G$1*VLOOKUP(AJ265, ev_control, 2, 0)+Tablas!$I$1*VLOOKUP(AK265, frec_control, 2, 0)+Tablas!$K$1*VLOOKUP(AL265, doc_control, 2, 0))*0.1*peso_dis, "")</f>
        <v/>
      </c>
      <c r="AN265" s="64"/>
      <c r="AO265" s="64"/>
      <c r="AP265" s="64"/>
      <c r="AQ265" s="80" t="str">
        <f>IFERROR((Tablas!$C$9*VLOOKUP(AN265, amb_control, 2, 0)+Tablas!$E$9*VLOOKUP(AO265, ejec_control, 2, 0)+Tablas!$G$9*VLOOKUP(AP265, cub_control, 2, 0))*0.1*peso_ejec, "")</f>
        <v/>
      </c>
      <c r="AR265" s="91" t="str">
        <f t="shared" si="435"/>
        <v/>
      </c>
      <c r="AS265" s="85" t="str">
        <f t="shared" si="350"/>
        <v/>
      </c>
      <c r="AT265" s="85" t="str">
        <f t="shared" si="351"/>
        <v/>
      </c>
      <c r="AU265" s="85" t="str">
        <f>IF(AR265&lt;Tablas!$G$19, 0, IF(AND(AR265&gt;=Tablas!$G$19, AR265&lt;Tablas!$G$20), 1,  IF(AND(AR265&gt;=Tablas!$G$20, AR265&lt;Tablas!$G$21), 2,  IF(AND(AR265&gt;=Tablas!$G$21, AR265&lt;=Tablas!$G$22), 3,  ""))))</f>
        <v/>
      </c>
      <c r="AV265" s="85" t="str">
        <f t="shared" si="436"/>
        <v/>
      </c>
      <c r="AW265" s="101" t="str">
        <f t="shared" si="437"/>
        <v/>
      </c>
      <c r="AX265" s="177"/>
      <c r="AY265" s="169"/>
      <c r="AZ265" s="158"/>
      <c r="BA265" s="169"/>
      <c r="BB265" s="182"/>
      <c r="BC265" s="182"/>
      <c r="BD265" s="185"/>
      <c r="BE265" s="185"/>
      <c r="BF265" s="158"/>
      <c r="BG265" s="191"/>
    </row>
    <row r="266" spans="1:59" ht="15" customHeight="1" thickBot="1" x14ac:dyDescent="0.3">
      <c r="A266" s="167"/>
      <c r="B266" s="195"/>
      <c r="C266" s="161"/>
      <c r="D266" s="160"/>
      <c r="E266" s="161"/>
      <c r="F266" s="165"/>
      <c r="G266" s="149"/>
      <c r="H266" s="149"/>
      <c r="I266" s="149"/>
      <c r="J266" s="149"/>
      <c r="K266" s="149"/>
      <c r="L266" s="166"/>
      <c r="M266" s="166"/>
      <c r="N266" s="166"/>
      <c r="O266" s="166"/>
      <c r="P266" s="166"/>
      <c r="Q266" s="166"/>
      <c r="R266" s="177"/>
      <c r="S266" s="149"/>
      <c r="T266" s="149"/>
      <c r="U266" s="149"/>
      <c r="V266" s="149"/>
      <c r="W266" s="149"/>
      <c r="X266" s="165"/>
      <c r="Y266" s="165"/>
      <c r="Z266" s="172"/>
      <c r="AA266" s="188"/>
      <c r="AB266" s="172"/>
      <c r="AC266" s="172"/>
      <c r="AD266" s="175"/>
      <c r="AE266" s="66" t="s">
        <v>154</v>
      </c>
      <c r="AF266" s="134"/>
      <c r="AG266" s="67"/>
      <c r="AH266" s="69"/>
      <c r="AI266" s="69"/>
      <c r="AJ266" s="69"/>
      <c r="AK266" s="69"/>
      <c r="AL266" s="69"/>
      <c r="AM266" s="81" t="str">
        <f>IFERROR((Tablas!$C$1*VLOOKUP(AH266, tipo_control, 2, 0)+Tablas!$E$1*VLOOKUP(AI266, nat_control, 2, 0)+Tablas!$G$1*VLOOKUP(AJ266, ev_control, 2, 0)+Tablas!$I$1*VLOOKUP(AK266, frec_control, 2, 0)+Tablas!$K$1*VLOOKUP(AL266, doc_control, 2, 0))*0.1*peso_dis, "")</f>
        <v/>
      </c>
      <c r="AN266" s="69"/>
      <c r="AO266" s="69"/>
      <c r="AP266" s="69"/>
      <c r="AQ266" s="81" t="str">
        <f>IFERROR((Tablas!$C$9*VLOOKUP(AN266, amb_control, 2, 0)+Tablas!$E$9*VLOOKUP(AO266, ejec_control, 2, 0)+Tablas!$G$9*VLOOKUP(AP266, cub_control, 2, 0))*0.1*peso_ejec, "")</f>
        <v/>
      </c>
      <c r="AR266" s="93" t="str">
        <f t="shared" si="435"/>
        <v/>
      </c>
      <c r="AS266" s="94" t="str">
        <f t="shared" si="350"/>
        <v/>
      </c>
      <c r="AT266" s="94" t="str">
        <f t="shared" si="351"/>
        <v/>
      </c>
      <c r="AU266" s="94" t="str">
        <f>IF(AR266&lt;Tablas!$G$19, 0, IF(AND(AR266&gt;=Tablas!$G$19, AR266&lt;Tablas!$G$20), 1,  IF(AND(AR266&gt;=Tablas!$G$20, AR266&lt;Tablas!$G$21), 2,  IF(AND(AR266&gt;=Tablas!$G$21, AR266&lt;=Tablas!$G$22), 3,  ""))))</f>
        <v/>
      </c>
      <c r="AV266" s="94" t="str">
        <f t="shared" si="436"/>
        <v/>
      </c>
      <c r="AW266" s="102" t="str">
        <f t="shared" si="437"/>
        <v/>
      </c>
      <c r="AX266" s="157"/>
      <c r="AY266" s="170"/>
      <c r="AZ266" s="179"/>
      <c r="BA266" s="170"/>
      <c r="BB266" s="182"/>
      <c r="BC266" s="182"/>
      <c r="BD266" s="185"/>
      <c r="BE266" s="185"/>
      <c r="BF266" s="159"/>
      <c r="BG266" s="191"/>
    </row>
    <row r="267" spans="1:59" ht="15" customHeight="1" x14ac:dyDescent="0.25">
      <c r="A267" s="167"/>
      <c r="B267" s="195"/>
      <c r="C267" s="161" t="s">
        <v>16</v>
      </c>
      <c r="D267" s="160"/>
      <c r="E267" s="149"/>
      <c r="F267" s="163" t="str">
        <f t="shared" ref="F267:F327" si="443">IFERROR(VLOOKUP(E267, tabla01, 3, 0), "")</f>
        <v/>
      </c>
      <c r="G267" s="148"/>
      <c r="H267" s="148"/>
      <c r="I267" s="148"/>
      <c r="J267" s="148"/>
      <c r="K267" s="148"/>
      <c r="L267" s="165" t="str">
        <f>IFERROR(VLOOKUP(G267, tabla02, 2, 0), "")</f>
        <v/>
      </c>
      <c r="M267" s="165" t="str">
        <f>IFERROR(VLOOKUP(H267, tabla02, 2, 0), "")</f>
        <v/>
      </c>
      <c r="N267" s="165" t="str">
        <f>IFERROR(VLOOKUP(I267, tabla02, 2, 0), "")</f>
        <v/>
      </c>
      <c r="O267" s="165" t="str">
        <f>IFERROR(VLOOKUP(J267, tabla02, 2, 0), "")</f>
        <v/>
      </c>
      <c r="P267" s="165" t="str">
        <f>IFERROR(VLOOKUP(K267, tabla02, 2, 0), "")</f>
        <v/>
      </c>
      <c r="Q267" s="165" t="str">
        <f t="shared" ref="Q267" si="444">IF(SUM(L267:P267)=0, "", MAX(L267:P267))</f>
        <v/>
      </c>
      <c r="R267" s="159" t="str">
        <f>IFERROR(VLOOKUP(Q267, tabla04, 3, 0), "")</f>
        <v/>
      </c>
      <c r="S267" s="148"/>
      <c r="T267" s="148"/>
      <c r="U267" s="148"/>
      <c r="V267" s="148"/>
      <c r="W267" s="148"/>
      <c r="X267" s="163" t="str">
        <f>IFERROR(VLOOKUP(CONCATENATE(F267, "-", Q267), cuadrante_sev, 3, 0), "")</f>
        <v/>
      </c>
      <c r="Y267" s="163" t="str">
        <f t="shared" ref="Y267" si="445">IFERROR(IF(X267="Baja", 1, IF(X267="Moderada", 2, IF(X267="Alta", 3, IF(X267="Extrema", 4, "")))), "")</f>
        <v/>
      </c>
      <c r="Z267" s="172"/>
      <c r="AA267" s="188"/>
      <c r="AB267" s="172"/>
      <c r="AC267" s="172"/>
      <c r="AD267" s="175"/>
      <c r="AE267" s="70" t="s">
        <v>113</v>
      </c>
      <c r="AF267" s="135"/>
      <c r="AG267" s="77"/>
      <c r="AH267" s="61"/>
      <c r="AI267" s="61"/>
      <c r="AJ267" s="61"/>
      <c r="AK267" s="61"/>
      <c r="AL267" s="61"/>
      <c r="AM267" s="82" t="str">
        <f>IFERROR((Tablas!$C$1*VLOOKUP(AH267, tipo_control, 2, 0)+Tablas!$E$1*VLOOKUP(AI267, nat_control, 2, 0)+Tablas!$G$1*VLOOKUP(AJ267, ev_control, 2, 0)+Tablas!$I$1*VLOOKUP(AK267, frec_control, 2, 0)+Tablas!$K$1*VLOOKUP(AL267, doc_control, 2, 0))*0.1*peso_dis, "")</f>
        <v/>
      </c>
      <c r="AN267" s="61"/>
      <c r="AO267" s="61"/>
      <c r="AP267" s="61"/>
      <c r="AQ267" s="82" t="str">
        <f>IFERROR((Tablas!$C$9*VLOOKUP(AN267, amb_control, 2, 0)+Tablas!$E$9*VLOOKUP(AO267, ejec_control, 2, 0)+Tablas!$G$9*VLOOKUP(AP267, cub_control, 2, 0))*0.1*peso_ejec, "")</f>
        <v/>
      </c>
      <c r="AR267" s="96" t="str">
        <f t="shared" si="435"/>
        <v/>
      </c>
      <c r="AS267" s="97" t="str">
        <f t="shared" si="350"/>
        <v/>
      </c>
      <c r="AT267" s="87" t="str">
        <f t="shared" si="351"/>
        <v/>
      </c>
      <c r="AU267" s="97" t="str">
        <f>IF(AR267&lt;Tablas!$G$19, 0, IF(AND(AR267&gt;=Tablas!$G$19, AR267&lt;Tablas!$G$20), 1,  IF(AND(AR267&gt;=Tablas!$G$20, AR267&lt;Tablas!$G$21), 2,  IF(AND(AR267&gt;=Tablas!$G$21, AR267&lt;=Tablas!$G$22), 3,  ""))))</f>
        <v/>
      </c>
      <c r="AV267" s="97" t="str">
        <f t="shared" si="436"/>
        <v/>
      </c>
      <c r="AW267" s="103" t="str">
        <f t="shared" si="437"/>
        <v/>
      </c>
      <c r="AX267" s="176" t="str">
        <f t="shared" ref="AX267" si="446">IFERROR(VLOOKUP(AY267, tabla04, 2, 0), "")</f>
        <v/>
      </c>
      <c r="AY267" s="168" t="str">
        <f>IF(F267="", "", IF((F267-MAX(AV267:AV271))&lt;=0, 1, F267-MAX(AV267:AV271)))</f>
        <v/>
      </c>
      <c r="AZ267" s="178" t="str">
        <f t="shared" ref="AZ267" si="447">IFERROR(VLOOKUP(BA267, tabla04, 3, 0), "")</f>
        <v/>
      </c>
      <c r="BA267" s="168" t="str">
        <f>IF(Q267="", "", IF((Q267-MAX(AW267:AW271))&lt;=0, 1, Q267-MAX(AW267:AW271)))</f>
        <v/>
      </c>
      <c r="BB267" s="182"/>
      <c r="BC267" s="182"/>
      <c r="BD267" s="185"/>
      <c r="BE267" s="185"/>
      <c r="BF267" s="158" t="str">
        <f t="shared" ref="BF267:BF269" si="448">IFERROR(VLOOKUP(CONCATENATE(AY267, "-", BA267), cuadrante_sev, 3, 0), "")</f>
        <v/>
      </c>
      <c r="BG267" s="191"/>
    </row>
    <row r="268" spans="1:59" ht="15" customHeight="1" x14ac:dyDescent="0.25">
      <c r="A268" s="167"/>
      <c r="B268" s="195"/>
      <c r="C268" s="161"/>
      <c r="D268" s="160"/>
      <c r="E268" s="161"/>
      <c r="F268" s="164"/>
      <c r="G268" s="167"/>
      <c r="H268" s="167"/>
      <c r="I268" s="167"/>
      <c r="J268" s="167"/>
      <c r="K268" s="167"/>
      <c r="L268" s="166"/>
      <c r="M268" s="166"/>
      <c r="N268" s="166"/>
      <c r="O268" s="166"/>
      <c r="P268" s="166"/>
      <c r="Q268" s="166"/>
      <c r="R268" s="177"/>
      <c r="S268" s="167"/>
      <c r="T268" s="167"/>
      <c r="U268" s="167"/>
      <c r="V268" s="167"/>
      <c r="W268" s="167"/>
      <c r="X268" s="164"/>
      <c r="Y268" s="164"/>
      <c r="Z268" s="172"/>
      <c r="AA268" s="188"/>
      <c r="AB268" s="172"/>
      <c r="AC268" s="172"/>
      <c r="AD268" s="175"/>
      <c r="AE268" s="62" t="s">
        <v>114</v>
      </c>
      <c r="AF268" s="133"/>
      <c r="AG268" s="65"/>
      <c r="AH268" s="64"/>
      <c r="AI268" s="64"/>
      <c r="AJ268" s="64"/>
      <c r="AK268" s="64"/>
      <c r="AL268" s="64"/>
      <c r="AM268" s="80" t="str">
        <f>IFERROR((Tablas!$C$1*VLOOKUP(AH268, tipo_control, 2, 0)+Tablas!$E$1*VLOOKUP(AI268, nat_control, 2, 0)+Tablas!$G$1*VLOOKUP(AJ268, ev_control, 2, 0)+Tablas!$I$1*VLOOKUP(AK268, frec_control, 2, 0)+Tablas!$K$1*VLOOKUP(AL268, doc_control, 2, 0))*0.1*peso_dis, "")</f>
        <v/>
      </c>
      <c r="AN268" s="64"/>
      <c r="AO268" s="64"/>
      <c r="AP268" s="64"/>
      <c r="AQ268" s="80" t="str">
        <f>IFERROR((Tablas!$C$9*VLOOKUP(AN268, amb_control, 2, 0)+Tablas!$E$9*VLOOKUP(AO268, ejec_control, 2, 0)+Tablas!$G$9*VLOOKUP(AP268, cub_control, 2, 0))*0.1*peso_ejec, "")</f>
        <v/>
      </c>
      <c r="AR268" s="91" t="str">
        <f t="shared" si="435"/>
        <v/>
      </c>
      <c r="AS268" s="85" t="str">
        <f t="shared" si="350"/>
        <v/>
      </c>
      <c r="AT268" s="85" t="str">
        <f t="shared" si="351"/>
        <v/>
      </c>
      <c r="AU268" s="85" t="str">
        <f>IF(AR268&lt;Tablas!$G$19, 0, IF(AND(AR268&gt;=Tablas!$G$19, AR268&lt;Tablas!$G$20), 1,  IF(AND(AR268&gt;=Tablas!$G$20, AR268&lt;Tablas!$G$21), 2,  IF(AND(AR268&gt;=Tablas!$G$21, AR268&lt;=Tablas!$G$22), 3,  ""))))</f>
        <v/>
      </c>
      <c r="AV268" s="85" t="str">
        <f t="shared" si="436"/>
        <v/>
      </c>
      <c r="AW268" s="101" t="str">
        <f t="shared" si="437"/>
        <v/>
      </c>
      <c r="AX268" s="177"/>
      <c r="AY268" s="169"/>
      <c r="AZ268" s="158"/>
      <c r="BA268" s="169"/>
      <c r="BB268" s="182"/>
      <c r="BC268" s="182"/>
      <c r="BD268" s="185"/>
      <c r="BE268" s="185"/>
      <c r="BF268" s="158" t="str">
        <f t="shared" si="448"/>
        <v/>
      </c>
      <c r="BG268" s="191"/>
    </row>
    <row r="269" spans="1:59" ht="15" customHeight="1" x14ac:dyDescent="0.25">
      <c r="A269" s="167"/>
      <c r="B269" s="195"/>
      <c r="C269" s="161"/>
      <c r="D269" s="160"/>
      <c r="E269" s="161"/>
      <c r="F269" s="164"/>
      <c r="G269" s="167"/>
      <c r="H269" s="167"/>
      <c r="I269" s="167"/>
      <c r="J269" s="167"/>
      <c r="K269" s="167"/>
      <c r="L269" s="166"/>
      <c r="M269" s="166"/>
      <c r="N269" s="166"/>
      <c r="O269" s="166"/>
      <c r="P269" s="166"/>
      <c r="Q269" s="166"/>
      <c r="R269" s="177"/>
      <c r="S269" s="167"/>
      <c r="T269" s="167"/>
      <c r="U269" s="167"/>
      <c r="V269" s="167"/>
      <c r="W269" s="167"/>
      <c r="X269" s="164"/>
      <c r="Y269" s="164"/>
      <c r="Z269" s="172"/>
      <c r="AA269" s="188"/>
      <c r="AB269" s="172"/>
      <c r="AC269" s="172"/>
      <c r="AD269" s="175"/>
      <c r="AE269" s="62" t="s">
        <v>115</v>
      </c>
      <c r="AF269" s="133"/>
      <c r="AG269" s="65"/>
      <c r="AH269" s="64"/>
      <c r="AI269" s="64"/>
      <c r="AJ269" s="64"/>
      <c r="AK269" s="64"/>
      <c r="AL269" s="64"/>
      <c r="AM269" s="80" t="str">
        <f>IFERROR((Tablas!$C$1*VLOOKUP(AH269, tipo_control, 2, 0)+Tablas!$E$1*VLOOKUP(AI269, nat_control, 2, 0)+Tablas!$G$1*VLOOKUP(AJ269, ev_control, 2, 0)+Tablas!$I$1*VLOOKUP(AK269, frec_control, 2, 0)+Tablas!$K$1*VLOOKUP(AL269, doc_control, 2, 0))*0.1*peso_dis, "")</f>
        <v/>
      </c>
      <c r="AN269" s="64"/>
      <c r="AO269" s="64"/>
      <c r="AP269" s="64"/>
      <c r="AQ269" s="80" t="str">
        <f>IFERROR((Tablas!$C$9*VLOOKUP(AN269, amb_control, 2, 0)+Tablas!$E$9*VLOOKUP(AO269, ejec_control, 2, 0)+Tablas!$G$9*VLOOKUP(AP269, cub_control, 2, 0))*0.1*peso_ejec, "")</f>
        <v/>
      </c>
      <c r="AR269" s="91" t="str">
        <f t="shared" si="435"/>
        <v/>
      </c>
      <c r="AS269" s="85" t="str">
        <f t="shared" si="350"/>
        <v/>
      </c>
      <c r="AT269" s="85" t="str">
        <f t="shared" si="351"/>
        <v/>
      </c>
      <c r="AU269" s="85" t="str">
        <f>IF(AR269&lt;Tablas!$G$19, 0, IF(AND(AR269&gt;=Tablas!$G$19, AR269&lt;Tablas!$G$20), 1,  IF(AND(AR269&gt;=Tablas!$G$20, AR269&lt;Tablas!$G$21), 2,  IF(AND(AR269&gt;=Tablas!$G$21, AR269&lt;=Tablas!$G$22), 3,  ""))))</f>
        <v/>
      </c>
      <c r="AV269" s="85" t="str">
        <f t="shared" si="436"/>
        <v/>
      </c>
      <c r="AW269" s="101" t="str">
        <f t="shared" si="437"/>
        <v/>
      </c>
      <c r="AX269" s="177"/>
      <c r="AY269" s="169"/>
      <c r="AZ269" s="158"/>
      <c r="BA269" s="169"/>
      <c r="BB269" s="182"/>
      <c r="BC269" s="182"/>
      <c r="BD269" s="185"/>
      <c r="BE269" s="185"/>
      <c r="BF269" s="158" t="str">
        <f t="shared" si="448"/>
        <v/>
      </c>
      <c r="BG269" s="191"/>
    </row>
    <row r="270" spans="1:59" ht="15" customHeight="1" x14ac:dyDescent="0.25">
      <c r="A270" s="167"/>
      <c r="B270" s="195"/>
      <c r="C270" s="161"/>
      <c r="D270" s="160"/>
      <c r="E270" s="161"/>
      <c r="F270" s="164"/>
      <c r="G270" s="167"/>
      <c r="H270" s="167"/>
      <c r="I270" s="167"/>
      <c r="J270" s="167"/>
      <c r="K270" s="167"/>
      <c r="L270" s="166"/>
      <c r="M270" s="166"/>
      <c r="N270" s="166"/>
      <c r="O270" s="166"/>
      <c r="P270" s="166"/>
      <c r="Q270" s="166"/>
      <c r="R270" s="177"/>
      <c r="S270" s="167"/>
      <c r="T270" s="167"/>
      <c r="U270" s="167"/>
      <c r="V270" s="167"/>
      <c r="W270" s="167"/>
      <c r="X270" s="164"/>
      <c r="Y270" s="164"/>
      <c r="Z270" s="172"/>
      <c r="AA270" s="188"/>
      <c r="AB270" s="172"/>
      <c r="AC270" s="172"/>
      <c r="AD270" s="175"/>
      <c r="AE270" s="62" t="s">
        <v>153</v>
      </c>
      <c r="AF270" s="133"/>
      <c r="AG270" s="65"/>
      <c r="AH270" s="64"/>
      <c r="AI270" s="64"/>
      <c r="AJ270" s="64"/>
      <c r="AK270" s="64"/>
      <c r="AL270" s="64"/>
      <c r="AM270" s="80" t="str">
        <f>IFERROR((Tablas!$C$1*VLOOKUP(AH270, tipo_control, 2, 0)+Tablas!$E$1*VLOOKUP(AI270, nat_control, 2, 0)+Tablas!$G$1*VLOOKUP(AJ270, ev_control, 2, 0)+Tablas!$I$1*VLOOKUP(AK270, frec_control, 2, 0)+Tablas!$K$1*VLOOKUP(AL270, doc_control, 2, 0))*0.1*peso_dis, "")</f>
        <v/>
      </c>
      <c r="AN270" s="64"/>
      <c r="AO270" s="64"/>
      <c r="AP270" s="64"/>
      <c r="AQ270" s="80" t="str">
        <f>IFERROR((Tablas!$C$9*VLOOKUP(AN270, amb_control, 2, 0)+Tablas!$E$9*VLOOKUP(AO270, ejec_control, 2, 0)+Tablas!$G$9*VLOOKUP(AP270, cub_control, 2, 0))*0.1*peso_ejec, "")</f>
        <v/>
      </c>
      <c r="AR270" s="91" t="str">
        <f t="shared" si="435"/>
        <v/>
      </c>
      <c r="AS270" s="85" t="str">
        <f t="shared" si="350"/>
        <v/>
      </c>
      <c r="AT270" s="85" t="str">
        <f t="shared" si="351"/>
        <v/>
      </c>
      <c r="AU270" s="85" t="str">
        <f>IF(AR270&lt;Tablas!$G$19, 0, IF(AND(AR270&gt;=Tablas!$G$19, AR270&lt;Tablas!$G$20), 1,  IF(AND(AR270&gt;=Tablas!$G$20, AR270&lt;Tablas!$G$21), 2,  IF(AND(AR270&gt;=Tablas!$G$21, AR270&lt;=Tablas!$G$22), 3,  ""))))</f>
        <v/>
      </c>
      <c r="AV270" s="85" t="str">
        <f t="shared" si="436"/>
        <v/>
      </c>
      <c r="AW270" s="101" t="str">
        <f t="shared" si="437"/>
        <v/>
      </c>
      <c r="AX270" s="177"/>
      <c r="AY270" s="169"/>
      <c r="AZ270" s="158"/>
      <c r="BA270" s="169"/>
      <c r="BB270" s="182"/>
      <c r="BC270" s="182"/>
      <c r="BD270" s="185"/>
      <c r="BE270" s="185"/>
      <c r="BF270" s="158"/>
      <c r="BG270" s="191"/>
    </row>
    <row r="271" spans="1:59" ht="15" customHeight="1" thickBot="1" x14ac:dyDescent="0.3">
      <c r="A271" s="167"/>
      <c r="B271" s="195"/>
      <c r="C271" s="161"/>
      <c r="D271" s="160"/>
      <c r="E271" s="161"/>
      <c r="F271" s="165"/>
      <c r="G271" s="149"/>
      <c r="H271" s="149"/>
      <c r="I271" s="149"/>
      <c r="J271" s="149"/>
      <c r="K271" s="149"/>
      <c r="L271" s="166"/>
      <c r="M271" s="166"/>
      <c r="N271" s="166"/>
      <c r="O271" s="166"/>
      <c r="P271" s="166"/>
      <c r="Q271" s="166"/>
      <c r="R271" s="177"/>
      <c r="S271" s="149"/>
      <c r="T271" s="149"/>
      <c r="U271" s="149"/>
      <c r="V271" s="149"/>
      <c r="W271" s="149"/>
      <c r="X271" s="165"/>
      <c r="Y271" s="165"/>
      <c r="Z271" s="172"/>
      <c r="AA271" s="188"/>
      <c r="AB271" s="172"/>
      <c r="AC271" s="172"/>
      <c r="AD271" s="175"/>
      <c r="AE271" s="66" t="s">
        <v>154</v>
      </c>
      <c r="AF271" s="134"/>
      <c r="AG271" s="67"/>
      <c r="AH271" s="69"/>
      <c r="AI271" s="69"/>
      <c r="AJ271" s="69"/>
      <c r="AK271" s="69"/>
      <c r="AL271" s="69"/>
      <c r="AM271" s="81" t="str">
        <f>IFERROR((Tablas!$C$1*VLOOKUP(AH271, tipo_control, 2, 0)+Tablas!$E$1*VLOOKUP(AI271, nat_control, 2, 0)+Tablas!$G$1*VLOOKUP(AJ271, ev_control, 2, 0)+Tablas!$I$1*VLOOKUP(AK271, frec_control, 2, 0)+Tablas!$K$1*VLOOKUP(AL271, doc_control, 2, 0))*0.1*peso_dis, "")</f>
        <v/>
      </c>
      <c r="AN271" s="69"/>
      <c r="AO271" s="69"/>
      <c r="AP271" s="69"/>
      <c r="AQ271" s="81" t="str">
        <f>IFERROR((Tablas!$C$9*VLOOKUP(AN271, amb_control, 2, 0)+Tablas!$E$9*VLOOKUP(AO271, ejec_control, 2, 0)+Tablas!$G$9*VLOOKUP(AP271, cub_control, 2, 0))*0.1*peso_ejec, "")</f>
        <v/>
      </c>
      <c r="AR271" s="93" t="str">
        <f t="shared" si="435"/>
        <v/>
      </c>
      <c r="AS271" s="94" t="str">
        <f t="shared" si="350"/>
        <v/>
      </c>
      <c r="AT271" s="94" t="str">
        <f t="shared" si="351"/>
        <v/>
      </c>
      <c r="AU271" s="94" t="str">
        <f>IF(AR271&lt;Tablas!$G$19, 0, IF(AND(AR271&gt;=Tablas!$G$19, AR271&lt;Tablas!$G$20), 1,  IF(AND(AR271&gt;=Tablas!$G$20, AR271&lt;Tablas!$G$21), 2,  IF(AND(AR271&gt;=Tablas!$G$21, AR271&lt;=Tablas!$G$22), 3,  ""))))</f>
        <v/>
      </c>
      <c r="AV271" s="94" t="str">
        <f t="shared" si="436"/>
        <v/>
      </c>
      <c r="AW271" s="102" t="str">
        <f t="shared" si="437"/>
        <v/>
      </c>
      <c r="AX271" s="157"/>
      <c r="AY271" s="170"/>
      <c r="AZ271" s="179"/>
      <c r="BA271" s="170"/>
      <c r="BB271" s="182"/>
      <c r="BC271" s="182"/>
      <c r="BD271" s="185"/>
      <c r="BE271" s="185"/>
      <c r="BF271" s="159"/>
      <c r="BG271" s="191"/>
    </row>
    <row r="272" spans="1:59" ht="15" customHeight="1" x14ac:dyDescent="0.25">
      <c r="A272" s="167"/>
      <c r="B272" s="195"/>
      <c r="C272" s="161" t="s">
        <v>18</v>
      </c>
      <c r="D272" s="160"/>
      <c r="E272" s="149"/>
      <c r="F272" s="163" t="str">
        <f t="shared" si="443"/>
        <v/>
      </c>
      <c r="G272" s="148"/>
      <c r="H272" s="148"/>
      <c r="I272" s="148"/>
      <c r="J272" s="148"/>
      <c r="K272" s="148"/>
      <c r="L272" s="165" t="str">
        <f t="shared" ref="L272" si="449">IFERROR(VLOOKUP(G272, tabla02, 2, 0), "")</f>
        <v/>
      </c>
      <c r="M272" s="165" t="str">
        <f t="shared" ref="M272" si="450">IFERROR(VLOOKUP(H272, tabla02, 2, 0), "")</f>
        <v/>
      </c>
      <c r="N272" s="165" t="str">
        <f t="shared" ref="N272" si="451">IFERROR(VLOOKUP(I272, tabla02, 2, 0), "")</f>
        <v/>
      </c>
      <c r="O272" s="165" t="str">
        <f t="shared" ref="O272" si="452">IFERROR(VLOOKUP(J272, tabla02, 2, 0), "")</f>
        <v/>
      </c>
      <c r="P272" s="165" t="str">
        <f t="shared" ref="P272" si="453">IFERROR(VLOOKUP(K272, tabla02, 2, 0), "")</f>
        <v/>
      </c>
      <c r="Q272" s="165" t="str">
        <f t="shared" ref="Q272" si="454">IF(SUM(L272:P272)=0, "", MAX(L272:P272))</f>
        <v/>
      </c>
      <c r="R272" s="159" t="str">
        <f>IFERROR(VLOOKUP(Q272, tabla04, 3, 0), "")</f>
        <v/>
      </c>
      <c r="S272" s="148"/>
      <c r="T272" s="148"/>
      <c r="U272" s="148"/>
      <c r="V272" s="148"/>
      <c r="W272" s="148"/>
      <c r="X272" s="163" t="str">
        <f>IFERROR(VLOOKUP(CONCATENATE(F272, "-", Q272), cuadrante_sev, 3, 0), "")</f>
        <v/>
      </c>
      <c r="Y272" s="163" t="str">
        <f t="shared" ref="Y272" si="455">IFERROR(IF(X272="Baja", 1, IF(X272="Moderada", 2, IF(X272="Alta", 3, IF(X272="Extrema", 4, "")))), "")</f>
        <v/>
      </c>
      <c r="Z272" s="172"/>
      <c r="AA272" s="188"/>
      <c r="AB272" s="172"/>
      <c r="AC272" s="172"/>
      <c r="AD272" s="175"/>
      <c r="AE272" s="70" t="s">
        <v>113</v>
      </c>
      <c r="AF272" s="135"/>
      <c r="AG272" s="77"/>
      <c r="AH272" s="61"/>
      <c r="AI272" s="61"/>
      <c r="AJ272" s="61"/>
      <c r="AK272" s="61"/>
      <c r="AL272" s="61"/>
      <c r="AM272" s="82" t="str">
        <f>IFERROR((Tablas!$C$1*VLOOKUP(AH272, tipo_control, 2, 0)+Tablas!$E$1*VLOOKUP(AI272, nat_control, 2, 0)+Tablas!$G$1*VLOOKUP(AJ272, ev_control, 2, 0)+Tablas!$I$1*VLOOKUP(AK272, frec_control, 2, 0)+Tablas!$K$1*VLOOKUP(AL272, doc_control, 2, 0))*0.1*peso_dis, "")</f>
        <v/>
      </c>
      <c r="AN272" s="61"/>
      <c r="AO272" s="61"/>
      <c r="AP272" s="61"/>
      <c r="AQ272" s="82" t="str">
        <f>IFERROR((Tablas!$C$9*VLOOKUP(AN272, amb_control, 2, 0)+Tablas!$E$9*VLOOKUP(AO272, ejec_control, 2, 0)+Tablas!$G$9*VLOOKUP(AP272, cub_control, 2, 0))*0.1*peso_ejec, "")</f>
        <v/>
      </c>
      <c r="AR272" s="96" t="str">
        <f t="shared" si="435"/>
        <v/>
      </c>
      <c r="AS272" s="97" t="str">
        <f t="shared" si="350"/>
        <v/>
      </c>
      <c r="AT272" s="87" t="str">
        <f t="shared" si="351"/>
        <v/>
      </c>
      <c r="AU272" s="97" t="str">
        <f>IF(AR272&lt;Tablas!$G$19, 0, IF(AND(AR272&gt;=Tablas!$G$19, AR272&lt;Tablas!$G$20), 1,  IF(AND(AR272&gt;=Tablas!$G$20, AR272&lt;Tablas!$G$21), 2,  IF(AND(AR272&gt;=Tablas!$G$21, AR272&lt;=Tablas!$G$22), 3,  ""))))</f>
        <v/>
      </c>
      <c r="AV272" s="97" t="str">
        <f t="shared" si="436"/>
        <v/>
      </c>
      <c r="AW272" s="103" t="str">
        <f t="shared" si="437"/>
        <v/>
      </c>
      <c r="AX272" s="176" t="str">
        <f t="shared" ref="AX272" si="456">IFERROR(VLOOKUP(AY272, tabla04, 2, 0), "")</f>
        <v/>
      </c>
      <c r="AY272" s="168" t="str">
        <f>IF(F272="", "", IF((F272-MAX(AV272:AV276))&lt;=0, 1, F272-MAX(AV272:AV276)))</f>
        <v/>
      </c>
      <c r="AZ272" s="178" t="str">
        <f t="shared" ref="AZ272" si="457">IFERROR(VLOOKUP(BA272, tabla04, 3, 0), "")</f>
        <v/>
      </c>
      <c r="BA272" s="168" t="str">
        <f>IF(Q272="", "", IF((Q272-MAX(AW272:AW276))&lt;=0, 1, Q272-MAX(AW272:AW276)))</f>
        <v/>
      </c>
      <c r="BB272" s="182"/>
      <c r="BC272" s="182"/>
      <c r="BD272" s="185"/>
      <c r="BE272" s="185"/>
      <c r="BF272" s="158" t="str">
        <f t="shared" ref="BF272:BF274" si="458">IFERROR(VLOOKUP(CONCATENATE(AY272, "-", BA272), cuadrante_sev, 3, 0), "")</f>
        <v/>
      </c>
      <c r="BG272" s="191"/>
    </row>
    <row r="273" spans="1:59" ht="15" customHeight="1" x14ac:dyDescent="0.25">
      <c r="A273" s="167"/>
      <c r="B273" s="195"/>
      <c r="C273" s="161"/>
      <c r="D273" s="160"/>
      <c r="E273" s="161"/>
      <c r="F273" s="164"/>
      <c r="G273" s="167"/>
      <c r="H273" s="167"/>
      <c r="I273" s="167"/>
      <c r="J273" s="167"/>
      <c r="K273" s="167"/>
      <c r="L273" s="166"/>
      <c r="M273" s="166"/>
      <c r="N273" s="166"/>
      <c r="O273" s="166"/>
      <c r="P273" s="166"/>
      <c r="Q273" s="166"/>
      <c r="R273" s="177"/>
      <c r="S273" s="167"/>
      <c r="T273" s="167"/>
      <c r="U273" s="167"/>
      <c r="V273" s="167"/>
      <c r="W273" s="167"/>
      <c r="X273" s="164"/>
      <c r="Y273" s="164"/>
      <c r="Z273" s="172"/>
      <c r="AA273" s="188"/>
      <c r="AB273" s="172"/>
      <c r="AC273" s="172"/>
      <c r="AD273" s="175"/>
      <c r="AE273" s="62" t="s">
        <v>114</v>
      </c>
      <c r="AF273" s="133"/>
      <c r="AG273" s="65"/>
      <c r="AH273" s="64"/>
      <c r="AI273" s="64"/>
      <c r="AJ273" s="64"/>
      <c r="AK273" s="64"/>
      <c r="AL273" s="64"/>
      <c r="AM273" s="80" t="str">
        <f>IFERROR((Tablas!$C$1*VLOOKUP(AH273, tipo_control, 2, 0)+Tablas!$E$1*VLOOKUP(AI273, nat_control, 2, 0)+Tablas!$G$1*VLOOKUP(AJ273, ev_control, 2, 0)+Tablas!$I$1*VLOOKUP(AK273, frec_control, 2, 0)+Tablas!$K$1*VLOOKUP(AL273, doc_control, 2, 0))*0.1*peso_dis, "")</f>
        <v/>
      </c>
      <c r="AN273" s="64"/>
      <c r="AO273" s="64"/>
      <c r="AP273" s="64"/>
      <c r="AQ273" s="80" t="str">
        <f>IFERROR((Tablas!$C$9*VLOOKUP(AN273, amb_control, 2, 0)+Tablas!$E$9*VLOOKUP(AO273, ejec_control, 2, 0)+Tablas!$G$9*VLOOKUP(AP273, cub_control, 2, 0))*0.1*peso_ejec, "")</f>
        <v/>
      </c>
      <c r="AR273" s="91" t="str">
        <f t="shared" si="435"/>
        <v/>
      </c>
      <c r="AS273" s="85" t="str">
        <f t="shared" si="350"/>
        <v/>
      </c>
      <c r="AT273" s="85" t="str">
        <f t="shared" si="351"/>
        <v/>
      </c>
      <c r="AU273" s="85" t="str">
        <f>IF(AR273&lt;Tablas!$G$19, 0, IF(AND(AR273&gt;=Tablas!$G$19, AR273&lt;Tablas!$G$20), 1,  IF(AND(AR273&gt;=Tablas!$G$20, AR273&lt;Tablas!$G$21), 2,  IF(AND(AR273&gt;=Tablas!$G$21, AR273&lt;=Tablas!$G$22), 3,  ""))))</f>
        <v/>
      </c>
      <c r="AV273" s="85" t="str">
        <f t="shared" si="436"/>
        <v/>
      </c>
      <c r="AW273" s="101" t="str">
        <f t="shared" si="437"/>
        <v/>
      </c>
      <c r="AX273" s="177"/>
      <c r="AY273" s="169"/>
      <c r="AZ273" s="158"/>
      <c r="BA273" s="169"/>
      <c r="BB273" s="182"/>
      <c r="BC273" s="182"/>
      <c r="BD273" s="185"/>
      <c r="BE273" s="185"/>
      <c r="BF273" s="158" t="str">
        <f t="shared" si="458"/>
        <v/>
      </c>
      <c r="BG273" s="191"/>
    </row>
    <row r="274" spans="1:59" ht="15" customHeight="1" x14ac:dyDescent="0.25">
      <c r="A274" s="167"/>
      <c r="B274" s="195"/>
      <c r="C274" s="161"/>
      <c r="D274" s="160"/>
      <c r="E274" s="161"/>
      <c r="F274" s="164"/>
      <c r="G274" s="167"/>
      <c r="H274" s="167"/>
      <c r="I274" s="167"/>
      <c r="J274" s="167"/>
      <c r="K274" s="167"/>
      <c r="L274" s="166"/>
      <c r="M274" s="166"/>
      <c r="N274" s="166"/>
      <c r="O274" s="166"/>
      <c r="P274" s="166"/>
      <c r="Q274" s="166"/>
      <c r="R274" s="177"/>
      <c r="S274" s="167"/>
      <c r="T274" s="167"/>
      <c r="U274" s="167"/>
      <c r="V274" s="167"/>
      <c r="W274" s="167"/>
      <c r="X274" s="164"/>
      <c r="Y274" s="164"/>
      <c r="Z274" s="172"/>
      <c r="AA274" s="188"/>
      <c r="AB274" s="172"/>
      <c r="AC274" s="172"/>
      <c r="AD274" s="175"/>
      <c r="AE274" s="62" t="s">
        <v>115</v>
      </c>
      <c r="AF274" s="133"/>
      <c r="AG274" s="65"/>
      <c r="AH274" s="64"/>
      <c r="AI274" s="64"/>
      <c r="AJ274" s="64"/>
      <c r="AK274" s="64"/>
      <c r="AL274" s="64"/>
      <c r="AM274" s="80" t="str">
        <f>IFERROR((Tablas!$C$1*VLOOKUP(AH274, tipo_control, 2, 0)+Tablas!$E$1*VLOOKUP(AI274, nat_control, 2, 0)+Tablas!$G$1*VLOOKUP(AJ274, ev_control, 2, 0)+Tablas!$I$1*VLOOKUP(AK274, frec_control, 2, 0)+Tablas!$K$1*VLOOKUP(AL274, doc_control, 2, 0))*0.1*peso_dis, "")</f>
        <v/>
      </c>
      <c r="AN274" s="64"/>
      <c r="AO274" s="64"/>
      <c r="AP274" s="64"/>
      <c r="AQ274" s="80" t="str">
        <f>IFERROR((Tablas!$C$9*VLOOKUP(AN274, amb_control, 2, 0)+Tablas!$E$9*VLOOKUP(AO274, ejec_control, 2, 0)+Tablas!$G$9*VLOOKUP(AP274, cub_control, 2, 0))*0.1*peso_ejec, "")</f>
        <v/>
      </c>
      <c r="AR274" s="91" t="str">
        <f t="shared" si="435"/>
        <v/>
      </c>
      <c r="AS274" s="85" t="str">
        <f t="shared" ref="AS274:AS337" si="459">IFERROR(VLOOKUP(AH274, tabla03, 12, 0), "")</f>
        <v/>
      </c>
      <c r="AT274" s="85" t="str">
        <f t="shared" ref="AT274:AT337" si="460">IFERROR(VLOOKUP(AH274, tabla03, 13, 0), "")</f>
        <v/>
      </c>
      <c r="AU274" s="85" t="str">
        <f>IF(AR274&lt;Tablas!$G$19, 0, IF(AND(AR274&gt;=Tablas!$G$19, AR274&lt;Tablas!$G$20), 1,  IF(AND(AR274&gt;=Tablas!$G$20, AR274&lt;Tablas!$G$21), 2,  IF(AND(AR274&gt;=Tablas!$G$21, AR274&lt;=Tablas!$G$22), 3,  ""))))</f>
        <v/>
      </c>
      <c r="AV274" s="85" t="str">
        <f t="shared" si="436"/>
        <v/>
      </c>
      <c r="AW274" s="101" t="str">
        <f t="shared" si="437"/>
        <v/>
      </c>
      <c r="AX274" s="177"/>
      <c r="AY274" s="169"/>
      <c r="AZ274" s="158"/>
      <c r="BA274" s="169"/>
      <c r="BB274" s="182"/>
      <c r="BC274" s="182"/>
      <c r="BD274" s="185"/>
      <c r="BE274" s="185"/>
      <c r="BF274" s="158" t="str">
        <f t="shared" si="458"/>
        <v/>
      </c>
      <c r="BG274" s="191"/>
    </row>
    <row r="275" spans="1:59" ht="15" customHeight="1" x14ac:dyDescent="0.25">
      <c r="A275" s="167"/>
      <c r="B275" s="195"/>
      <c r="C275" s="161"/>
      <c r="D275" s="160"/>
      <c r="E275" s="161"/>
      <c r="F275" s="164"/>
      <c r="G275" s="167"/>
      <c r="H275" s="167"/>
      <c r="I275" s="167"/>
      <c r="J275" s="167"/>
      <c r="K275" s="167"/>
      <c r="L275" s="166"/>
      <c r="M275" s="166"/>
      <c r="N275" s="166"/>
      <c r="O275" s="166"/>
      <c r="P275" s="166"/>
      <c r="Q275" s="166"/>
      <c r="R275" s="177"/>
      <c r="S275" s="167"/>
      <c r="T275" s="167"/>
      <c r="U275" s="167"/>
      <c r="V275" s="167"/>
      <c r="W275" s="167"/>
      <c r="X275" s="164"/>
      <c r="Y275" s="164"/>
      <c r="Z275" s="172"/>
      <c r="AA275" s="188"/>
      <c r="AB275" s="172"/>
      <c r="AC275" s="172"/>
      <c r="AD275" s="175"/>
      <c r="AE275" s="62" t="s">
        <v>153</v>
      </c>
      <c r="AF275" s="133"/>
      <c r="AG275" s="65"/>
      <c r="AH275" s="64"/>
      <c r="AI275" s="64"/>
      <c r="AJ275" s="64"/>
      <c r="AK275" s="64"/>
      <c r="AL275" s="64"/>
      <c r="AM275" s="80" t="str">
        <f>IFERROR((Tablas!$C$1*VLOOKUP(AH275, tipo_control, 2, 0)+Tablas!$E$1*VLOOKUP(AI275, nat_control, 2, 0)+Tablas!$G$1*VLOOKUP(AJ275, ev_control, 2, 0)+Tablas!$I$1*VLOOKUP(AK275, frec_control, 2, 0)+Tablas!$K$1*VLOOKUP(AL275, doc_control, 2, 0))*0.1*peso_dis, "")</f>
        <v/>
      </c>
      <c r="AN275" s="64"/>
      <c r="AO275" s="64"/>
      <c r="AP275" s="64"/>
      <c r="AQ275" s="80" t="str">
        <f>IFERROR((Tablas!$C$9*VLOOKUP(AN275, amb_control, 2, 0)+Tablas!$E$9*VLOOKUP(AO275, ejec_control, 2, 0)+Tablas!$G$9*VLOOKUP(AP275, cub_control, 2, 0))*0.1*peso_ejec, "")</f>
        <v/>
      </c>
      <c r="AR275" s="91" t="str">
        <f t="shared" si="435"/>
        <v/>
      </c>
      <c r="AS275" s="85" t="str">
        <f t="shared" si="459"/>
        <v/>
      </c>
      <c r="AT275" s="85" t="str">
        <f t="shared" si="460"/>
        <v/>
      </c>
      <c r="AU275" s="85" t="str">
        <f>IF(AR275&lt;Tablas!$G$19, 0, IF(AND(AR275&gt;=Tablas!$G$19, AR275&lt;Tablas!$G$20), 1,  IF(AND(AR275&gt;=Tablas!$G$20, AR275&lt;Tablas!$G$21), 2,  IF(AND(AR275&gt;=Tablas!$G$21, AR275&lt;=Tablas!$G$22), 3,  ""))))</f>
        <v/>
      </c>
      <c r="AV275" s="85" t="str">
        <f t="shared" si="436"/>
        <v/>
      </c>
      <c r="AW275" s="101" t="str">
        <f t="shared" si="437"/>
        <v/>
      </c>
      <c r="AX275" s="177"/>
      <c r="AY275" s="169"/>
      <c r="AZ275" s="158"/>
      <c r="BA275" s="169"/>
      <c r="BB275" s="182"/>
      <c r="BC275" s="182"/>
      <c r="BD275" s="185"/>
      <c r="BE275" s="185"/>
      <c r="BF275" s="158"/>
      <c r="BG275" s="191"/>
    </row>
    <row r="276" spans="1:59" ht="15" customHeight="1" thickBot="1" x14ac:dyDescent="0.3">
      <c r="A276" s="167"/>
      <c r="B276" s="195"/>
      <c r="C276" s="161"/>
      <c r="D276" s="160"/>
      <c r="E276" s="161"/>
      <c r="F276" s="165"/>
      <c r="G276" s="149"/>
      <c r="H276" s="149"/>
      <c r="I276" s="149"/>
      <c r="J276" s="149"/>
      <c r="K276" s="149"/>
      <c r="L276" s="166"/>
      <c r="M276" s="166"/>
      <c r="N276" s="166"/>
      <c r="O276" s="166"/>
      <c r="P276" s="166"/>
      <c r="Q276" s="166"/>
      <c r="R276" s="177"/>
      <c r="S276" s="149"/>
      <c r="T276" s="149"/>
      <c r="U276" s="149"/>
      <c r="V276" s="149"/>
      <c r="W276" s="149"/>
      <c r="X276" s="165"/>
      <c r="Y276" s="165"/>
      <c r="Z276" s="172"/>
      <c r="AA276" s="188"/>
      <c r="AB276" s="172"/>
      <c r="AC276" s="172"/>
      <c r="AD276" s="175"/>
      <c r="AE276" s="66" t="s">
        <v>154</v>
      </c>
      <c r="AF276" s="134"/>
      <c r="AG276" s="67"/>
      <c r="AH276" s="69"/>
      <c r="AI276" s="69"/>
      <c r="AJ276" s="69"/>
      <c r="AK276" s="69"/>
      <c r="AL276" s="69"/>
      <c r="AM276" s="81" t="str">
        <f>IFERROR((Tablas!$C$1*VLOOKUP(AH276, tipo_control, 2, 0)+Tablas!$E$1*VLOOKUP(AI276, nat_control, 2, 0)+Tablas!$G$1*VLOOKUP(AJ276, ev_control, 2, 0)+Tablas!$I$1*VLOOKUP(AK276, frec_control, 2, 0)+Tablas!$K$1*VLOOKUP(AL276, doc_control, 2, 0))*0.1*peso_dis, "")</f>
        <v/>
      </c>
      <c r="AN276" s="69"/>
      <c r="AO276" s="69"/>
      <c r="AP276" s="69"/>
      <c r="AQ276" s="81" t="str">
        <f>IFERROR((Tablas!$C$9*VLOOKUP(AN276, amb_control, 2, 0)+Tablas!$E$9*VLOOKUP(AO276, ejec_control, 2, 0)+Tablas!$G$9*VLOOKUP(AP276, cub_control, 2, 0))*0.1*peso_ejec, "")</f>
        <v/>
      </c>
      <c r="AR276" s="93" t="str">
        <f t="shared" si="435"/>
        <v/>
      </c>
      <c r="AS276" s="94" t="str">
        <f t="shared" si="459"/>
        <v/>
      </c>
      <c r="AT276" s="94" t="str">
        <f t="shared" si="460"/>
        <v/>
      </c>
      <c r="AU276" s="94" t="str">
        <f>IF(AR276&lt;Tablas!$G$19, 0, IF(AND(AR276&gt;=Tablas!$G$19, AR276&lt;Tablas!$G$20), 1,  IF(AND(AR276&gt;=Tablas!$G$20, AR276&lt;Tablas!$G$21), 2,  IF(AND(AR276&gt;=Tablas!$G$21, AR276&lt;=Tablas!$G$22), 3,  ""))))</f>
        <v/>
      </c>
      <c r="AV276" s="94" t="str">
        <f t="shared" si="436"/>
        <v/>
      </c>
      <c r="AW276" s="102" t="str">
        <f t="shared" si="437"/>
        <v/>
      </c>
      <c r="AX276" s="157"/>
      <c r="AY276" s="170"/>
      <c r="AZ276" s="179"/>
      <c r="BA276" s="170"/>
      <c r="BB276" s="182"/>
      <c r="BC276" s="182"/>
      <c r="BD276" s="185"/>
      <c r="BE276" s="185"/>
      <c r="BF276" s="159"/>
      <c r="BG276" s="191"/>
    </row>
    <row r="277" spans="1:59" ht="15" customHeight="1" x14ac:dyDescent="0.25">
      <c r="A277" s="167"/>
      <c r="B277" s="195"/>
      <c r="C277" s="161" t="s">
        <v>19</v>
      </c>
      <c r="D277" s="160"/>
      <c r="E277" s="149"/>
      <c r="F277" s="163" t="str">
        <f t="shared" si="443"/>
        <v/>
      </c>
      <c r="G277" s="148"/>
      <c r="H277" s="148"/>
      <c r="I277" s="148"/>
      <c r="J277" s="148"/>
      <c r="K277" s="148"/>
      <c r="L277" s="165" t="str">
        <f t="shared" ref="L277" si="461">IFERROR(VLOOKUP(G277, tabla02, 2, 0), "")</f>
        <v/>
      </c>
      <c r="M277" s="165" t="str">
        <f t="shared" ref="M277" si="462">IFERROR(VLOOKUP(H277, tabla02, 2, 0), "")</f>
        <v/>
      </c>
      <c r="N277" s="165" t="str">
        <f t="shared" ref="N277" si="463">IFERROR(VLOOKUP(I277, tabla02, 2, 0), "")</f>
        <v/>
      </c>
      <c r="O277" s="165" t="str">
        <f t="shared" ref="O277" si="464">IFERROR(VLOOKUP(J277, tabla02, 2, 0), "")</f>
        <v/>
      </c>
      <c r="P277" s="165" t="str">
        <f t="shared" ref="P277" si="465">IFERROR(VLOOKUP(K277, tabla02, 2, 0), "")</f>
        <v/>
      </c>
      <c r="Q277" s="165" t="str">
        <f t="shared" ref="Q277" si="466">IF(SUM(L277:P277)=0, "", MAX(L277:P277))</f>
        <v/>
      </c>
      <c r="R277" s="159" t="str">
        <f>IFERROR(VLOOKUP(Q277, tabla04, 3, 0), "")</f>
        <v/>
      </c>
      <c r="S277" s="148"/>
      <c r="T277" s="148"/>
      <c r="U277" s="148"/>
      <c r="V277" s="148"/>
      <c r="W277" s="148"/>
      <c r="X277" s="163" t="str">
        <f>IFERROR(VLOOKUP(CONCATENATE(F277, "-", Q277), cuadrante_sev, 3, 0), "")</f>
        <v/>
      </c>
      <c r="Y277" s="163" t="str">
        <f t="shared" ref="Y277" si="467">IFERROR(IF(X277="Baja", 1, IF(X277="Moderada", 2, IF(X277="Alta", 3, IF(X277="Extrema", 4, "")))), "")</f>
        <v/>
      </c>
      <c r="Z277" s="172"/>
      <c r="AA277" s="188"/>
      <c r="AB277" s="172"/>
      <c r="AC277" s="172"/>
      <c r="AD277" s="175"/>
      <c r="AE277" s="70" t="s">
        <v>113</v>
      </c>
      <c r="AF277" s="135"/>
      <c r="AG277" s="74"/>
      <c r="AH277" s="72"/>
      <c r="AI277" s="72"/>
      <c r="AJ277" s="72"/>
      <c r="AK277" s="72"/>
      <c r="AL277" s="72"/>
      <c r="AM277" s="82" t="str">
        <f>IFERROR((Tablas!$C$1*VLOOKUP(AH277, tipo_control, 2, 0)+Tablas!$E$1*VLOOKUP(AI277, nat_control, 2, 0)+Tablas!$G$1*VLOOKUP(AJ277, ev_control, 2, 0)+Tablas!$I$1*VLOOKUP(AK277, frec_control, 2, 0)+Tablas!$K$1*VLOOKUP(AL277, doc_control, 2, 0))*0.1*peso_dis, "")</f>
        <v/>
      </c>
      <c r="AN277" s="72"/>
      <c r="AO277" s="72"/>
      <c r="AP277" s="72"/>
      <c r="AQ277" s="82" t="str">
        <f>IFERROR((Tablas!$C$9*VLOOKUP(AN277, amb_control, 2, 0)+Tablas!$E$9*VLOOKUP(AO277, ejec_control, 2, 0)+Tablas!$G$9*VLOOKUP(AP277, cub_control, 2, 0))*0.1*peso_ejec, "")</f>
        <v/>
      </c>
      <c r="AR277" s="96" t="str">
        <f t="shared" si="435"/>
        <v/>
      </c>
      <c r="AS277" s="97" t="str">
        <f t="shared" si="459"/>
        <v/>
      </c>
      <c r="AT277" s="87" t="str">
        <f t="shared" si="460"/>
        <v/>
      </c>
      <c r="AU277" s="97" t="str">
        <f>IF(AR277&lt;Tablas!$G$19, 0, IF(AND(AR277&gt;=Tablas!$G$19, AR277&lt;Tablas!$G$20), 1,  IF(AND(AR277&gt;=Tablas!$G$20, AR277&lt;Tablas!$G$21), 2,  IF(AND(AR277&gt;=Tablas!$G$21, AR277&lt;=Tablas!$G$22), 3,  ""))))</f>
        <v/>
      </c>
      <c r="AV277" s="97" t="str">
        <f t="shared" si="436"/>
        <v/>
      </c>
      <c r="AW277" s="103" t="str">
        <f t="shared" si="437"/>
        <v/>
      </c>
      <c r="AX277" s="176" t="str">
        <f t="shared" ref="AX277" si="468">IFERROR(VLOOKUP(AY277, tabla04, 2, 0), "")</f>
        <v/>
      </c>
      <c r="AY277" s="168" t="str">
        <f>IF(F277="", "", IF((F277-MAX(AV277:AV281))&lt;=0, 1, F277-MAX(AV277:AV281)))</f>
        <v/>
      </c>
      <c r="AZ277" s="178" t="str">
        <f t="shared" ref="AZ277" si="469">IFERROR(VLOOKUP(BA277, tabla04, 3, 0), "")</f>
        <v/>
      </c>
      <c r="BA277" s="168" t="str">
        <f>IF(Q277="", "", IF((Q277-MAX(AW277:AW281))&lt;=0, 1, Q277-MAX(AW277:AW281)))</f>
        <v/>
      </c>
      <c r="BB277" s="182"/>
      <c r="BC277" s="182"/>
      <c r="BD277" s="185"/>
      <c r="BE277" s="185"/>
      <c r="BF277" s="158" t="str">
        <f t="shared" ref="BF277:BF279" si="470">IFERROR(VLOOKUP(CONCATENATE(AY277, "-", BA277), cuadrante_sev, 3, 0), "")</f>
        <v/>
      </c>
      <c r="BG277" s="191"/>
    </row>
    <row r="278" spans="1:59" ht="15" customHeight="1" x14ac:dyDescent="0.25">
      <c r="A278" s="167"/>
      <c r="B278" s="195"/>
      <c r="C278" s="161"/>
      <c r="D278" s="160"/>
      <c r="E278" s="161"/>
      <c r="F278" s="164"/>
      <c r="G278" s="167"/>
      <c r="H278" s="167"/>
      <c r="I278" s="167"/>
      <c r="J278" s="167"/>
      <c r="K278" s="167"/>
      <c r="L278" s="166"/>
      <c r="M278" s="166"/>
      <c r="N278" s="166"/>
      <c r="O278" s="166"/>
      <c r="P278" s="166"/>
      <c r="Q278" s="166"/>
      <c r="R278" s="177"/>
      <c r="S278" s="167"/>
      <c r="T278" s="167"/>
      <c r="U278" s="167"/>
      <c r="V278" s="167"/>
      <c r="W278" s="167"/>
      <c r="X278" s="164"/>
      <c r="Y278" s="164"/>
      <c r="Z278" s="172"/>
      <c r="AA278" s="188"/>
      <c r="AB278" s="172"/>
      <c r="AC278" s="172"/>
      <c r="AD278" s="175"/>
      <c r="AE278" s="62" t="s">
        <v>114</v>
      </c>
      <c r="AF278" s="133"/>
      <c r="AG278" s="65"/>
      <c r="AH278" s="64"/>
      <c r="AI278" s="64"/>
      <c r="AJ278" s="64"/>
      <c r="AK278" s="64"/>
      <c r="AL278" s="64"/>
      <c r="AM278" s="80" t="str">
        <f>IFERROR((Tablas!$C$1*VLOOKUP(AH278, tipo_control, 2, 0)+Tablas!$E$1*VLOOKUP(AI278, nat_control, 2, 0)+Tablas!$G$1*VLOOKUP(AJ278, ev_control, 2, 0)+Tablas!$I$1*VLOOKUP(AK278, frec_control, 2, 0)+Tablas!$K$1*VLOOKUP(AL278, doc_control, 2, 0))*0.1*peso_dis, "")</f>
        <v/>
      </c>
      <c r="AN278" s="64"/>
      <c r="AO278" s="64"/>
      <c r="AP278" s="64"/>
      <c r="AQ278" s="80" t="str">
        <f>IFERROR((Tablas!$C$9*VLOOKUP(AN278, amb_control, 2, 0)+Tablas!$E$9*VLOOKUP(AO278, ejec_control, 2, 0)+Tablas!$G$9*VLOOKUP(AP278, cub_control, 2, 0))*0.1*peso_ejec, "")</f>
        <v/>
      </c>
      <c r="AR278" s="91" t="str">
        <f t="shared" si="435"/>
        <v/>
      </c>
      <c r="AS278" s="85" t="str">
        <f t="shared" si="459"/>
        <v/>
      </c>
      <c r="AT278" s="85" t="str">
        <f t="shared" si="460"/>
        <v/>
      </c>
      <c r="AU278" s="85" t="str">
        <f>IF(AR278&lt;Tablas!$G$19, 0, IF(AND(AR278&gt;=Tablas!$G$19, AR278&lt;Tablas!$G$20), 1,  IF(AND(AR278&gt;=Tablas!$G$20, AR278&lt;Tablas!$G$21), 2,  IF(AND(AR278&gt;=Tablas!$G$21, AR278&lt;=Tablas!$G$22), 3,  ""))))</f>
        <v/>
      </c>
      <c r="AV278" s="85" t="str">
        <f t="shared" si="436"/>
        <v/>
      </c>
      <c r="AW278" s="101" t="str">
        <f t="shared" si="437"/>
        <v/>
      </c>
      <c r="AX278" s="177"/>
      <c r="AY278" s="169"/>
      <c r="AZ278" s="158"/>
      <c r="BA278" s="169"/>
      <c r="BB278" s="182"/>
      <c r="BC278" s="182"/>
      <c r="BD278" s="185"/>
      <c r="BE278" s="185"/>
      <c r="BF278" s="158" t="str">
        <f t="shared" si="470"/>
        <v/>
      </c>
      <c r="BG278" s="191"/>
    </row>
    <row r="279" spans="1:59" ht="15" customHeight="1" x14ac:dyDescent="0.25">
      <c r="A279" s="167"/>
      <c r="B279" s="195"/>
      <c r="C279" s="161"/>
      <c r="D279" s="160"/>
      <c r="E279" s="161"/>
      <c r="F279" s="164"/>
      <c r="G279" s="167"/>
      <c r="H279" s="167"/>
      <c r="I279" s="167"/>
      <c r="J279" s="167"/>
      <c r="K279" s="167"/>
      <c r="L279" s="166"/>
      <c r="M279" s="166"/>
      <c r="N279" s="166"/>
      <c r="O279" s="166"/>
      <c r="P279" s="166"/>
      <c r="Q279" s="166"/>
      <c r="R279" s="177"/>
      <c r="S279" s="167"/>
      <c r="T279" s="167"/>
      <c r="U279" s="167"/>
      <c r="V279" s="167"/>
      <c r="W279" s="167"/>
      <c r="X279" s="164"/>
      <c r="Y279" s="164"/>
      <c r="Z279" s="172"/>
      <c r="AA279" s="188"/>
      <c r="AB279" s="172"/>
      <c r="AC279" s="172"/>
      <c r="AD279" s="175"/>
      <c r="AE279" s="62" t="s">
        <v>115</v>
      </c>
      <c r="AF279" s="133"/>
      <c r="AG279" s="65"/>
      <c r="AH279" s="64"/>
      <c r="AI279" s="64"/>
      <c r="AJ279" s="64"/>
      <c r="AK279" s="64"/>
      <c r="AL279" s="64"/>
      <c r="AM279" s="80" t="str">
        <f>IFERROR((Tablas!$C$1*VLOOKUP(AH279, tipo_control, 2, 0)+Tablas!$E$1*VLOOKUP(AI279, nat_control, 2, 0)+Tablas!$G$1*VLOOKUP(AJ279, ev_control, 2, 0)+Tablas!$I$1*VLOOKUP(AK279, frec_control, 2, 0)+Tablas!$K$1*VLOOKUP(AL279, doc_control, 2, 0))*0.1*peso_dis, "")</f>
        <v/>
      </c>
      <c r="AN279" s="64"/>
      <c r="AO279" s="64"/>
      <c r="AP279" s="64"/>
      <c r="AQ279" s="80" t="str">
        <f>IFERROR((Tablas!$C$9*VLOOKUP(AN279, amb_control, 2, 0)+Tablas!$E$9*VLOOKUP(AO279, ejec_control, 2, 0)+Tablas!$G$9*VLOOKUP(AP279, cub_control, 2, 0))*0.1*peso_ejec, "")</f>
        <v/>
      </c>
      <c r="AR279" s="91" t="str">
        <f t="shared" si="435"/>
        <v/>
      </c>
      <c r="AS279" s="85" t="str">
        <f t="shared" si="459"/>
        <v/>
      </c>
      <c r="AT279" s="85" t="str">
        <f t="shared" si="460"/>
        <v/>
      </c>
      <c r="AU279" s="85" t="str">
        <f>IF(AR279&lt;Tablas!$G$19, 0, IF(AND(AR279&gt;=Tablas!$G$19, AR279&lt;Tablas!$G$20), 1,  IF(AND(AR279&gt;=Tablas!$G$20, AR279&lt;Tablas!$G$21), 2,  IF(AND(AR279&gt;=Tablas!$G$21, AR279&lt;=Tablas!$G$22), 3,  ""))))</f>
        <v/>
      </c>
      <c r="AV279" s="85" t="str">
        <f t="shared" si="436"/>
        <v/>
      </c>
      <c r="AW279" s="101" t="str">
        <f t="shared" si="437"/>
        <v/>
      </c>
      <c r="AX279" s="177"/>
      <c r="AY279" s="169"/>
      <c r="AZ279" s="158"/>
      <c r="BA279" s="169"/>
      <c r="BB279" s="182"/>
      <c r="BC279" s="182"/>
      <c r="BD279" s="185"/>
      <c r="BE279" s="185"/>
      <c r="BF279" s="158" t="str">
        <f t="shared" si="470"/>
        <v/>
      </c>
      <c r="BG279" s="191"/>
    </row>
    <row r="280" spans="1:59" ht="15" customHeight="1" x14ac:dyDescent="0.25">
      <c r="A280" s="167"/>
      <c r="B280" s="195"/>
      <c r="C280" s="161"/>
      <c r="D280" s="160"/>
      <c r="E280" s="161"/>
      <c r="F280" s="164"/>
      <c r="G280" s="167"/>
      <c r="H280" s="167"/>
      <c r="I280" s="167"/>
      <c r="J280" s="167"/>
      <c r="K280" s="167"/>
      <c r="L280" s="166"/>
      <c r="M280" s="166"/>
      <c r="N280" s="166"/>
      <c r="O280" s="166"/>
      <c r="P280" s="166"/>
      <c r="Q280" s="166"/>
      <c r="R280" s="177"/>
      <c r="S280" s="167"/>
      <c r="T280" s="167"/>
      <c r="U280" s="167"/>
      <c r="V280" s="167"/>
      <c r="W280" s="167"/>
      <c r="X280" s="164"/>
      <c r="Y280" s="164"/>
      <c r="Z280" s="172"/>
      <c r="AA280" s="188"/>
      <c r="AB280" s="172"/>
      <c r="AC280" s="172"/>
      <c r="AD280" s="175"/>
      <c r="AE280" s="62" t="s">
        <v>153</v>
      </c>
      <c r="AF280" s="133"/>
      <c r="AG280" s="65"/>
      <c r="AH280" s="64"/>
      <c r="AI280" s="64"/>
      <c r="AJ280" s="64"/>
      <c r="AK280" s="64"/>
      <c r="AL280" s="64"/>
      <c r="AM280" s="80" t="str">
        <f>IFERROR((Tablas!$C$1*VLOOKUP(AH280, tipo_control, 2, 0)+Tablas!$E$1*VLOOKUP(AI280, nat_control, 2, 0)+Tablas!$G$1*VLOOKUP(AJ280, ev_control, 2, 0)+Tablas!$I$1*VLOOKUP(AK280, frec_control, 2, 0)+Tablas!$K$1*VLOOKUP(AL280, doc_control, 2, 0))*0.1*peso_dis, "")</f>
        <v/>
      </c>
      <c r="AN280" s="64"/>
      <c r="AO280" s="64"/>
      <c r="AP280" s="64"/>
      <c r="AQ280" s="80" t="str">
        <f>IFERROR((Tablas!$C$9*VLOOKUP(AN280, amb_control, 2, 0)+Tablas!$E$9*VLOOKUP(AO280, ejec_control, 2, 0)+Tablas!$G$9*VLOOKUP(AP280, cub_control, 2, 0))*0.1*peso_ejec, "")</f>
        <v/>
      </c>
      <c r="AR280" s="91" t="str">
        <f t="shared" si="435"/>
        <v/>
      </c>
      <c r="AS280" s="85" t="str">
        <f t="shared" si="459"/>
        <v/>
      </c>
      <c r="AT280" s="85" t="str">
        <f t="shared" si="460"/>
        <v/>
      </c>
      <c r="AU280" s="85" t="str">
        <f>IF(AR280&lt;Tablas!$G$19, 0, IF(AND(AR280&gt;=Tablas!$G$19, AR280&lt;Tablas!$G$20), 1,  IF(AND(AR280&gt;=Tablas!$G$20, AR280&lt;Tablas!$G$21), 2,  IF(AND(AR280&gt;=Tablas!$G$21, AR280&lt;=Tablas!$G$22), 3,  ""))))</f>
        <v/>
      </c>
      <c r="AV280" s="85" t="str">
        <f t="shared" si="436"/>
        <v/>
      </c>
      <c r="AW280" s="101" t="str">
        <f t="shared" si="437"/>
        <v/>
      </c>
      <c r="AX280" s="177"/>
      <c r="AY280" s="169"/>
      <c r="AZ280" s="158"/>
      <c r="BA280" s="169"/>
      <c r="BB280" s="182"/>
      <c r="BC280" s="182"/>
      <c r="BD280" s="185"/>
      <c r="BE280" s="185"/>
      <c r="BF280" s="158"/>
      <c r="BG280" s="191"/>
    </row>
    <row r="281" spans="1:59" ht="15" customHeight="1" thickBot="1" x14ac:dyDescent="0.3">
      <c r="A281" s="167"/>
      <c r="B281" s="195"/>
      <c r="C281" s="161"/>
      <c r="D281" s="160"/>
      <c r="E281" s="161"/>
      <c r="F281" s="165"/>
      <c r="G281" s="149"/>
      <c r="H281" s="149"/>
      <c r="I281" s="149"/>
      <c r="J281" s="149"/>
      <c r="K281" s="149"/>
      <c r="L281" s="166"/>
      <c r="M281" s="166"/>
      <c r="N281" s="166"/>
      <c r="O281" s="166"/>
      <c r="P281" s="166"/>
      <c r="Q281" s="166"/>
      <c r="R281" s="177"/>
      <c r="S281" s="149"/>
      <c r="T281" s="149"/>
      <c r="U281" s="149"/>
      <c r="V281" s="149"/>
      <c r="W281" s="149"/>
      <c r="X281" s="165"/>
      <c r="Y281" s="165"/>
      <c r="Z281" s="172"/>
      <c r="AA281" s="188"/>
      <c r="AB281" s="172"/>
      <c r="AC281" s="172"/>
      <c r="AD281" s="175"/>
      <c r="AE281" s="66" t="s">
        <v>154</v>
      </c>
      <c r="AF281" s="134"/>
      <c r="AG281" s="67"/>
      <c r="AH281" s="69"/>
      <c r="AI281" s="69"/>
      <c r="AJ281" s="69"/>
      <c r="AK281" s="69"/>
      <c r="AL281" s="69"/>
      <c r="AM281" s="81" t="str">
        <f>IFERROR((Tablas!$C$1*VLOOKUP(AH281, tipo_control, 2, 0)+Tablas!$E$1*VLOOKUP(AI281, nat_control, 2, 0)+Tablas!$G$1*VLOOKUP(AJ281, ev_control, 2, 0)+Tablas!$I$1*VLOOKUP(AK281, frec_control, 2, 0)+Tablas!$K$1*VLOOKUP(AL281, doc_control, 2, 0))*0.1*peso_dis, "")</f>
        <v/>
      </c>
      <c r="AN281" s="69"/>
      <c r="AO281" s="69"/>
      <c r="AP281" s="69"/>
      <c r="AQ281" s="81" t="str">
        <f>IFERROR((Tablas!$C$9*VLOOKUP(AN281, amb_control, 2, 0)+Tablas!$E$9*VLOOKUP(AO281, ejec_control, 2, 0)+Tablas!$G$9*VLOOKUP(AP281, cub_control, 2, 0))*0.1*peso_ejec, "")</f>
        <v/>
      </c>
      <c r="AR281" s="93" t="str">
        <f t="shared" si="435"/>
        <v/>
      </c>
      <c r="AS281" s="94" t="str">
        <f t="shared" si="459"/>
        <v/>
      </c>
      <c r="AT281" s="94" t="str">
        <f t="shared" si="460"/>
        <v/>
      </c>
      <c r="AU281" s="94" t="str">
        <f>IF(AR281&lt;Tablas!$G$19, 0, IF(AND(AR281&gt;=Tablas!$G$19, AR281&lt;Tablas!$G$20), 1,  IF(AND(AR281&gt;=Tablas!$G$20, AR281&lt;Tablas!$G$21), 2,  IF(AND(AR281&gt;=Tablas!$G$21, AR281&lt;=Tablas!$G$22), 3,  ""))))</f>
        <v/>
      </c>
      <c r="AV281" s="94" t="str">
        <f t="shared" si="436"/>
        <v/>
      </c>
      <c r="AW281" s="102" t="str">
        <f t="shared" si="437"/>
        <v/>
      </c>
      <c r="AX281" s="157"/>
      <c r="AY281" s="170"/>
      <c r="AZ281" s="179"/>
      <c r="BA281" s="170"/>
      <c r="BB281" s="182"/>
      <c r="BC281" s="182"/>
      <c r="BD281" s="185"/>
      <c r="BE281" s="185"/>
      <c r="BF281" s="159"/>
      <c r="BG281" s="191"/>
    </row>
    <row r="282" spans="1:59" x14ac:dyDescent="0.25">
      <c r="A282" s="167"/>
      <c r="B282" s="195"/>
      <c r="C282" s="161" t="s">
        <v>20</v>
      </c>
      <c r="D282" s="160"/>
      <c r="E282" s="149"/>
      <c r="F282" s="163" t="str">
        <f t="shared" si="443"/>
        <v/>
      </c>
      <c r="G282" s="148"/>
      <c r="H282" s="148"/>
      <c r="I282" s="148"/>
      <c r="J282" s="148"/>
      <c r="K282" s="148"/>
      <c r="L282" s="165" t="str">
        <f t="shared" ref="L282" si="471">IFERROR(VLOOKUP(G282, tabla02, 2, 0), "")</f>
        <v/>
      </c>
      <c r="M282" s="165" t="str">
        <f t="shared" ref="M282" si="472">IFERROR(VLOOKUP(H282, tabla02, 2, 0), "")</f>
        <v/>
      </c>
      <c r="N282" s="165" t="str">
        <f t="shared" ref="N282" si="473">IFERROR(VLOOKUP(I282, tabla02, 2, 0), "")</f>
        <v/>
      </c>
      <c r="O282" s="165" t="str">
        <f t="shared" ref="O282" si="474">IFERROR(VLOOKUP(J282, tabla02, 2, 0), "")</f>
        <v/>
      </c>
      <c r="P282" s="165" t="str">
        <f t="shared" ref="P282" si="475">IFERROR(VLOOKUP(K282, tabla02, 2, 0), "")</f>
        <v/>
      </c>
      <c r="Q282" s="165" t="str">
        <f t="shared" ref="Q282" si="476">IF(SUM(L282:P282)=0, "", MAX(L282:P282))</f>
        <v/>
      </c>
      <c r="R282" s="159" t="str">
        <f>IFERROR(VLOOKUP(Q282, tabla04, 3, 0), "")</f>
        <v/>
      </c>
      <c r="S282" s="148"/>
      <c r="T282" s="148"/>
      <c r="U282" s="148"/>
      <c r="V282" s="148"/>
      <c r="W282" s="148"/>
      <c r="X282" s="163" t="str">
        <f>IFERROR(VLOOKUP(CONCATENATE(F282, "-", Q282), cuadrante_sev, 3, 0), "")</f>
        <v/>
      </c>
      <c r="Y282" s="163" t="str">
        <f t="shared" ref="Y282" si="477">IFERROR(IF(X282="Baja", 1, IF(X282="Moderada", 2, IF(X282="Alta", 3, IF(X282="Extrema", 4, "")))), "")</f>
        <v/>
      </c>
      <c r="Z282" s="172"/>
      <c r="AA282" s="188"/>
      <c r="AB282" s="172"/>
      <c r="AC282" s="172"/>
      <c r="AD282" s="175"/>
      <c r="AE282" s="70" t="s">
        <v>113</v>
      </c>
      <c r="AF282" s="135"/>
      <c r="AG282" s="74"/>
      <c r="AH282" s="72"/>
      <c r="AI282" s="72"/>
      <c r="AJ282" s="72"/>
      <c r="AK282" s="72"/>
      <c r="AL282" s="72"/>
      <c r="AM282" s="82" t="str">
        <f>IFERROR((Tablas!$C$1*VLOOKUP(AH282, tipo_control, 2, 0)+Tablas!$E$1*VLOOKUP(AI282, nat_control, 2, 0)+Tablas!$G$1*VLOOKUP(AJ282, ev_control, 2, 0)+Tablas!$I$1*VLOOKUP(AK282, frec_control, 2, 0)+Tablas!$K$1*VLOOKUP(AL282, doc_control, 2, 0))*0.1*peso_dis, "")</f>
        <v/>
      </c>
      <c r="AN282" s="72"/>
      <c r="AO282" s="72"/>
      <c r="AP282" s="72"/>
      <c r="AQ282" s="82" t="str">
        <f>IFERROR((Tablas!$C$9*VLOOKUP(AN282, amb_control, 2, 0)+Tablas!$E$9*VLOOKUP(AO282, ejec_control, 2, 0)+Tablas!$G$9*VLOOKUP(AP282, cub_control, 2, 0))*0.1*peso_ejec, "")</f>
        <v/>
      </c>
      <c r="AR282" s="96" t="str">
        <f t="shared" si="435"/>
        <v/>
      </c>
      <c r="AS282" s="97" t="str">
        <f t="shared" si="459"/>
        <v/>
      </c>
      <c r="AT282" s="87" t="str">
        <f t="shared" si="460"/>
        <v/>
      </c>
      <c r="AU282" s="97" t="str">
        <f>IF(AR282&lt;Tablas!$G$19, 0, IF(AND(AR282&gt;=Tablas!$G$19, AR282&lt;Tablas!$G$20), 1,  IF(AND(AR282&gt;=Tablas!$G$20, AR282&lt;Tablas!$G$21), 2,  IF(AND(AR282&gt;=Tablas!$G$21, AR282&lt;=Tablas!$G$22), 3,  ""))))</f>
        <v/>
      </c>
      <c r="AV282" s="97" t="str">
        <f t="shared" si="436"/>
        <v/>
      </c>
      <c r="AW282" s="103" t="str">
        <f t="shared" si="437"/>
        <v/>
      </c>
      <c r="AX282" s="176" t="str">
        <f t="shared" ref="AX282" si="478">IFERROR(VLOOKUP(AY282, tabla04, 2, 0), "")</f>
        <v/>
      </c>
      <c r="AY282" s="168" t="str">
        <f>IF(F282="", "", IF((F282-MAX(AV282:AV286))&lt;=0, 1, F282-MAX(AV282:AV286)))</f>
        <v/>
      </c>
      <c r="AZ282" s="178" t="str">
        <f t="shared" ref="AZ282" si="479">IFERROR(VLOOKUP(BA282, tabla04, 3, 0), "")</f>
        <v/>
      </c>
      <c r="BA282" s="168" t="str">
        <f>IF(Q282="", "", IF((Q282-MAX(AW282:AW286))&lt;=0, 1, Q282-MAX(AW282:AW286)))</f>
        <v/>
      </c>
      <c r="BB282" s="182"/>
      <c r="BC282" s="182"/>
      <c r="BD282" s="185"/>
      <c r="BE282" s="185"/>
      <c r="BF282" s="158" t="str">
        <f t="shared" ref="BF282:BF284" si="480">IFERROR(VLOOKUP(CONCATENATE(AY282, "-", BA282), cuadrante_sev, 3, 0), "")</f>
        <v/>
      </c>
      <c r="BG282" s="191"/>
    </row>
    <row r="283" spans="1:59" x14ac:dyDescent="0.25">
      <c r="A283" s="167"/>
      <c r="B283" s="195"/>
      <c r="C283" s="161"/>
      <c r="D283" s="160"/>
      <c r="E283" s="161"/>
      <c r="F283" s="164"/>
      <c r="G283" s="167"/>
      <c r="H283" s="167"/>
      <c r="I283" s="167"/>
      <c r="J283" s="167"/>
      <c r="K283" s="167"/>
      <c r="L283" s="166"/>
      <c r="M283" s="166"/>
      <c r="N283" s="166"/>
      <c r="O283" s="166"/>
      <c r="P283" s="166"/>
      <c r="Q283" s="166"/>
      <c r="R283" s="177"/>
      <c r="S283" s="167"/>
      <c r="T283" s="167"/>
      <c r="U283" s="167"/>
      <c r="V283" s="167"/>
      <c r="W283" s="167"/>
      <c r="X283" s="164"/>
      <c r="Y283" s="164"/>
      <c r="Z283" s="172"/>
      <c r="AA283" s="188"/>
      <c r="AB283" s="172"/>
      <c r="AC283" s="172"/>
      <c r="AD283" s="175"/>
      <c r="AE283" s="62" t="s">
        <v>114</v>
      </c>
      <c r="AF283" s="133"/>
      <c r="AG283" s="65"/>
      <c r="AH283" s="64"/>
      <c r="AI283" s="64"/>
      <c r="AJ283" s="64"/>
      <c r="AK283" s="64"/>
      <c r="AL283" s="64"/>
      <c r="AM283" s="80" t="str">
        <f>IFERROR((Tablas!$C$1*VLOOKUP(AH283, tipo_control, 2, 0)+Tablas!$E$1*VLOOKUP(AI283, nat_control, 2, 0)+Tablas!$G$1*VLOOKUP(AJ283, ev_control, 2, 0)+Tablas!$I$1*VLOOKUP(AK283, frec_control, 2, 0)+Tablas!$K$1*VLOOKUP(AL283, doc_control, 2, 0))*0.1*peso_dis, "")</f>
        <v/>
      </c>
      <c r="AN283" s="64"/>
      <c r="AO283" s="64"/>
      <c r="AP283" s="64"/>
      <c r="AQ283" s="80" t="str">
        <f>IFERROR((Tablas!$C$9*VLOOKUP(AN283, amb_control, 2, 0)+Tablas!$E$9*VLOOKUP(AO283, ejec_control, 2, 0)+Tablas!$G$9*VLOOKUP(AP283, cub_control, 2, 0))*0.1*peso_ejec, "")</f>
        <v/>
      </c>
      <c r="AR283" s="91" t="str">
        <f t="shared" si="435"/>
        <v/>
      </c>
      <c r="AS283" s="85" t="str">
        <f t="shared" si="459"/>
        <v/>
      </c>
      <c r="AT283" s="85" t="str">
        <f t="shared" si="460"/>
        <v/>
      </c>
      <c r="AU283" s="85" t="str">
        <f>IF(AR283&lt;Tablas!$G$19, 0, IF(AND(AR283&gt;=Tablas!$G$19, AR283&lt;Tablas!$G$20), 1,  IF(AND(AR283&gt;=Tablas!$G$20, AR283&lt;Tablas!$G$21), 2,  IF(AND(AR283&gt;=Tablas!$G$21, AR283&lt;=Tablas!$G$22), 3,  ""))))</f>
        <v/>
      </c>
      <c r="AV283" s="85" t="str">
        <f t="shared" si="436"/>
        <v/>
      </c>
      <c r="AW283" s="101" t="str">
        <f t="shared" si="437"/>
        <v/>
      </c>
      <c r="AX283" s="177"/>
      <c r="AY283" s="169"/>
      <c r="AZ283" s="158"/>
      <c r="BA283" s="169"/>
      <c r="BB283" s="182"/>
      <c r="BC283" s="182"/>
      <c r="BD283" s="185"/>
      <c r="BE283" s="185"/>
      <c r="BF283" s="158" t="str">
        <f t="shared" si="480"/>
        <v/>
      </c>
      <c r="BG283" s="191"/>
    </row>
    <row r="284" spans="1:59" x14ac:dyDescent="0.25">
      <c r="A284" s="167"/>
      <c r="B284" s="195"/>
      <c r="C284" s="161"/>
      <c r="D284" s="160"/>
      <c r="E284" s="161"/>
      <c r="F284" s="164"/>
      <c r="G284" s="167"/>
      <c r="H284" s="167"/>
      <c r="I284" s="167"/>
      <c r="J284" s="167"/>
      <c r="K284" s="167"/>
      <c r="L284" s="166"/>
      <c r="M284" s="166"/>
      <c r="N284" s="166"/>
      <c r="O284" s="166"/>
      <c r="P284" s="166"/>
      <c r="Q284" s="166"/>
      <c r="R284" s="177"/>
      <c r="S284" s="167"/>
      <c r="T284" s="167"/>
      <c r="U284" s="167"/>
      <c r="V284" s="167"/>
      <c r="W284" s="167"/>
      <c r="X284" s="164"/>
      <c r="Y284" s="164"/>
      <c r="Z284" s="172"/>
      <c r="AA284" s="188"/>
      <c r="AB284" s="172"/>
      <c r="AC284" s="172"/>
      <c r="AD284" s="175"/>
      <c r="AE284" s="62" t="s">
        <v>115</v>
      </c>
      <c r="AF284" s="133"/>
      <c r="AG284" s="65"/>
      <c r="AH284" s="64"/>
      <c r="AI284" s="64"/>
      <c r="AJ284" s="64"/>
      <c r="AK284" s="64"/>
      <c r="AL284" s="64"/>
      <c r="AM284" s="80" t="str">
        <f>IFERROR((Tablas!$C$1*VLOOKUP(AH284, tipo_control, 2, 0)+Tablas!$E$1*VLOOKUP(AI284, nat_control, 2, 0)+Tablas!$G$1*VLOOKUP(AJ284, ev_control, 2, 0)+Tablas!$I$1*VLOOKUP(AK284, frec_control, 2, 0)+Tablas!$K$1*VLOOKUP(AL284, doc_control, 2, 0))*0.1*peso_dis, "")</f>
        <v/>
      </c>
      <c r="AN284" s="64"/>
      <c r="AO284" s="64"/>
      <c r="AP284" s="64"/>
      <c r="AQ284" s="80" t="str">
        <f>IFERROR((Tablas!$C$9*VLOOKUP(AN284, amb_control, 2, 0)+Tablas!$E$9*VLOOKUP(AO284, ejec_control, 2, 0)+Tablas!$G$9*VLOOKUP(AP284, cub_control, 2, 0))*0.1*peso_ejec, "")</f>
        <v/>
      </c>
      <c r="AR284" s="91" t="str">
        <f t="shared" si="435"/>
        <v/>
      </c>
      <c r="AS284" s="85" t="str">
        <f t="shared" si="459"/>
        <v/>
      </c>
      <c r="AT284" s="85" t="str">
        <f t="shared" si="460"/>
        <v/>
      </c>
      <c r="AU284" s="85" t="str">
        <f>IF(AR284&lt;Tablas!$G$19, 0, IF(AND(AR284&gt;=Tablas!$G$19, AR284&lt;Tablas!$G$20), 1,  IF(AND(AR284&gt;=Tablas!$G$20, AR284&lt;Tablas!$G$21), 2,  IF(AND(AR284&gt;=Tablas!$G$21, AR284&lt;=Tablas!$G$22), 3,  ""))))</f>
        <v/>
      </c>
      <c r="AV284" s="85" t="str">
        <f t="shared" si="436"/>
        <v/>
      </c>
      <c r="AW284" s="101" t="str">
        <f t="shared" si="437"/>
        <v/>
      </c>
      <c r="AX284" s="177"/>
      <c r="AY284" s="169"/>
      <c r="AZ284" s="158"/>
      <c r="BA284" s="169"/>
      <c r="BB284" s="182"/>
      <c r="BC284" s="182"/>
      <c r="BD284" s="185"/>
      <c r="BE284" s="185"/>
      <c r="BF284" s="158" t="str">
        <f t="shared" si="480"/>
        <v/>
      </c>
      <c r="BG284" s="191"/>
    </row>
    <row r="285" spans="1:59" x14ac:dyDescent="0.25">
      <c r="A285" s="167"/>
      <c r="B285" s="195"/>
      <c r="C285" s="161"/>
      <c r="D285" s="160"/>
      <c r="E285" s="161"/>
      <c r="F285" s="164"/>
      <c r="G285" s="167"/>
      <c r="H285" s="167"/>
      <c r="I285" s="167"/>
      <c r="J285" s="167"/>
      <c r="K285" s="167"/>
      <c r="L285" s="166"/>
      <c r="M285" s="166"/>
      <c r="N285" s="166"/>
      <c r="O285" s="166"/>
      <c r="P285" s="166"/>
      <c r="Q285" s="166"/>
      <c r="R285" s="177"/>
      <c r="S285" s="167"/>
      <c r="T285" s="167"/>
      <c r="U285" s="167"/>
      <c r="V285" s="167"/>
      <c r="W285" s="167"/>
      <c r="X285" s="164"/>
      <c r="Y285" s="164"/>
      <c r="Z285" s="172"/>
      <c r="AA285" s="188"/>
      <c r="AB285" s="172"/>
      <c r="AC285" s="172"/>
      <c r="AD285" s="175"/>
      <c r="AE285" s="62" t="s">
        <v>153</v>
      </c>
      <c r="AF285" s="133"/>
      <c r="AG285" s="65"/>
      <c r="AH285" s="64"/>
      <c r="AI285" s="64"/>
      <c r="AJ285" s="64"/>
      <c r="AK285" s="64"/>
      <c r="AL285" s="64"/>
      <c r="AM285" s="80" t="str">
        <f>IFERROR((Tablas!$C$1*VLOOKUP(AH285, tipo_control, 2, 0)+Tablas!$E$1*VLOOKUP(AI285, nat_control, 2, 0)+Tablas!$G$1*VLOOKUP(AJ285, ev_control, 2, 0)+Tablas!$I$1*VLOOKUP(AK285, frec_control, 2, 0)+Tablas!$K$1*VLOOKUP(AL285, doc_control, 2, 0))*0.1*peso_dis, "")</f>
        <v/>
      </c>
      <c r="AN285" s="64"/>
      <c r="AO285" s="64"/>
      <c r="AP285" s="64"/>
      <c r="AQ285" s="80" t="str">
        <f>IFERROR((Tablas!$C$9*VLOOKUP(AN285, amb_control, 2, 0)+Tablas!$E$9*VLOOKUP(AO285, ejec_control, 2, 0)+Tablas!$G$9*VLOOKUP(AP285, cub_control, 2, 0))*0.1*peso_ejec, "")</f>
        <v/>
      </c>
      <c r="AR285" s="91" t="str">
        <f t="shared" si="435"/>
        <v/>
      </c>
      <c r="AS285" s="85" t="str">
        <f t="shared" si="459"/>
        <v/>
      </c>
      <c r="AT285" s="85" t="str">
        <f t="shared" si="460"/>
        <v/>
      </c>
      <c r="AU285" s="85" t="str">
        <f>IF(AR285&lt;Tablas!$G$19, 0, IF(AND(AR285&gt;=Tablas!$G$19, AR285&lt;Tablas!$G$20), 1,  IF(AND(AR285&gt;=Tablas!$G$20, AR285&lt;Tablas!$G$21), 2,  IF(AND(AR285&gt;=Tablas!$G$21, AR285&lt;=Tablas!$G$22), 3,  ""))))</f>
        <v/>
      </c>
      <c r="AV285" s="85" t="str">
        <f t="shared" si="436"/>
        <v/>
      </c>
      <c r="AW285" s="101" t="str">
        <f t="shared" si="437"/>
        <v/>
      </c>
      <c r="AX285" s="177"/>
      <c r="AY285" s="169"/>
      <c r="AZ285" s="158"/>
      <c r="BA285" s="169"/>
      <c r="BB285" s="182"/>
      <c r="BC285" s="182"/>
      <c r="BD285" s="185"/>
      <c r="BE285" s="185"/>
      <c r="BF285" s="158"/>
      <c r="BG285" s="191"/>
    </row>
    <row r="286" spans="1:59" ht="15.75" thickBot="1" x14ac:dyDescent="0.3">
      <c r="A286" s="167"/>
      <c r="B286" s="195"/>
      <c r="C286" s="161"/>
      <c r="D286" s="160"/>
      <c r="E286" s="161"/>
      <c r="F286" s="165"/>
      <c r="G286" s="149"/>
      <c r="H286" s="149"/>
      <c r="I286" s="149"/>
      <c r="J286" s="149"/>
      <c r="K286" s="149"/>
      <c r="L286" s="166"/>
      <c r="M286" s="166"/>
      <c r="N286" s="166"/>
      <c r="O286" s="166"/>
      <c r="P286" s="166"/>
      <c r="Q286" s="166"/>
      <c r="R286" s="177"/>
      <c r="S286" s="149"/>
      <c r="T286" s="149"/>
      <c r="U286" s="149"/>
      <c r="V286" s="149"/>
      <c r="W286" s="149"/>
      <c r="X286" s="165"/>
      <c r="Y286" s="165"/>
      <c r="Z286" s="172"/>
      <c r="AA286" s="188"/>
      <c r="AB286" s="172"/>
      <c r="AC286" s="172"/>
      <c r="AD286" s="175"/>
      <c r="AE286" s="66" t="s">
        <v>154</v>
      </c>
      <c r="AF286" s="134"/>
      <c r="AG286" s="67"/>
      <c r="AH286" s="69"/>
      <c r="AI286" s="69"/>
      <c r="AJ286" s="69"/>
      <c r="AK286" s="69"/>
      <c r="AL286" s="69"/>
      <c r="AM286" s="81" t="str">
        <f>IFERROR((Tablas!$C$1*VLOOKUP(AH286, tipo_control, 2, 0)+Tablas!$E$1*VLOOKUP(AI286, nat_control, 2, 0)+Tablas!$G$1*VLOOKUP(AJ286, ev_control, 2, 0)+Tablas!$I$1*VLOOKUP(AK286, frec_control, 2, 0)+Tablas!$K$1*VLOOKUP(AL286, doc_control, 2, 0))*0.1*peso_dis, "")</f>
        <v/>
      </c>
      <c r="AN286" s="69"/>
      <c r="AO286" s="69"/>
      <c r="AP286" s="69"/>
      <c r="AQ286" s="81" t="str">
        <f>IFERROR((Tablas!$C$9*VLOOKUP(AN286, amb_control, 2, 0)+Tablas!$E$9*VLOOKUP(AO286, ejec_control, 2, 0)+Tablas!$G$9*VLOOKUP(AP286, cub_control, 2, 0))*0.1*peso_ejec, "")</f>
        <v/>
      </c>
      <c r="AR286" s="93" t="str">
        <f t="shared" si="435"/>
        <v/>
      </c>
      <c r="AS286" s="94" t="str">
        <f t="shared" si="459"/>
        <v/>
      </c>
      <c r="AT286" s="94" t="str">
        <f t="shared" si="460"/>
        <v/>
      </c>
      <c r="AU286" s="94" t="str">
        <f>IF(AR286&lt;Tablas!$G$19, 0, IF(AND(AR286&gt;=Tablas!$G$19, AR286&lt;Tablas!$G$20), 1,  IF(AND(AR286&gt;=Tablas!$G$20, AR286&lt;Tablas!$G$21), 2,  IF(AND(AR286&gt;=Tablas!$G$21, AR286&lt;=Tablas!$G$22), 3,  ""))))</f>
        <v/>
      </c>
      <c r="AV286" s="94" t="str">
        <f t="shared" si="436"/>
        <v/>
      </c>
      <c r="AW286" s="102" t="str">
        <f t="shared" si="437"/>
        <v/>
      </c>
      <c r="AX286" s="157"/>
      <c r="AY286" s="170"/>
      <c r="AZ286" s="179"/>
      <c r="BA286" s="170"/>
      <c r="BB286" s="182"/>
      <c r="BC286" s="182"/>
      <c r="BD286" s="185"/>
      <c r="BE286" s="185"/>
      <c r="BF286" s="159"/>
      <c r="BG286" s="191"/>
    </row>
    <row r="287" spans="1:59" x14ac:dyDescent="0.25">
      <c r="A287" s="167"/>
      <c r="B287" s="195"/>
      <c r="C287" s="161" t="s">
        <v>180</v>
      </c>
      <c r="D287" s="160"/>
      <c r="E287" s="149"/>
      <c r="F287" s="163" t="str">
        <f t="shared" si="443"/>
        <v/>
      </c>
      <c r="G287" s="148"/>
      <c r="H287" s="148"/>
      <c r="I287" s="148"/>
      <c r="J287" s="148"/>
      <c r="K287" s="148"/>
      <c r="L287" s="165" t="str">
        <f t="shared" ref="L287" si="481">IFERROR(VLOOKUP(G287, tabla02, 2, 0), "")</f>
        <v/>
      </c>
      <c r="M287" s="165" t="str">
        <f t="shared" ref="M287" si="482">IFERROR(VLOOKUP(H287, tabla02, 2, 0), "")</f>
        <v/>
      </c>
      <c r="N287" s="165" t="str">
        <f t="shared" ref="N287" si="483">IFERROR(VLOOKUP(I287, tabla02, 2, 0), "")</f>
        <v/>
      </c>
      <c r="O287" s="165" t="str">
        <f t="shared" ref="O287" si="484">IFERROR(VLOOKUP(J287, tabla02, 2, 0), "")</f>
        <v/>
      </c>
      <c r="P287" s="165" t="str">
        <f t="shared" ref="P287" si="485">IFERROR(VLOOKUP(K287, tabla02, 2, 0), "")</f>
        <v/>
      </c>
      <c r="Q287" s="165" t="str">
        <f t="shared" ref="Q287" si="486">IF(SUM(L287:P287)=0, "", MAX(L287:P287))</f>
        <v/>
      </c>
      <c r="R287" s="159" t="str">
        <f>IFERROR(VLOOKUP(Q287, tabla04, 3, 0), "")</f>
        <v/>
      </c>
      <c r="S287" s="148"/>
      <c r="T287" s="148"/>
      <c r="U287" s="148"/>
      <c r="V287" s="148"/>
      <c r="W287" s="148"/>
      <c r="X287" s="163" t="str">
        <f>IFERROR(VLOOKUP(CONCATENATE(F287, "-", Q287), cuadrante_sev, 3, 0), "")</f>
        <v/>
      </c>
      <c r="Y287" s="163" t="str">
        <f t="shared" ref="Y287" si="487">IFERROR(IF(X287="Baja", 1, IF(X287="Moderada", 2, IF(X287="Alta", 3, IF(X287="Extrema", 4, "")))), "")</f>
        <v/>
      </c>
      <c r="Z287" s="172"/>
      <c r="AA287" s="188"/>
      <c r="AB287" s="172"/>
      <c r="AC287" s="172"/>
      <c r="AD287" s="175"/>
      <c r="AE287" s="70" t="s">
        <v>113</v>
      </c>
      <c r="AF287" s="135"/>
      <c r="AG287" s="74"/>
      <c r="AH287" s="72"/>
      <c r="AI287" s="72"/>
      <c r="AJ287" s="72"/>
      <c r="AK287" s="72"/>
      <c r="AL287" s="72"/>
      <c r="AM287" s="82" t="str">
        <f>IFERROR((Tablas!$C$1*VLOOKUP(AH287, tipo_control, 2, 0)+Tablas!$E$1*VLOOKUP(AI287, nat_control, 2, 0)+Tablas!$G$1*VLOOKUP(AJ287, ev_control, 2, 0)+Tablas!$I$1*VLOOKUP(AK287, frec_control, 2, 0)+Tablas!$K$1*VLOOKUP(AL287, doc_control, 2, 0))*0.1*peso_dis, "")</f>
        <v/>
      </c>
      <c r="AN287" s="72"/>
      <c r="AO287" s="72"/>
      <c r="AP287" s="72"/>
      <c r="AQ287" s="82" t="str">
        <f>IFERROR((Tablas!$C$9*VLOOKUP(AN287, amb_control, 2, 0)+Tablas!$E$9*VLOOKUP(AO287, ejec_control, 2, 0)+Tablas!$G$9*VLOOKUP(AP287, cub_control, 2, 0))*0.1*peso_ejec, "")</f>
        <v/>
      </c>
      <c r="AR287" s="96" t="str">
        <f t="shared" si="435"/>
        <v/>
      </c>
      <c r="AS287" s="97" t="str">
        <f t="shared" si="459"/>
        <v/>
      </c>
      <c r="AT287" s="87" t="str">
        <f t="shared" si="460"/>
        <v/>
      </c>
      <c r="AU287" s="97" t="str">
        <f>IF(AR287&lt;Tablas!$G$19, 0, IF(AND(AR287&gt;=Tablas!$G$19, AR287&lt;Tablas!$G$20), 1,  IF(AND(AR287&gt;=Tablas!$G$20, AR287&lt;Tablas!$G$21), 2,  IF(AND(AR287&gt;=Tablas!$G$21, AR287&lt;=Tablas!$G$22), 3,  ""))))</f>
        <v/>
      </c>
      <c r="AV287" s="97" t="str">
        <f t="shared" si="436"/>
        <v/>
      </c>
      <c r="AW287" s="103" t="str">
        <f t="shared" si="437"/>
        <v/>
      </c>
      <c r="AX287" s="176" t="str">
        <f t="shared" ref="AX287" si="488">IFERROR(VLOOKUP(AY287, tabla04, 2, 0), "")</f>
        <v/>
      </c>
      <c r="AY287" s="168" t="str">
        <f>IF(F287="", "", IF((F287-MAX(AV287:AV291))&lt;=0, 1, F287-MAX(AV287:AV291)))</f>
        <v/>
      </c>
      <c r="AZ287" s="178" t="str">
        <f t="shared" ref="AZ287" si="489">IFERROR(VLOOKUP(BA287, tabla04, 3, 0), "")</f>
        <v/>
      </c>
      <c r="BA287" s="168" t="str">
        <f>IF(Q287="", "", IF((Q287-MAX(AW287:AW291))&lt;=0, 1, Q287-MAX(AW287:AW291)))</f>
        <v/>
      </c>
      <c r="BB287" s="182"/>
      <c r="BC287" s="182"/>
      <c r="BD287" s="185"/>
      <c r="BE287" s="185"/>
      <c r="BF287" s="158" t="str">
        <f t="shared" ref="BF287:BF289" si="490">IFERROR(VLOOKUP(CONCATENATE(AY287, "-", BA287), cuadrante_sev, 3, 0), "")</f>
        <v/>
      </c>
      <c r="BG287" s="191"/>
    </row>
    <row r="288" spans="1:59" x14ac:dyDescent="0.25">
      <c r="A288" s="167"/>
      <c r="B288" s="195"/>
      <c r="C288" s="161"/>
      <c r="D288" s="160"/>
      <c r="E288" s="161"/>
      <c r="F288" s="164"/>
      <c r="G288" s="167"/>
      <c r="H288" s="167"/>
      <c r="I288" s="167"/>
      <c r="J288" s="167"/>
      <c r="K288" s="167"/>
      <c r="L288" s="166"/>
      <c r="M288" s="166"/>
      <c r="N288" s="166"/>
      <c r="O288" s="166"/>
      <c r="P288" s="166"/>
      <c r="Q288" s="166"/>
      <c r="R288" s="177"/>
      <c r="S288" s="167"/>
      <c r="T288" s="167"/>
      <c r="U288" s="167"/>
      <c r="V288" s="167"/>
      <c r="W288" s="167"/>
      <c r="X288" s="164"/>
      <c r="Y288" s="164"/>
      <c r="Z288" s="172"/>
      <c r="AA288" s="188"/>
      <c r="AB288" s="172"/>
      <c r="AC288" s="172"/>
      <c r="AD288" s="175"/>
      <c r="AE288" s="62" t="s">
        <v>114</v>
      </c>
      <c r="AF288" s="133"/>
      <c r="AG288" s="65"/>
      <c r="AH288" s="64"/>
      <c r="AI288" s="64"/>
      <c r="AJ288" s="64"/>
      <c r="AK288" s="64"/>
      <c r="AL288" s="64"/>
      <c r="AM288" s="80" t="str">
        <f>IFERROR((Tablas!$C$1*VLOOKUP(AH288, tipo_control, 2, 0)+Tablas!$E$1*VLOOKUP(AI288, nat_control, 2, 0)+Tablas!$G$1*VLOOKUP(AJ288, ev_control, 2, 0)+Tablas!$I$1*VLOOKUP(AK288, frec_control, 2, 0)+Tablas!$K$1*VLOOKUP(AL288, doc_control, 2, 0))*0.1*peso_dis, "")</f>
        <v/>
      </c>
      <c r="AN288" s="64"/>
      <c r="AO288" s="64"/>
      <c r="AP288" s="64"/>
      <c r="AQ288" s="80" t="str">
        <f>IFERROR((Tablas!$C$9*VLOOKUP(AN288, amb_control, 2, 0)+Tablas!$E$9*VLOOKUP(AO288, ejec_control, 2, 0)+Tablas!$G$9*VLOOKUP(AP288, cub_control, 2, 0))*0.1*peso_ejec, "")</f>
        <v/>
      </c>
      <c r="AR288" s="91" t="str">
        <f t="shared" si="435"/>
        <v/>
      </c>
      <c r="AS288" s="85" t="str">
        <f t="shared" si="459"/>
        <v/>
      </c>
      <c r="AT288" s="85" t="str">
        <f t="shared" si="460"/>
        <v/>
      </c>
      <c r="AU288" s="85" t="str">
        <f>IF(AR288&lt;Tablas!$G$19, 0, IF(AND(AR288&gt;=Tablas!$G$19, AR288&lt;Tablas!$G$20), 1,  IF(AND(AR288&gt;=Tablas!$G$20, AR288&lt;Tablas!$G$21), 2,  IF(AND(AR288&gt;=Tablas!$G$21, AR288&lt;=Tablas!$G$22), 3,  ""))))</f>
        <v/>
      </c>
      <c r="AV288" s="85" t="str">
        <f t="shared" si="436"/>
        <v/>
      </c>
      <c r="AW288" s="101" t="str">
        <f t="shared" si="437"/>
        <v/>
      </c>
      <c r="AX288" s="177"/>
      <c r="AY288" s="169"/>
      <c r="AZ288" s="158"/>
      <c r="BA288" s="169"/>
      <c r="BB288" s="182"/>
      <c r="BC288" s="182"/>
      <c r="BD288" s="185"/>
      <c r="BE288" s="185"/>
      <c r="BF288" s="158" t="str">
        <f t="shared" si="490"/>
        <v/>
      </c>
      <c r="BG288" s="191"/>
    </row>
    <row r="289" spans="1:59" x14ac:dyDescent="0.25">
      <c r="A289" s="167"/>
      <c r="B289" s="195"/>
      <c r="C289" s="161"/>
      <c r="D289" s="160"/>
      <c r="E289" s="161"/>
      <c r="F289" s="164"/>
      <c r="G289" s="167"/>
      <c r="H289" s="167"/>
      <c r="I289" s="167"/>
      <c r="J289" s="167"/>
      <c r="K289" s="167"/>
      <c r="L289" s="166"/>
      <c r="M289" s="166"/>
      <c r="N289" s="166"/>
      <c r="O289" s="166"/>
      <c r="P289" s="166"/>
      <c r="Q289" s="166"/>
      <c r="R289" s="177"/>
      <c r="S289" s="167"/>
      <c r="T289" s="167"/>
      <c r="U289" s="167"/>
      <c r="V289" s="167"/>
      <c r="W289" s="167"/>
      <c r="X289" s="164"/>
      <c r="Y289" s="164"/>
      <c r="Z289" s="172"/>
      <c r="AA289" s="188"/>
      <c r="AB289" s="172"/>
      <c r="AC289" s="172"/>
      <c r="AD289" s="175"/>
      <c r="AE289" s="62" t="s">
        <v>115</v>
      </c>
      <c r="AF289" s="133"/>
      <c r="AG289" s="65"/>
      <c r="AH289" s="64"/>
      <c r="AI289" s="64"/>
      <c r="AJ289" s="64"/>
      <c r="AK289" s="64"/>
      <c r="AL289" s="64"/>
      <c r="AM289" s="80" t="str">
        <f>IFERROR((Tablas!$C$1*VLOOKUP(AH289, tipo_control, 2, 0)+Tablas!$E$1*VLOOKUP(AI289, nat_control, 2, 0)+Tablas!$G$1*VLOOKUP(AJ289, ev_control, 2, 0)+Tablas!$I$1*VLOOKUP(AK289, frec_control, 2, 0)+Tablas!$K$1*VLOOKUP(AL289, doc_control, 2, 0))*0.1*peso_dis, "")</f>
        <v/>
      </c>
      <c r="AN289" s="64"/>
      <c r="AO289" s="64"/>
      <c r="AP289" s="64"/>
      <c r="AQ289" s="80" t="str">
        <f>IFERROR((Tablas!$C$9*VLOOKUP(AN289, amb_control, 2, 0)+Tablas!$E$9*VLOOKUP(AO289, ejec_control, 2, 0)+Tablas!$G$9*VLOOKUP(AP289, cub_control, 2, 0))*0.1*peso_ejec, "")</f>
        <v/>
      </c>
      <c r="AR289" s="91" t="str">
        <f t="shared" si="435"/>
        <v/>
      </c>
      <c r="AS289" s="85" t="str">
        <f t="shared" si="459"/>
        <v/>
      </c>
      <c r="AT289" s="85" t="str">
        <f t="shared" si="460"/>
        <v/>
      </c>
      <c r="AU289" s="85" t="str">
        <f>IF(AR289&lt;Tablas!$G$19, 0, IF(AND(AR289&gt;=Tablas!$G$19, AR289&lt;Tablas!$G$20), 1,  IF(AND(AR289&gt;=Tablas!$G$20, AR289&lt;Tablas!$G$21), 2,  IF(AND(AR289&gt;=Tablas!$G$21, AR289&lt;=Tablas!$G$22), 3,  ""))))</f>
        <v/>
      </c>
      <c r="AV289" s="85" t="str">
        <f t="shared" si="436"/>
        <v/>
      </c>
      <c r="AW289" s="101" t="str">
        <f t="shared" si="437"/>
        <v/>
      </c>
      <c r="AX289" s="177"/>
      <c r="AY289" s="169"/>
      <c r="AZ289" s="158"/>
      <c r="BA289" s="169"/>
      <c r="BB289" s="182"/>
      <c r="BC289" s="182"/>
      <c r="BD289" s="185"/>
      <c r="BE289" s="185"/>
      <c r="BF289" s="158" t="str">
        <f t="shared" si="490"/>
        <v/>
      </c>
      <c r="BG289" s="191"/>
    </row>
    <row r="290" spans="1:59" x14ac:dyDescent="0.25">
      <c r="A290" s="167"/>
      <c r="B290" s="195"/>
      <c r="C290" s="161"/>
      <c r="D290" s="160"/>
      <c r="E290" s="161"/>
      <c r="F290" s="164"/>
      <c r="G290" s="167"/>
      <c r="H290" s="167"/>
      <c r="I290" s="167"/>
      <c r="J290" s="167"/>
      <c r="K290" s="167"/>
      <c r="L290" s="166"/>
      <c r="M290" s="166"/>
      <c r="N290" s="166"/>
      <c r="O290" s="166"/>
      <c r="P290" s="166"/>
      <c r="Q290" s="166"/>
      <c r="R290" s="177"/>
      <c r="S290" s="167"/>
      <c r="T290" s="167"/>
      <c r="U290" s="167"/>
      <c r="V290" s="167"/>
      <c r="W290" s="167"/>
      <c r="X290" s="164"/>
      <c r="Y290" s="164"/>
      <c r="Z290" s="172"/>
      <c r="AA290" s="188"/>
      <c r="AB290" s="172"/>
      <c r="AC290" s="172"/>
      <c r="AD290" s="175"/>
      <c r="AE290" s="62" t="s">
        <v>153</v>
      </c>
      <c r="AF290" s="133"/>
      <c r="AG290" s="65"/>
      <c r="AH290" s="64"/>
      <c r="AI290" s="64"/>
      <c r="AJ290" s="64"/>
      <c r="AK290" s="64"/>
      <c r="AL290" s="64"/>
      <c r="AM290" s="80" t="str">
        <f>IFERROR((Tablas!$C$1*VLOOKUP(AH290, tipo_control, 2, 0)+Tablas!$E$1*VLOOKUP(AI290, nat_control, 2, 0)+Tablas!$G$1*VLOOKUP(AJ290, ev_control, 2, 0)+Tablas!$I$1*VLOOKUP(AK290, frec_control, 2, 0)+Tablas!$K$1*VLOOKUP(AL290, doc_control, 2, 0))*0.1*peso_dis, "")</f>
        <v/>
      </c>
      <c r="AN290" s="64"/>
      <c r="AO290" s="64"/>
      <c r="AP290" s="64"/>
      <c r="AQ290" s="80" t="str">
        <f>IFERROR((Tablas!$C$9*VLOOKUP(AN290, amb_control, 2, 0)+Tablas!$E$9*VLOOKUP(AO290, ejec_control, 2, 0)+Tablas!$G$9*VLOOKUP(AP290, cub_control, 2, 0))*0.1*peso_ejec, "")</f>
        <v/>
      </c>
      <c r="AR290" s="91" t="str">
        <f t="shared" si="435"/>
        <v/>
      </c>
      <c r="AS290" s="85" t="str">
        <f t="shared" si="459"/>
        <v/>
      </c>
      <c r="AT290" s="85" t="str">
        <f t="shared" si="460"/>
        <v/>
      </c>
      <c r="AU290" s="85" t="str">
        <f>IF(AR290&lt;Tablas!$G$19, 0, IF(AND(AR290&gt;=Tablas!$G$19, AR290&lt;Tablas!$G$20), 1,  IF(AND(AR290&gt;=Tablas!$G$20, AR290&lt;Tablas!$G$21), 2,  IF(AND(AR290&gt;=Tablas!$G$21, AR290&lt;=Tablas!$G$22), 3,  ""))))</f>
        <v/>
      </c>
      <c r="AV290" s="85" t="str">
        <f t="shared" si="436"/>
        <v/>
      </c>
      <c r="AW290" s="101" t="str">
        <f t="shared" si="437"/>
        <v/>
      </c>
      <c r="AX290" s="177"/>
      <c r="AY290" s="169"/>
      <c r="AZ290" s="158"/>
      <c r="BA290" s="169"/>
      <c r="BB290" s="182"/>
      <c r="BC290" s="182"/>
      <c r="BD290" s="185"/>
      <c r="BE290" s="185"/>
      <c r="BF290" s="158"/>
      <c r="BG290" s="191"/>
    </row>
    <row r="291" spans="1:59" ht="15.75" thickBot="1" x14ac:dyDescent="0.3">
      <c r="A291" s="167"/>
      <c r="B291" s="195"/>
      <c r="C291" s="161"/>
      <c r="D291" s="160"/>
      <c r="E291" s="161"/>
      <c r="F291" s="165"/>
      <c r="G291" s="149"/>
      <c r="H291" s="149"/>
      <c r="I291" s="149"/>
      <c r="J291" s="149"/>
      <c r="K291" s="149"/>
      <c r="L291" s="166"/>
      <c r="M291" s="166"/>
      <c r="N291" s="166"/>
      <c r="O291" s="166"/>
      <c r="P291" s="166"/>
      <c r="Q291" s="166"/>
      <c r="R291" s="177"/>
      <c r="S291" s="149"/>
      <c r="T291" s="149"/>
      <c r="U291" s="149"/>
      <c r="V291" s="149"/>
      <c r="W291" s="149"/>
      <c r="X291" s="165"/>
      <c r="Y291" s="165"/>
      <c r="Z291" s="172"/>
      <c r="AA291" s="188"/>
      <c r="AB291" s="172"/>
      <c r="AC291" s="172"/>
      <c r="AD291" s="175"/>
      <c r="AE291" s="66" t="s">
        <v>154</v>
      </c>
      <c r="AF291" s="134"/>
      <c r="AG291" s="67"/>
      <c r="AH291" s="69"/>
      <c r="AI291" s="69"/>
      <c r="AJ291" s="69"/>
      <c r="AK291" s="69"/>
      <c r="AL291" s="69"/>
      <c r="AM291" s="81" t="str">
        <f>IFERROR((Tablas!$C$1*VLOOKUP(AH291, tipo_control, 2, 0)+Tablas!$E$1*VLOOKUP(AI291, nat_control, 2, 0)+Tablas!$G$1*VLOOKUP(AJ291, ev_control, 2, 0)+Tablas!$I$1*VLOOKUP(AK291, frec_control, 2, 0)+Tablas!$K$1*VLOOKUP(AL291, doc_control, 2, 0))*0.1*peso_dis, "")</f>
        <v/>
      </c>
      <c r="AN291" s="69"/>
      <c r="AO291" s="69"/>
      <c r="AP291" s="69"/>
      <c r="AQ291" s="81" t="str">
        <f>IFERROR((Tablas!$C$9*VLOOKUP(AN291, amb_control, 2, 0)+Tablas!$E$9*VLOOKUP(AO291, ejec_control, 2, 0)+Tablas!$G$9*VLOOKUP(AP291, cub_control, 2, 0))*0.1*peso_ejec, "")</f>
        <v/>
      </c>
      <c r="AR291" s="93" t="str">
        <f t="shared" si="435"/>
        <v/>
      </c>
      <c r="AS291" s="94" t="str">
        <f t="shared" si="459"/>
        <v/>
      </c>
      <c r="AT291" s="94" t="str">
        <f t="shared" si="460"/>
        <v/>
      </c>
      <c r="AU291" s="94" t="str">
        <f>IF(AR291&lt;Tablas!$G$19, 0, IF(AND(AR291&gt;=Tablas!$G$19, AR291&lt;Tablas!$G$20), 1,  IF(AND(AR291&gt;=Tablas!$G$20, AR291&lt;Tablas!$G$21), 2,  IF(AND(AR291&gt;=Tablas!$G$21, AR291&lt;=Tablas!$G$22), 3,  ""))))</f>
        <v/>
      </c>
      <c r="AV291" s="94" t="str">
        <f t="shared" si="436"/>
        <v/>
      </c>
      <c r="AW291" s="102" t="str">
        <f t="shared" si="437"/>
        <v/>
      </c>
      <c r="AX291" s="157"/>
      <c r="AY291" s="170"/>
      <c r="AZ291" s="179"/>
      <c r="BA291" s="170"/>
      <c r="BB291" s="182"/>
      <c r="BC291" s="182"/>
      <c r="BD291" s="185"/>
      <c r="BE291" s="185"/>
      <c r="BF291" s="159"/>
      <c r="BG291" s="191"/>
    </row>
    <row r="292" spans="1:59" x14ac:dyDescent="0.25">
      <c r="A292" s="167"/>
      <c r="B292" s="195"/>
      <c r="C292" s="161" t="s">
        <v>181</v>
      </c>
      <c r="D292" s="160"/>
      <c r="E292" s="149"/>
      <c r="F292" s="163" t="str">
        <f t="shared" si="443"/>
        <v/>
      </c>
      <c r="G292" s="148"/>
      <c r="H292" s="148"/>
      <c r="I292" s="148"/>
      <c r="J292" s="148"/>
      <c r="K292" s="148"/>
      <c r="L292" s="165" t="str">
        <f t="shared" ref="L292" si="491">IFERROR(VLOOKUP(G292, tabla02, 2, 0), "")</f>
        <v/>
      </c>
      <c r="M292" s="165" t="str">
        <f t="shared" ref="M292" si="492">IFERROR(VLOOKUP(H292, tabla02, 2, 0), "")</f>
        <v/>
      </c>
      <c r="N292" s="165" t="str">
        <f t="shared" ref="N292" si="493">IFERROR(VLOOKUP(I292, tabla02, 2, 0), "")</f>
        <v/>
      </c>
      <c r="O292" s="165" t="str">
        <f t="shared" ref="O292" si="494">IFERROR(VLOOKUP(J292, tabla02, 2, 0), "")</f>
        <v/>
      </c>
      <c r="P292" s="165" t="str">
        <f t="shared" ref="P292" si="495">IFERROR(VLOOKUP(K292, tabla02, 2, 0), "")</f>
        <v/>
      </c>
      <c r="Q292" s="165" t="str">
        <f t="shared" ref="Q292" si="496">IF(SUM(L292:P292)=0, "", MAX(L292:P292))</f>
        <v/>
      </c>
      <c r="R292" s="159" t="str">
        <f>IFERROR(VLOOKUP(Q292, tabla04, 3, 0), "")</f>
        <v/>
      </c>
      <c r="S292" s="148"/>
      <c r="T292" s="148"/>
      <c r="U292" s="148"/>
      <c r="V292" s="148"/>
      <c r="W292" s="148"/>
      <c r="X292" s="163" t="str">
        <f>IFERROR(VLOOKUP(CONCATENATE(F292, "-", Q292), cuadrante_sev, 3, 0), "")</f>
        <v/>
      </c>
      <c r="Y292" s="163" t="str">
        <f t="shared" ref="Y292" si="497">IFERROR(IF(X292="Baja", 1, IF(X292="Moderada", 2, IF(X292="Alta", 3, IF(X292="Extrema", 4, "")))), "")</f>
        <v/>
      </c>
      <c r="Z292" s="172"/>
      <c r="AA292" s="188"/>
      <c r="AB292" s="172"/>
      <c r="AC292" s="172"/>
      <c r="AD292" s="175"/>
      <c r="AE292" s="70" t="s">
        <v>113</v>
      </c>
      <c r="AF292" s="135"/>
      <c r="AG292" s="74"/>
      <c r="AH292" s="72"/>
      <c r="AI292" s="72"/>
      <c r="AJ292" s="72"/>
      <c r="AK292" s="72"/>
      <c r="AL292" s="72"/>
      <c r="AM292" s="82" t="str">
        <f>IFERROR((Tablas!$C$1*VLOOKUP(AH292, tipo_control, 2, 0)+Tablas!$E$1*VLOOKUP(AI292, nat_control, 2, 0)+Tablas!$G$1*VLOOKUP(AJ292, ev_control, 2, 0)+Tablas!$I$1*VLOOKUP(AK292, frec_control, 2, 0)+Tablas!$K$1*VLOOKUP(AL292, doc_control, 2, 0))*0.1*peso_dis, "")</f>
        <v/>
      </c>
      <c r="AN292" s="72"/>
      <c r="AO292" s="72"/>
      <c r="AP292" s="72"/>
      <c r="AQ292" s="82" t="str">
        <f>IFERROR((Tablas!$C$9*VLOOKUP(AN292, amb_control, 2, 0)+Tablas!$E$9*VLOOKUP(AO292, ejec_control, 2, 0)+Tablas!$G$9*VLOOKUP(AP292, cub_control, 2, 0))*0.1*peso_ejec, "")</f>
        <v/>
      </c>
      <c r="AR292" s="96" t="str">
        <f t="shared" si="435"/>
        <v/>
      </c>
      <c r="AS292" s="97" t="str">
        <f t="shared" si="459"/>
        <v/>
      </c>
      <c r="AT292" s="87" t="str">
        <f t="shared" si="460"/>
        <v/>
      </c>
      <c r="AU292" s="97" t="str">
        <f>IF(AR292&lt;Tablas!$G$19, 0, IF(AND(AR292&gt;=Tablas!$G$19, AR292&lt;Tablas!$G$20), 1,  IF(AND(AR292&gt;=Tablas!$G$20, AR292&lt;Tablas!$G$21), 2,  IF(AND(AR292&gt;=Tablas!$G$21, AR292&lt;=Tablas!$G$22), 3,  ""))))</f>
        <v/>
      </c>
      <c r="AV292" s="97" t="str">
        <f t="shared" si="436"/>
        <v/>
      </c>
      <c r="AW292" s="103" t="str">
        <f t="shared" si="437"/>
        <v/>
      </c>
      <c r="AX292" s="176" t="str">
        <f t="shared" ref="AX292" si="498">IFERROR(VLOOKUP(AY292, tabla04, 2, 0), "")</f>
        <v/>
      </c>
      <c r="AY292" s="168" t="str">
        <f>IF(F292="", "", IF((F292-MAX(AV292:AV296))&lt;=0, 1, F292-MAX(AV292:AV296)))</f>
        <v/>
      </c>
      <c r="AZ292" s="178" t="str">
        <f t="shared" ref="AZ292" si="499">IFERROR(VLOOKUP(BA292, tabla04, 3, 0), "")</f>
        <v/>
      </c>
      <c r="BA292" s="168" t="str">
        <f>IF(Q292="", "", IF((Q292-MAX(AW292:AW296))&lt;=0, 1, Q292-MAX(AW292:AW296)))</f>
        <v/>
      </c>
      <c r="BB292" s="182"/>
      <c r="BC292" s="182"/>
      <c r="BD292" s="185"/>
      <c r="BE292" s="185"/>
      <c r="BF292" s="158" t="str">
        <f t="shared" ref="BF292:BF294" si="500">IFERROR(VLOOKUP(CONCATENATE(AY292, "-", BA292), cuadrante_sev, 3, 0), "")</f>
        <v/>
      </c>
      <c r="BG292" s="191"/>
    </row>
    <row r="293" spans="1:59" x14ac:dyDescent="0.25">
      <c r="A293" s="167"/>
      <c r="B293" s="195"/>
      <c r="C293" s="161"/>
      <c r="D293" s="160"/>
      <c r="E293" s="161"/>
      <c r="F293" s="164"/>
      <c r="G293" s="167"/>
      <c r="H293" s="167"/>
      <c r="I293" s="167"/>
      <c r="J293" s="167"/>
      <c r="K293" s="167"/>
      <c r="L293" s="166"/>
      <c r="M293" s="166"/>
      <c r="N293" s="166"/>
      <c r="O293" s="166"/>
      <c r="P293" s="166"/>
      <c r="Q293" s="166"/>
      <c r="R293" s="177"/>
      <c r="S293" s="167"/>
      <c r="T293" s="167"/>
      <c r="U293" s="167"/>
      <c r="V293" s="167"/>
      <c r="W293" s="167"/>
      <c r="X293" s="164"/>
      <c r="Y293" s="164"/>
      <c r="Z293" s="172"/>
      <c r="AA293" s="188"/>
      <c r="AB293" s="172"/>
      <c r="AC293" s="172"/>
      <c r="AD293" s="175"/>
      <c r="AE293" s="62" t="s">
        <v>114</v>
      </c>
      <c r="AF293" s="133"/>
      <c r="AG293" s="65"/>
      <c r="AH293" s="64"/>
      <c r="AI293" s="64"/>
      <c r="AJ293" s="64"/>
      <c r="AK293" s="64"/>
      <c r="AL293" s="64"/>
      <c r="AM293" s="80" t="str">
        <f>IFERROR((Tablas!$C$1*VLOOKUP(AH293, tipo_control, 2, 0)+Tablas!$E$1*VLOOKUP(AI293, nat_control, 2, 0)+Tablas!$G$1*VLOOKUP(AJ293, ev_control, 2, 0)+Tablas!$I$1*VLOOKUP(AK293, frec_control, 2, 0)+Tablas!$K$1*VLOOKUP(AL293, doc_control, 2, 0))*0.1*peso_dis, "")</f>
        <v/>
      </c>
      <c r="AN293" s="64"/>
      <c r="AO293" s="64"/>
      <c r="AP293" s="64"/>
      <c r="AQ293" s="80" t="str">
        <f>IFERROR((Tablas!$C$9*VLOOKUP(AN293, amb_control, 2, 0)+Tablas!$E$9*VLOOKUP(AO293, ejec_control, 2, 0)+Tablas!$G$9*VLOOKUP(AP293, cub_control, 2, 0))*0.1*peso_ejec, "")</f>
        <v/>
      </c>
      <c r="AR293" s="91" t="str">
        <f t="shared" si="435"/>
        <v/>
      </c>
      <c r="AS293" s="85" t="str">
        <f t="shared" si="459"/>
        <v/>
      </c>
      <c r="AT293" s="85" t="str">
        <f t="shared" si="460"/>
        <v/>
      </c>
      <c r="AU293" s="85" t="str">
        <f>IF(AR293&lt;Tablas!$G$19, 0, IF(AND(AR293&gt;=Tablas!$G$19, AR293&lt;Tablas!$G$20), 1,  IF(AND(AR293&gt;=Tablas!$G$20, AR293&lt;Tablas!$G$21), 2,  IF(AND(AR293&gt;=Tablas!$G$21, AR293&lt;=Tablas!$G$22), 3,  ""))))</f>
        <v/>
      </c>
      <c r="AV293" s="85" t="str">
        <f t="shared" si="436"/>
        <v/>
      </c>
      <c r="AW293" s="101" t="str">
        <f t="shared" si="437"/>
        <v/>
      </c>
      <c r="AX293" s="177"/>
      <c r="AY293" s="169"/>
      <c r="AZ293" s="158"/>
      <c r="BA293" s="169"/>
      <c r="BB293" s="182"/>
      <c r="BC293" s="182"/>
      <c r="BD293" s="185"/>
      <c r="BE293" s="185"/>
      <c r="BF293" s="158" t="str">
        <f t="shared" si="500"/>
        <v/>
      </c>
      <c r="BG293" s="191"/>
    </row>
    <row r="294" spans="1:59" x14ac:dyDescent="0.25">
      <c r="A294" s="167"/>
      <c r="B294" s="195"/>
      <c r="C294" s="161"/>
      <c r="D294" s="160"/>
      <c r="E294" s="161"/>
      <c r="F294" s="164"/>
      <c r="G294" s="167"/>
      <c r="H294" s="167"/>
      <c r="I294" s="167"/>
      <c r="J294" s="167"/>
      <c r="K294" s="167"/>
      <c r="L294" s="166"/>
      <c r="M294" s="166"/>
      <c r="N294" s="166"/>
      <c r="O294" s="166"/>
      <c r="P294" s="166"/>
      <c r="Q294" s="166"/>
      <c r="R294" s="177"/>
      <c r="S294" s="167"/>
      <c r="T294" s="167"/>
      <c r="U294" s="167"/>
      <c r="V294" s="167"/>
      <c r="W294" s="167"/>
      <c r="X294" s="164"/>
      <c r="Y294" s="164"/>
      <c r="Z294" s="172"/>
      <c r="AA294" s="188"/>
      <c r="AB294" s="172"/>
      <c r="AC294" s="172"/>
      <c r="AD294" s="175"/>
      <c r="AE294" s="62" t="s">
        <v>115</v>
      </c>
      <c r="AF294" s="133"/>
      <c r="AG294" s="65"/>
      <c r="AH294" s="64"/>
      <c r="AI294" s="64"/>
      <c r="AJ294" s="64"/>
      <c r="AK294" s="64"/>
      <c r="AL294" s="64"/>
      <c r="AM294" s="80" t="str">
        <f>IFERROR((Tablas!$C$1*VLOOKUP(AH294, tipo_control, 2, 0)+Tablas!$E$1*VLOOKUP(AI294, nat_control, 2, 0)+Tablas!$G$1*VLOOKUP(AJ294, ev_control, 2, 0)+Tablas!$I$1*VLOOKUP(AK294, frec_control, 2, 0)+Tablas!$K$1*VLOOKUP(AL294, doc_control, 2, 0))*0.1*peso_dis, "")</f>
        <v/>
      </c>
      <c r="AN294" s="64"/>
      <c r="AO294" s="64"/>
      <c r="AP294" s="64"/>
      <c r="AQ294" s="80" t="str">
        <f>IFERROR((Tablas!$C$9*VLOOKUP(AN294, amb_control, 2, 0)+Tablas!$E$9*VLOOKUP(AO294, ejec_control, 2, 0)+Tablas!$G$9*VLOOKUP(AP294, cub_control, 2, 0))*0.1*peso_ejec, "")</f>
        <v/>
      </c>
      <c r="AR294" s="91" t="str">
        <f t="shared" si="435"/>
        <v/>
      </c>
      <c r="AS294" s="85" t="str">
        <f t="shared" si="459"/>
        <v/>
      </c>
      <c r="AT294" s="85" t="str">
        <f t="shared" si="460"/>
        <v/>
      </c>
      <c r="AU294" s="85" t="str">
        <f>IF(AR294&lt;Tablas!$G$19, 0, IF(AND(AR294&gt;=Tablas!$G$19, AR294&lt;Tablas!$G$20), 1,  IF(AND(AR294&gt;=Tablas!$G$20, AR294&lt;Tablas!$G$21), 2,  IF(AND(AR294&gt;=Tablas!$G$21, AR294&lt;=Tablas!$G$22), 3,  ""))))</f>
        <v/>
      </c>
      <c r="AV294" s="85" t="str">
        <f t="shared" si="436"/>
        <v/>
      </c>
      <c r="AW294" s="101" t="str">
        <f t="shared" si="437"/>
        <v/>
      </c>
      <c r="AX294" s="177"/>
      <c r="AY294" s="169"/>
      <c r="AZ294" s="158"/>
      <c r="BA294" s="169"/>
      <c r="BB294" s="182"/>
      <c r="BC294" s="182"/>
      <c r="BD294" s="185"/>
      <c r="BE294" s="185"/>
      <c r="BF294" s="158" t="str">
        <f t="shared" si="500"/>
        <v/>
      </c>
      <c r="BG294" s="191"/>
    </row>
    <row r="295" spans="1:59" x14ac:dyDescent="0.25">
      <c r="A295" s="167"/>
      <c r="B295" s="195"/>
      <c r="C295" s="161"/>
      <c r="D295" s="160"/>
      <c r="E295" s="161"/>
      <c r="F295" s="164"/>
      <c r="G295" s="167"/>
      <c r="H295" s="167"/>
      <c r="I295" s="167"/>
      <c r="J295" s="167"/>
      <c r="K295" s="167"/>
      <c r="L295" s="166"/>
      <c r="M295" s="166"/>
      <c r="N295" s="166"/>
      <c r="O295" s="166"/>
      <c r="P295" s="166"/>
      <c r="Q295" s="166"/>
      <c r="R295" s="177"/>
      <c r="S295" s="167"/>
      <c r="T295" s="167"/>
      <c r="U295" s="167"/>
      <c r="V295" s="167"/>
      <c r="W295" s="167"/>
      <c r="X295" s="164"/>
      <c r="Y295" s="164"/>
      <c r="Z295" s="172"/>
      <c r="AA295" s="188"/>
      <c r="AB295" s="172"/>
      <c r="AC295" s="172"/>
      <c r="AD295" s="175"/>
      <c r="AE295" s="62" t="s">
        <v>153</v>
      </c>
      <c r="AF295" s="133"/>
      <c r="AG295" s="65"/>
      <c r="AH295" s="64"/>
      <c r="AI295" s="64"/>
      <c r="AJ295" s="64"/>
      <c r="AK295" s="64"/>
      <c r="AL295" s="64"/>
      <c r="AM295" s="80" t="str">
        <f>IFERROR((Tablas!$C$1*VLOOKUP(AH295, tipo_control, 2, 0)+Tablas!$E$1*VLOOKUP(AI295, nat_control, 2, 0)+Tablas!$G$1*VLOOKUP(AJ295, ev_control, 2, 0)+Tablas!$I$1*VLOOKUP(AK295, frec_control, 2, 0)+Tablas!$K$1*VLOOKUP(AL295, doc_control, 2, 0))*0.1*peso_dis, "")</f>
        <v/>
      </c>
      <c r="AN295" s="64"/>
      <c r="AO295" s="64"/>
      <c r="AP295" s="64"/>
      <c r="AQ295" s="80" t="str">
        <f>IFERROR((Tablas!$C$9*VLOOKUP(AN295, amb_control, 2, 0)+Tablas!$E$9*VLOOKUP(AO295, ejec_control, 2, 0)+Tablas!$G$9*VLOOKUP(AP295, cub_control, 2, 0))*0.1*peso_ejec, "")</f>
        <v/>
      </c>
      <c r="AR295" s="91" t="str">
        <f t="shared" si="435"/>
        <v/>
      </c>
      <c r="AS295" s="85" t="str">
        <f t="shared" si="459"/>
        <v/>
      </c>
      <c r="AT295" s="85" t="str">
        <f t="shared" si="460"/>
        <v/>
      </c>
      <c r="AU295" s="85" t="str">
        <f>IF(AR295&lt;Tablas!$G$19, 0, IF(AND(AR295&gt;=Tablas!$G$19, AR295&lt;Tablas!$G$20), 1,  IF(AND(AR295&gt;=Tablas!$G$20, AR295&lt;Tablas!$G$21), 2,  IF(AND(AR295&gt;=Tablas!$G$21, AR295&lt;=Tablas!$G$22), 3,  ""))))</f>
        <v/>
      </c>
      <c r="AV295" s="85" t="str">
        <f t="shared" si="436"/>
        <v/>
      </c>
      <c r="AW295" s="101" t="str">
        <f t="shared" si="437"/>
        <v/>
      </c>
      <c r="AX295" s="177"/>
      <c r="AY295" s="169"/>
      <c r="AZ295" s="158"/>
      <c r="BA295" s="169"/>
      <c r="BB295" s="182"/>
      <c r="BC295" s="182"/>
      <c r="BD295" s="185"/>
      <c r="BE295" s="185"/>
      <c r="BF295" s="158"/>
      <c r="BG295" s="191"/>
    </row>
    <row r="296" spans="1:59" ht="15.75" thickBot="1" x14ac:dyDescent="0.3">
      <c r="A296" s="167"/>
      <c r="B296" s="195"/>
      <c r="C296" s="161"/>
      <c r="D296" s="160"/>
      <c r="E296" s="161"/>
      <c r="F296" s="165"/>
      <c r="G296" s="149"/>
      <c r="H296" s="149"/>
      <c r="I296" s="149"/>
      <c r="J296" s="149"/>
      <c r="K296" s="149"/>
      <c r="L296" s="166"/>
      <c r="M296" s="166"/>
      <c r="N296" s="166"/>
      <c r="O296" s="166"/>
      <c r="P296" s="166"/>
      <c r="Q296" s="166"/>
      <c r="R296" s="177"/>
      <c r="S296" s="149"/>
      <c r="T296" s="149"/>
      <c r="U296" s="149"/>
      <c r="V296" s="149"/>
      <c r="W296" s="149"/>
      <c r="X296" s="165"/>
      <c r="Y296" s="165"/>
      <c r="Z296" s="172"/>
      <c r="AA296" s="188"/>
      <c r="AB296" s="172"/>
      <c r="AC296" s="172"/>
      <c r="AD296" s="175"/>
      <c r="AE296" s="66" t="s">
        <v>154</v>
      </c>
      <c r="AF296" s="134"/>
      <c r="AG296" s="67"/>
      <c r="AH296" s="69"/>
      <c r="AI296" s="69"/>
      <c r="AJ296" s="69"/>
      <c r="AK296" s="69"/>
      <c r="AL296" s="69"/>
      <c r="AM296" s="81" t="str">
        <f>IFERROR((Tablas!$C$1*VLOOKUP(AH296, tipo_control, 2, 0)+Tablas!$E$1*VLOOKUP(AI296, nat_control, 2, 0)+Tablas!$G$1*VLOOKUP(AJ296, ev_control, 2, 0)+Tablas!$I$1*VLOOKUP(AK296, frec_control, 2, 0)+Tablas!$K$1*VLOOKUP(AL296, doc_control, 2, 0))*0.1*peso_dis, "")</f>
        <v/>
      </c>
      <c r="AN296" s="69"/>
      <c r="AO296" s="69"/>
      <c r="AP296" s="69"/>
      <c r="AQ296" s="81" t="str">
        <f>IFERROR((Tablas!$C$9*VLOOKUP(AN296, amb_control, 2, 0)+Tablas!$E$9*VLOOKUP(AO296, ejec_control, 2, 0)+Tablas!$G$9*VLOOKUP(AP296, cub_control, 2, 0))*0.1*peso_ejec, "")</f>
        <v/>
      </c>
      <c r="AR296" s="93" t="str">
        <f t="shared" si="435"/>
        <v/>
      </c>
      <c r="AS296" s="94" t="str">
        <f t="shared" si="459"/>
        <v/>
      </c>
      <c r="AT296" s="94" t="str">
        <f t="shared" si="460"/>
        <v/>
      </c>
      <c r="AU296" s="94" t="str">
        <f>IF(AR296&lt;Tablas!$G$19, 0, IF(AND(AR296&gt;=Tablas!$G$19, AR296&lt;Tablas!$G$20), 1,  IF(AND(AR296&gt;=Tablas!$G$20, AR296&lt;Tablas!$G$21), 2,  IF(AND(AR296&gt;=Tablas!$G$21, AR296&lt;=Tablas!$G$22), 3,  ""))))</f>
        <v/>
      </c>
      <c r="AV296" s="94" t="str">
        <f t="shared" si="436"/>
        <v/>
      </c>
      <c r="AW296" s="102" t="str">
        <f t="shared" si="437"/>
        <v/>
      </c>
      <c r="AX296" s="157"/>
      <c r="AY296" s="170"/>
      <c r="AZ296" s="179"/>
      <c r="BA296" s="170"/>
      <c r="BB296" s="182"/>
      <c r="BC296" s="182"/>
      <c r="BD296" s="185"/>
      <c r="BE296" s="185"/>
      <c r="BF296" s="159"/>
      <c r="BG296" s="191"/>
    </row>
    <row r="297" spans="1:59" x14ac:dyDescent="0.25">
      <c r="A297" s="167"/>
      <c r="B297" s="195"/>
      <c r="C297" s="197" t="s">
        <v>182</v>
      </c>
      <c r="D297" s="160"/>
      <c r="E297" s="149"/>
      <c r="F297" s="163" t="str">
        <f t="shared" si="443"/>
        <v/>
      </c>
      <c r="G297" s="148"/>
      <c r="H297" s="148"/>
      <c r="I297" s="148"/>
      <c r="J297" s="148"/>
      <c r="K297" s="148"/>
      <c r="L297" s="165" t="str">
        <f t="shared" ref="L297" si="501">IFERROR(VLOOKUP(G297, tabla02, 2, 0), "")</f>
        <v/>
      </c>
      <c r="M297" s="165" t="str">
        <f t="shared" ref="M297" si="502">IFERROR(VLOOKUP(H297, tabla02, 2, 0), "")</f>
        <v/>
      </c>
      <c r="N297" s="165" t="str">
        <f t="shared" ref="N297" si="503">IFERROR(VLOOKUP(I297, tabla02, 2, 0), "")</f>
        <v/>
      </c>
      <c r="O297" s="165" t="str">
        <f t="shared" ref="O297" si="504">IFERROR(VLOOKUP(J297, tabla02, 2, 0), "")</f>
        <v/>
      </c>
      <c r="P297" s="165" t="str">
        <f t="shared" ref="P297" si="505">IFERROR(VLOOKUP(K297, tabla02, 2, 0), "")</f>
        <v/>
      </c>
      <c r="Q297" s="165" t="str">
        <f t="shared" ref="Q297" si="506">IF(SUM(L297:P297)=0, "", MAX(L297:P297))</f>
        <v/>
      </c>
      <c r="R297" s="159" t="str">
        <f>IFERROR(VLOOKUP(Q297, tabla04, 3, 0), "")</f>
        <v/>
      </c>
      <c r="S297" s="148"/>
      <c r="T297" s="148"/>
      <c r="U297" s="148"/>
      <c r="V297" s="148"/>
      <c r="W297" s="148"/>
      <c r="X297" s="163" t="str">
        <f>IFERROR(VLOOKUP(CONCATENATE(F297, "-", Q297), cuadrante_sev, 3, 0), "")</f>
        <v/>
      </c>
      <c r="Y297" s="163" t="str">
        <f t="shared" ref="Y297" si="507">IFERROR(IF(X297="Baja", 1, IF(X297="Moderada", 2, IF(X297="Alta", 3, IF(X297="Extrema", 4, "")))), "")</f>
        <v/>
      </c>
      <c r="Z297" s="172"/>
      <c r="AA297" s="188"/>
      <c r="AB297" s="172"/>
      <c r="AC297" s="172"/>
      <c r="AD297" s="175"/>
      <c r="AE297" s="70" t="s">
        <v>113</v>
      </c>
      <c r="AF297" s="135"/>
      <c r="AG297" s="74"/>
      <c r="AH297" s="72"/>
      <c r="AI297" s="72"/>
      <c r="AJ297" s="72"/>
      <c r="AK297" s="72"/>
      <c r="AL297" s="72"/>
      <c r="AM297" s="82" t="str">
        <f>IFERROR((Tablas!$C$1*VLOOKUP(AH297, tipo_control, 2, 0)+Tablas!$E$1*VLOOKUP(AI297, nat_control, 2, 0)+Tablas!$G$1*VLOOKUP(AJ297, ev_control, 2, 0)+Tablas!$I$1*VLOOKUP(AK297, frec_control, 2, 0)+Tablas!$K$1*VLOOKUP(AL297, doc_control, 2, 0))*0.1*peso_dis, "")</f>
        <v/>
      </c>
      <c r="AN297" s="72"/>
      <c r="AO297" s="72"/>
      <c r="AP297" s="72"/>
      <c r="AQ297" s="82" t="str">
        <f>IFERROR((Tablas!$C$9*VLOOKUP(AN297, amb_control, 2, 0)+Tablas!$E$9*VLOOKUP(AO297, ejec_control, 2, 0)+Tablas!$G$9*VLOOKUP(AP297, cub_control, 2, 0))*0.1*peso_ejec, "")</f>
        <v/>
      </c>
      <c r="AR297" s="96" t="str">
        <f t="shared" si="435"/>
        <v/>
      </c>
      <c r="AS297" s="97" t="str">
        <f t="shared" si="459"/>
        <v/>
      </c>
      <c r="AT297" s="87" t="str">
        <f t="shared" si="460"/>
        <v/>
      </c>
      <c r="AU297" s="97" t="str">
        <f>IF(AR297&lt;Tablas!$G$19, 0, IF(AND(AR297&gt;=Tablas!$G$19, AR297&lt;Tablas!$G$20), 1,  IF(AND(AR297&gt;=Tablas!$G$20, AR297&lt;Tablas!$G$21), 2,  IF(AND(AR297&gt;=Tablas!$G$21, AR297&lt;=Tablas!$G$22), 3,  ""))))</f>
        <v/>
      </c>
      <c r="AV297" s="97" t="str">
        <f t="shared" si="436"/>
        <v/>
      </c>
      <c r="AW297" s="103" t="str">
        <f t="shared" si="437"/>
        <v/>
      </c>
      <c r="AX297" s="176" t="str">
        <f t="shared" ref="AX297" si="508">IFERROR(VLOOKUP(AY297, tabla04, 2, 0), "")</f>
        <v/>
      </c>
      <c r="AY297" s="168" t="str">
        <f>IF(F297="", "", IF((F297-MAX(AV297:AV301))&lt;=0, 1, F297-MAX(AV297:AV301)))</f>
        <v/>
      </c>
      <c r="AZ297" s="178" t="str">
        <f t="shared" ref="AZ297" si="509">IFERROR(VLOOKUP(BA297, tabla04, 3, 0), "")</f>
        <v/>
      </c>
      <c r="BA297" s="168" t="str">
        <f>IF(Q297="", "", IF((Q297-MAX(AW297:AW301))&lt;=0, 1, Q297-MAX(AW297:AW301)))</f>
        <v/>
      </c>
      <c r="BB297" s="182"/>
      <c r="BC297" s="182"/>
      <c r="BD297" s="185"/>
      <c r="BE297" s="185"/>
      <c r="BF297" s="158" t="str">
        <f t="shared" ref="BF297:BF299" si="510">IFERROR(VLOOKUP(CONCATENATE(AY297, "-", BA297), cuadrante_sev, 3, 0), "")</f>
        <v/>
      </c>
      <c r="BG297" s="191"/>
    </row>
    <row r="298" spans="1:59" x14ac:dyDescent="0.25">
      <c r="A298" s="167"/>
      <c r="B298" s="195"/>
      <c r="C298" s="197"/>
      <c r="D298" s="160"/>
      <c r="E298" s="161"/>
      <c r="F298" s="164"/>
      <c r="G298" s="167"/>
      <c r="H298" s="167"/>
      <c r="I298" s="167"/>
      <c r="J298" s="167"/>
      <c r="K298" s="167"/>
      <c r="L298" s="166"/>
      <c r="M298" s="166"/>
      <c r="N298" s="166"/>
      <c r="O298" s="166"/>
      <c r="P298" s="166"/>
      <c r="Q298" s="166"/>
      <c r="R298" s="177"/>
      <c r="S298" s="167"/>
      <c r="T298" s="167"/>
      <c r="U298" s="167"/>
      <c r="V298" s="167"/>
      <c r="W298" s="167"/>
      <c r="X298" s="164"/>
      <c r="Y298" s="164"/>
      <c r="Z298" s="172"/>
      <c r="AA298" s="188"/>
      <c r="AB298" s="172"/>
      <c r="AC298" s="172"/>
      <c r="AD298" s="175"/>
      <c r="AE298" s="62" t="s">
        <v>114</v>
      </c>
      <c r="AF298" s="133"/>
      <c r="AG298" s="65"/>
      <c r="AH298" s="64"/>
      <c r="AI298" s="64"/>
      <c r="AJ298" s="64"/>
      <c r="AK298" s="64"/>
      <c r="AL298" s="64"/>
      <c r="AM298" s="80" t="str">
        <f>IFERROR((Tablas!$C$1*VLOOKUP(AH298, tipo_control, 2, 0)+Tablas!$E$1*VLOOKUP(AI298, nat_control, 2, 0)+Tablas!$G$1*VLOOKUP(AJ298, ev_control, 2, 0)+Tablas!$I$1*VLOOKUP(AK298, frec_control, 2, 0)+Tablas!$K$1*VLOOKUP(AL298, doc_control, 2, 0))*0.1*peso_dis, "")</f>
        <v/>
      </c>
      <c r="AN298" s="64"/>
      <c r="AO298" s="64"/>
      <c r="AP298" s="64"/>
      <c r="AQ298" s="80" t="str">
        <f>IFERROR((Tablas!$C$9*VLOOKUP(AN298, amb_control, 2, 0)+Tablas!$E$9*VLOOKUP(AO298, ejec_control, 2, 0)+Tablas!$G$9*VLOOKUP(AP298, cub_control, 2, 0))*0.1*peso_ejec, "")</f>
        <v/>
      </c>
      <c r="AR298" s="91" t="str">
        <f t="shared" si="435"/>
        <v/>
      </c>
      <c r="AS298" s="85" t="str">
        <f t="shared" si="459"/>
        <v/>
      </c>
      <c r="AT298" s="85" t="str">
        <f t="shared" si="460"/>
        <v/>
      </c>
      <c r="AU298" s="85" t="str">
        <f>IF(AR298&lt;Tablas!$G$19, 0, IF(AND(AR298&gt;=Tablas!$G$19, AR298&lt;Tablas!$G$20), 1,  IF(AND(AR298&gt;=Tablas!$G$20, AR298&lt;Tablas!$G$21), 2,  IF(AND(AR298&gt;=Tablas!$G$21, AR298&lt;=Tablas!$G$22), 3,  ""))))</f>
        <v/>
      </c>
      <c r="AV298" s="85" t="str">
        <f t="shared" si="436"/>
        <v/>
      </c>
      <c r="AW298" s="101" t="str">
        <f t="shared" si="437"/>
        <v/>
      </c>
      <c r="AX298" s="177"/>
      <c r="AY298" s="169"/>
      <c r="AZ298" s="158"/>
      <c r="BA298" s="169"/>
      <c r="BB298" s="182"/>
      <c r="BC298" s="182"/>
      <c r="BD298" s="185"/>
      <c r="BE298" s="185"/>
      <c r="BF298" s="158" t="str">
        <f t="shared" si="510"/>
        <v/>
      </c>
      <c r="BG298" s="191"/>
    </row>
    <row r="299" spans="1:59" x14ac:dyDescent="0.25">
      <c r="A299" s="167"/>
      <c r="B299" s="195"/>
      <c r="C299" s="197"/>
      <c r="D299" s="160"/>
      <c r="E299" s="161"/>
      <c r="F299" s="164"/>
      <c r="G299" s="167"/>
      <c r="H299" s="167"/>
      <c r="I299" s="167"/>
      <c r="J299" s="167"/>
      <c r="K299" s="167"/>
      <c r="L299" s="166"/>
      <c r="M299" s="166"/>
      <c r="N299" s="166"/>
      <c r="O299" s="166"/>
      <c r="P299" s="166"/>
      <c r="Q299" s="166"/>
      <c r="R299" s="177"/>
      <c r="S299" s="167"/>
      <c r="T299" s="167"/>
      <c r="U299" s="167"/>
      <c r="V299" s="167"/>
      <c r="W299" s="167"/>
      <c r="X299" s="164"/>
      <c r="Y299" s="164"/>
      <c r="Z299" s="172"/>
      <c r="AA299" s="188"/>
      <c r="AB299" s="172"/>
      <c r="AC299" s="172"/>
      <c r="AD299" s="175"/>
      <c r="AE299" s="62" t="s">
        <v>115</v>
      </c>
      <c r="AF299" s="133"/>
      <c r="AG299" s="65"/>
      <c r="AH299" s="64"/>
      <c r="AI299" s="64"/>
      <c r="AJ299" s="64"/>
      <c r="AK299" s="64"/>
      <c r="AL299" s="64"/>
      <c r="AM299" s="80" t="str">
        <f>IFERROR((Tablas!$C$1*VLOOKUP(AH299, tipo_control, 2, 0)+Tablas!$E$1*VLOOKUP(AI299, nat_control, 2, 0)+Tablas!$G$1*VLOOKUP(AJ299, ev_control, 2, 0)+Tablas!$I$1*VLOOKUP(AK299, frec_control, 2, 0)+Tablas!$K$1*VLOOKUP(AL299, doc_control, 2, 0))*0.1*peso_dis, "")</f>
        <v/>
      </c>
      <c r="AN299" s="64"/>
      <c r="AO299" s="64"/>
      <c r="AP299" s="64"/>
      <c r="AQ299" s="80" t="str">
        <f>IFERROR((Tablas!$C$9*VLOOKUP(AN299, amb_control, 2, 0)+Tablas!$E$9*VLOOKUP(AO299, ejec_control, 2, 0)+Tablas!$G$9*VLOOKUP(AP299, cub_control, 2, 0))*0.1*peso_ejec, "")</f>
        <v/>
      </c>
      <c r="AR299" s="91" t="str">
        <f t="shared" si="435"/>
        <v/>
      </c>
      <c r="AS299" s="85" t="str">
        <f t="shared" si="459"/>
        <v/>
      </c>
      <c r="AT299" s="85" t="str">
        <f t="shared" si="460"/>
        <v/>
      </c>
      <c r="AU299" s="85" t="str">
        <f>IF(AR299&lt;Tablas!$G$19, 0, IF(AND(AR299&gt;=Tablas!$G$19, AR299&lt;Tablas!$G$20), 1,  IF(AND(AR299&gt;=Tablas!$G$20, AR299&lt;Tablas!$G$21), 2,  IF(AND(AR299&gt;=Tablas!$G$21, AR299&lt;=Tablas!$G$22), 3,  ""))))</f>
        <v/>
      </c>
      <c r="AV299" s="85" t="str">
        <f t="shared" si="436"/>
        <v/>
      </c>
      <c r="AW299" s="101" t="str">
        <f t="shared" si="437"/>
        <v/>
      </c>
      <c r="AX299" s="177"/>
      <c r="AY299" s="169"/>
      <c r="AZ299" s="158"/>
      <c r="BA299" s="169"/>
      <c r="BB299" s="182"/>
      <c r="BC299" s="182"/>
      <c r="BD299" s="185"/>
      <c r="BE299" s="185"/>
      <c r="BF299" s="158" t="str">
        <f t="shared" si="510"/>
        <v/>
      </c>
      <c r="BG299" s="191"/>
    </row>
    <row r="300" spans="1:59" x14ac:dyDescent="0.25">
      <c r="A300" s="167"/>
      <c r="B300" s="195"/>
      <c r="C300" s="197"/>
      <c r="D300" s="160"/>
      <c r="E300" s="161"/>
      <c r="F300" s="164"/>
      <c r="G300" s="167"/>
      <c r="H300" s="167"/>
      <c r="I300" s="167"/>
      <c r="J300" s="167"/>
      <c r="K300" s="167"/>
      <c r="L300" s="166"/>
      <c r="M300" s="166"/>
      <c r="N300" s="166"/>
      <c r="O300" s="166"/>
      <c r="P300" s="166"/>
      <c r="Q300" s="166"/>
      <c r="R300" s="177"/>
      <c r="S300" s="167"/>
      <c r="T300" s="167"/>
      <c r="U300" s="167"/>
      <c r="V300" s="167"/>
      <c r="W300" s="167"/>
      <c r="X300" s="164"/>
      <c r="Y300" s="164"/>
      <c r="Z300" s="172"/>
      <c r="AA300" s="188"/>
      <c r="AB300" s="172"/>
      <c r="AC300" s="172"/>
      <c r="AD300" s="175"/>
      <c r="AE300" s="62" t="s">
        <v>153</v>
      </c>
      <c r="AF300" s="133"/>
      <c r="AG300" s="65"/>
      <c r="AH300" s="64"/>
      <c r="AI300" s="64"/>
      <c r="AJ300" s="64"/>
      <c r="AK300" s="64"/>
      <c r="AL300" s="64"/>
      <c r="AM300" s="80" t="str">
        <f>IFERROR((Tablas!$C$1*VLOOKUP(AH300, tipo_control, 2, 0)+Tablas!$E$1*VLOOKUP(AI300, nat_control, 2, 0)+Tablas!$G$1*VLOOKUP(AJ300, ev_control, 2, 0)+Tablas!$I$1*VLOOKUP(AK300, frec_control, 2, 0)+Tablas!$K$1*VLOOKUP(AL300, doc_control, 2, 0))*0.1*peso_dis, "")</f>
        <v/>
      </c>
      <c r="AN300" s="64"/>
      <c r="AO300" s="64"/>
      <c r="AP300" s="64"/>
      <c r="AQ300" s="80" t="str">
        <f>IFERROR((Tablas!$C$9*VLOOKUP(AN300, amb_control, 2, 0)+Tablas!$E$9*VLOOKUP(AO300, ejec_control, 2, 0)+Tablas!$G$9*VLOOKUP(AP300, cub_control, 2, 0))*0.1*peso_ejec, "")</f>
        <v/>
      </c>
      <c r="AR300" s="91" t="str">
        <f t="shared" si="435"/>
        <v/>
      </c>
      <c r="AS300" s="85" t="str">
        <f t="shared" si="459"/>
        <v/>
      </c>
      <c r="AT300" s="85" t="str">
        <f t="shared" si="460"/>
        <v/>
      </c>
      <c r="AU300" s="85" t="str">
        <f>IF(AR300&lt;Tablas!$G$19, 0, IF(AND(AR300&gt;=Tablas!$G$19, AR300&lt;Tablas!$G$20), 1,  IF(AND(AR300&gt;=Tablas!$G$20, AR300&lt;Tablas!$G$21), 2,  IF(AND(AR300&gt;=Tablas!$G$21, AR300&lt;=Tablas!$G$22), 3,  ""))))</f>
        <v/>
      </c>
      <c r="AV300" s="85" t="str">
        <f t="shared" si="436"/>
        <v/>
      </c>
      <c r="AW300" s="101" t="str">
        <f t="shared" si="437"/>
        <v/>
      </c>
      <c r="AX300" s="177"/>
      <c r="AY300" s="169"/>
      <c r="AZ300" s="158"/>
      <c r="BA300" s="169"/>
      <c r="BB300" s="182"/>
      <c r="BC300" s="182"/>
      <c r="BD300" s="185"/>
      <c r="BE300" s="185"/>
      <c r="BF300" s="158"/>
      <c r="BG300" s="191"/>
    </row>
    <row r="301" spans="1:59" ht="15.75" thickBot="1" x14ac:dyDescent="0.3">
      <c r="A301" s="167"/>
      <c r="B301" s="195"/>
      <c r="C301" s="197"/>
      <c r="D301" s="160"/>
      <c r="E301" s="161"/>
      <c r="F301" s="165"/>
      <c r="G301" s="149"/>
      <c r="H301" s="149"/>
      <c r="I301" s="149"/>
      <c r="J301" s="149"/>
      <c r="K301" s="149"/>
      <c r="L301" s="166"/>
      <c r="M301" s="166"/>
      <c r="N301" s="166"/>
      <c r="O301" s="166"/>
      <c r="P301" s="166"/>
      <c r="Q301" s="166"/>
      <c r="R301" s="177"/>
      <c r="S301" s="149"/>
      <c r="T301" s="149"/>
      <c r="U301" s="149"/>
      <c r="V301" s="149"/>
      <c r="W301" s="149"/>
      <c r="X301" s="165"/>
      <c r="Y301" s="165"/>
      <c r="Z301" s="172"/>
      <c r="AA301" s="188"/>
      <c r="AB301" s="172"/>
      <c r="AC301" s="172"/>
      <c r="AD301" s="175"/>
      <c r="AE301" s="66" t="s">
        <v>154</v>
      </c>
      <c r="AF301" s="134"/>
      <c r="AG301" s="67"/>
      <c r="AH301" s="69"/>
      <c r="AI301" s="69"/>
      <c r="AJ301" s="69"/>
      <c r="AK301" s="69"/>
      <c r="AL301" s="69"/>
      <c r="AM301" s="81" t="str">
        <f>IFERROR((Tablas!$C$1*VLOOKUP(AH301, tipo_control, 2, 0)+Tablas!$E$1*VLOOKUP(AI301, nat_control, 2, 0)+Tablas!$G$1*VLOOKUP(AJ301, ev_control, 2, 0)+Tablas!$I$1*VLOOKUP(AK301, frec_control, 2, 0)+Tablas!$K$1*VLOOKUP(AL301, doc_control, 2, 0))*0.1*peso_dis, "")</f>
        <v/>
      </c>
      <c r="AN301" s="69"/>
      <c r="AO301" s="69"/>
      <c r="AP301" s="69"/>
      <c r="AQ301" s="81" t="str">
        <f>IFERROR((Tablas!$C$9*VLOOKUP(AN301, amb_control, 2, 0)+Tablas!$E$9*VLOOKUP(AO301, ejec_control, 2, 0)+Tablas!$G$9*VLOOKUP(AP301, cub_control, 2, 0))*0.1*peso_ejec, "")</f>
        <v/>
      </c>
      <c r="AR301" s="93" t="str">
        <f t="shared" si="435"/>
        <v/>
      </c>
      <c r="AS301" s="94" t="str">
        <f t="shared" si="459"/>
        <v/>
      </c>
      <c r="AT301" s="94" t="str">
        <f t="shared" si="460"/>
        <v/>
      </c>
      <c r="AU301" s="94" t="str">
        <f>IF(AR301&lt;Tablas!$G$19, 0, IF(AND(AR301&gt;=Tablas!$G$19, AR301&lt;Tablas!$G$20), 1,  IF(AND(AR301&gt;=Tablas!$G$20, AR301&lt;Tablas!$G$21), 2,  IF(AND(AR301&gt;=Tablas!$G$21, AR301&lt;=Tablas!$G$22), 3,  ""))))</f>
        <v/>
      </c>
      <c r="AV301" s="94" t="str">
        <f t="shared" si="436"/>
        <v/>
      </c>
      <c r="AW301" s="102" t="str">
        <f t="shared" si="437"/>
        <v/>
      </c>
      <c r="AX301" s="157"/>
      <c r="AY301" s="170"/>
      <c r="AZ301" s="179"/>
      <c r="BA301" s="170"/>
      <c r="BB301" s="182"/>
      <c r="BC301" s="182"/>
      <c r="BD301" s="185"/>
      <c r="BE301" s="185"/>
      <c r="BF301" s="159"/>
      <c r="BG301" s="191"/>
    </row>
    <row r="302" spans="1:59" ht="15" customHeight="1" x14ac:dyDescent="0.25">
      <c r="A302" s="167"/>
      <c r="B302" s="195"/>
      <c r="C302" s="197" t="s">
        <v>183</v>
      </c>
      <c r="D302" s="160"/>
      <c r="E302" s="149"/>
      <c r="F302" s="163" t="str">
        <f t="shared" si="443"/>
        <v/>
      </c>
      <c r="G302" s="148"/>
      <c r="H302" s="148"/>
      <c r="I302" s="148"/>
      <c r="J302" s="148"/>
      <c r="K302" s="148"/>
      <c r="L302" s="165" t="str">
        <f t="shared" ref="L302" si="511">IFERROR(VLOOKUP(G302, tabla02, 2, 0), "")</f>
        <v/>
      </c>
      <c r="M302" s="165" t="str">
        <f t="shared" ref="M302" si="512">IFERROR(VLOOKUP(H302, tabla02, 2, 0), "")</f>
        <v/>
      </c>
      <c r="N302" s="165" t="str">
        <f t="shared" ref="N302" si="513">IFERROR(VLOOKUP(I302, tabla02, 2, 0), "")</f>
        <v/>
      </c>
      <c r="O302" s="165" t="str">
        <f t="shared" ref="O302" si="514">IFERROR(VLOOKUP(J302, tabla02, 2, 0), "")</f>
        <v/>
      </c>
      <c r="P302" s="165" t="str">
        <f t="shared" ref="P302" si="515">IFERROR(VLOOKUP(K302, tabla02, 2, 0), "")</f>
        <v/>
      </c>
      <c r="Q302" s="165" t="str">
        <f t="shared" ref="Q302" si="516">IF(SUM(L302:P302)=0, "", MAX(L302:P302))</f>
        <v/>
      </c>
      <c r="R302" s="159" t="str">
        <f>IFERROR(VLOOKUP(Q302, tabla04, 3, 0), "")</f>
        <v/>
      </c>
      <c r="S302" s="148"/>
      <c r="T302" s="148"/>
      <c r="U302" s="148"/>
      <c r="V302" s="148"/>
      <c r="W302" s="148"/>
      <c r="X302" s="163" t="str">
        <f>IFERROR(VLOOKUP(CONCATENATE(F302, "-", Q302), cuadrante_sev, 3, 0), "")</f>
        <v/>
      </c>
      <c r="Y302" s="163" t="str">
        <f t="shared" ref="Y302" si="517">IFERROR(IF(X302="Baja", 1, IF(X302="Moderada", 2, IF(X302="Alta", 3, IF(X302="Extrema", 4, "")))), "")</f>
        <v/>
      </c>
      <c r="Z302" s="172"/>
      <c r="AA302" s="188"/>
      <c r="AB302" s="172"/>
      <c r="AC302" s="172"/>
      <c r="AD302" s="175"/>
      <c r="AE302" s="70" t="s">
        <v>113</v>
      </c>
      <c r="AF302" s="135"/>
      <c r="AG302" s="74"/>
      <c r="AH302" s="72"/>
      <c r="AI302" s="72"/>
      <c r="AJ302" s="72"/>
      <c r="AK302" s="72"/>
      <c r="AL302" s="72"/>
      <c r="AM302" s="82" t="str">
        <f>IFERROR((Tablas!$C$1*VLOOKUP(AH302, tipo_control, 2, 0)+Tablas!$E$1*VLOOKUP(AI302, nat_control, 2, 0)+Tablas!$G$1*VLOOKUP(AJ302, ev_control, 2, 0)+Tablas!$I$1*VLOOKUP(AK302, frec_control, 2, 0)+Tablas!$K$1*VLOOKUP(AL302, doc_control, 2, 0))*0.1*peso_dis, "")</f>
        <v/>
      </c>
      <c r="AN302" s="72"/>
      <c r="AO302" s="72"/>
      <c r="AP302" s="72"/>
      <c r="AQ302" s="82" t="str">
        <f>IFERROR((Tablas!$C$9*VLOOKUP(AN302, amb_control, 2, 0)+Tablas!$E$9*VLOOKUP(AO302, ejec_control, 2, 0)+Tablas!$G$9*VLOOKUP(AP302, cub_control, 2, 0))*0.1*peso_ejec, "")</f>
        <v/>
      </c>
      <c r="AR302" s="96" t="str">
        <f t="shared" si="435"/>
        <v/>
      </c>
      <c r="AS302" s="97" t="str">
        <f t="shared" si="459"/>
        <v/>
      </c>
      <c r="AT302" s="87" t="str">
        <f t="shared" si="460"/>
        <v/>
      </c>
      <c r="AU302" s="97" t="str">
        <f>IF(AR302&lt;Tablas!$G$19, 0, IF(AND(AR302&gt;=Tablas!$G$19, AR302&lt;Tablas!$G$20), 1,  IF(AND(AR302&gt;=Tablas!$G$20, AR302&lt;Tablas!$G$21), 2,  IF(AND(AR302&gt;=Tablas!$G$21, AR302&lt;=Tablas!$G$22), 3,  ""))))</f>
        <v/>
      </c>
      <c r="AV302" s="97" t="str">
        <f t="shared" si="436"/>
        <v/>
      </c>
      <c r="AW302" s="103" t="str">
        <f t="shared" si="437"/>
        <v/>
      </c>
      <c r="AX302" s="176" t="str">
        <f t="shared" ref="AX302" si="518">IFERROR(VLOOKUP(AY302, tabla04, 2, 0), "")</f>
        <v/>
      </c>
      <c r="AY302" s="168" t="str">
        <f>IF(F302="", "", IF((F302-MAX(AV302:AV306))&lt;=0, 1, F302-MAX(AV302:AV306)))</f>
        <v/>
      </c>
      <c r="AZ302" s="178" t="str">
        <f t="shared" ref="AZ302" si="519">IFERROR(VLOOKUP(BA302, tabla04, 3, 0), "")</f>
        <v/>
      </c>
      <c r="BA302" s="168" t="str">
        <f>IF(Q302="", "", IF((Q302-MAX(AW302:AW306))&lt;=0, 1, Q302-MAX(AW302:AW306)))</f>
        <v/>
      </c>
      <c r="BB302" s="182"/>
      <c r="BC302" s="182"/>
      <c r="BD302" s="185"/>
      <c r="BE302" s="185"/>
      <c r="BF302" s="158" t="str">
        <f t="shared" ref="BF302:BF304" si="520">IFERROR(VLOOKUP(CONCATENATE(AY302, "-", BA302), cuadrante_sev, 3, 0), "")</f>
        <v/>
      </c>
      <c r="BG302" s="191"/>
    </row>
    <row r="303" spans="1:59" ht="15" customHeight="1" x14ac:dyDescent="0.25">
      <c r="A303" s="167"/>
      <c r="B303" s="195"/>
      <c r="C303" s="197"/>
      <c r="D303" s="160"/>
      <c r="E303" s="161"/>
      <c r="F303" s="164"/>
      <c r="G303" s="167"/>
      <c r="H303" s="167"/>
      <c r="I303" s="167"/>
      <c r="J303" s="167"/>
      <c r="K303" s="167"/>
      <c r="L303" s="166"/>
      <c r="M303" s="166"/>
      <c r="N303" s="166"/>
      <c r="O303" s="166"/>
      <c r="P303" s="166"/>
      <c r="Q303" s="166"/>
      <c r="R303" s="177"/>
      <c r="S303" s="167"/>
      <c r="T303" s="167"/>
      <c r="U303" s="167"/>
      <c r="V303" s="167"/>
      <c r="W303" s="167"/>
      <c r="X303" s="164"/>
      <c r="Y303" s="164"/>
      <c r="Z303" s="172"/>
      <c r="AA303" s="188"/>
      <c r="AB303" s="172"/>
      <c r="AC303" s="172"/>
      <c r="AD303" s="175"/>
      <c r="AE303" s="62" t="s">
        <v>114</v>
      </c>
      <c r="AF303" s="133"/>
      <c r="AG303" s="65"/>
      <c r="AH303" s="64"/>
      <c r="AI303" s="64"/>
      <c r="AJ303" s="64"/>
      <c r="AK303" s="64"/>
      <c r="AL303" s="64"/>
      <c r="AM303" s="80" t="str">
        <f>IFERROR((Tablas!$C$1*VLOOKUP(AH303, tipo_control, 2, 0)+Tablas!$E$1*VLOOKUP(AI303, nat_control, 2, 0)+Tablas!$G$1*VLOOKUP(AJ303, ev_control, 2, 0)+Tablas!$I$1*VLOOKUP(AK303, frec_control, 2, 0)+Tablas!$K$1*VLOOKUP(AL303, doc_control, 2, 0))*0.1*peso_dis, "")</f>
        <v/>
      </c>
      <c r="AN303" s="64"/>
      <c r="AO303" s="64"/>
      <c r="AP303" s="64"/>
      <c r="AQ303" s="80" t="str">
        <f>IFERROR((Tablas!$C$9*VLOOKUP(AN303, amb_control, 2, 0)+Tablas!$E$9*VLOOKUP(AO303, ejec_control, 2, 0)+Tablas!$G$9*VLOOKUP(AP303, cub_control, 2, 0))*0.1*peso_ejec, "")</f>
        <v/>
      </c>
      <c r="AR303" s="91" t="str">
        <f t="shared" si="435"/>
        <v/>
      </c>
      <c r="AS303" s="85" t="str">
        <f t="shared" si="459"/>
        <v/>
      </c>
      <c r="AT303" s="85" t="str">
        <f t="shared" si="460"/>
        <v/>
      </c>
      <c r="AU303" s="85" t="str">
        <f>IF(AR303&lt;Tablas!$G$19, 0, IF(AND(AR303&gt;=Tablas!$G$19, AR303&lt;Tablas!$G$20), 1,  IF(AND(AR303&gt;=Tablas!$G$20, AR303&lt;Tablas!$G$21), 2,  IF(AND(AR303&gt;=Tablas!$G$21, AR303&lt;=Tablas!$G$22), 3,  ""))))</f>
        <v/>
      </c>
      <c r="AV303" s="85" t="str">
        <f t="shared" si="436"/>
        <v/>
      </c>
      <c r="AW303" s="101" t="str">
        <f t="shared" si="437"/>
        <v/>
      </c>
      <c r="AX303" s="177"/>
      <c r="AY303" s="169"/>
      <c r="AZ303" s="158"/>
      <c r="BA303" s="169"/>
      <c r="BB303" s="182"/>
      <c r="BC303" s="182"/>
      <c r="BD303" s="185"/>
      <c r="BE303" s="185"/>
      <c r="BF303" s="158" t="str">
        <f t="shared" si="520"/>
        <v/>
      </c>
      <c r="BG303" s="191"/>
    </row>
    <row r="304" spans="1:59" ht="15" customHeight="1" x14ac:dyDescent="0.25">
      <c r="A304" s="167"/>
      <c r="B304" s="195"/>
      <c r="C304" s="197"/>
      <c r="D304" s="160"/>
      <c r="E304" s="161"/>
      <c r="F304" s="164"/>
      <c r="G304" s="167"/>
      <c r="H304" s="167"/>
      <c r="I304" s="167"/>
      <c r="J304" s="167"/>
      <c r="K304" s="167"/>
      <c r="L304" s="166"/>
      <c r="M304" s="166"/>
      <c r="N304" s="166"/>
      <c r="O304" s="166"/>
      <c r="P304" s="166"/>
      <c r="Q304" s="166"/>
      <c r="R304" s="177"/>
      <c r="S304" s="167"/>
      <c r="T304" s="167"/>
      <c r="U304" s="167"/>
      <c r="V304" s="167"/>
      <c r="W304" s="167"/>
      <c r="X304" s="164"/>
      <c r="Y304" s="164"/>
      <c r="Z304" s="172"/>
      <c r="AA304" s="188"/>
      <c r="AB304" s="172"/>
      <c r="AC304" s="172"/>
      <c r="AD304" s="175"/>
      <c r="AE304" s="62" t="s">
        <v>115</v>
      </c>
      <c r="AF304" s="133"/>
      <c r="AG304" s="65"/>
      <c r="AH304" s="64"/>
      <c r="AI304" s="64"/>
      <c r="AJ304" s="64"/>
      <c r="AK304" s="64"/>
      <c r="AL304" s="64"/>
      <c r="AM304" s="80" t="str">
        <f>IFERROR((Tablas!$C$1*VLOOKUP(AH304, tipo_control, 2, 0)+Tablas!$E$1*VLOOKUP(AI304, nat_control, 2, 0)+Tablas!$G$1*VLOOKUP(AJ304, ev_control, 2, 0)+Tablas!$I$1*VLOOKUP(AK304, frec_control, 2, 0)+Tablas!$K$1*VLOOKUP(AL304, doc_control, 2, 0))*0.1*peso_dis, "")</f>
        <v/>
      </c>
      <c r="AN304" s="64"/>
      <c r="AO304" s="64"/>
      <c r="AP304" s="64"/>
      <c r="AQ304" s="80" t="str">
        <f>IFERROR((Tablas!$C$9*VLOOKUP(AN304, amb_control, 2, 0)+Tablas!$E$9*VLOOKUP(AO304, ejec_control, 2, 0)+Tablas!$G$9*VLOOKUP(AP304, cub_control, 2, 0))*0.1*peso_ejec, "")</f>
        <v/>
      </c>
      <c r="AR304" s="91" t="str">
        <f t="shared" si="435"/>
        <v/>
      </c>
      <c r="AS304" s="85" t="str">
        <f t="shared" si="459"/>
        <v/>
      </c>
      <c r="AT304" s="85" t="str">
        <f t="shared" si="460"/>
        <v/>
      </c>
      <c r="AU304" s="85" t="str">
        <f>IF(AR304&lt;Tablas!$G$19, 0, IF(AND(AR304&gt;=Tablas!$G$19, AR304&lt;Tablas!$G$20), 1,  IF(AND(AR304&gt;=Tablas!$G$20, AR304&lt;Tablas!$G$21), 2,  IF(AND(AR304&gt;=Tablas!$G$21, AR304&lt;=Tablas!$G$22), 3,  ""))))</f>
        <v/>
      </c>
      <c r="AV304" s="85" t="str">
        <f t="shared" si="436"/>
        <v/>
      </c>
      <c r="AW304" s="101" t="str">
        <f t="shared" si="437"/>
        <v/>
      </c>
      <c r="AX304" s="177"/>
      <c r="AY304" s="169"/>
      <c r="AZ304" s="158"/>
      <c r="BA304" s="169"/>
      <c r="BB304" s="182"/>
      <c r="BC304" s="182"/>
      <c r="BD304" s="185"/>
      <c r="BE304" s="185"/>
      <c r="BF304" s="158" t="str">
        <f t="shared" si="520"/>
        <v/>
      </c>
      <c r="BG304" s="191"/>
    </row>
    <row r="305" spans="1:59" ht="15" customHeight="1" x14ac:dyDescent="0.25">
      <c r="A305" s="167"/>
      <c r="B305" s="195"/>
      <c r="C305" s="197"/>
      <c r="D305" s="160"/>
      <c r="E305" s="161"/>
      <c r="F305" s="164"/>
      <c r="G305" s="167"/>
      <c r="H305" s="167"/>
      <c r="I305" s="167"/>
      <c r="J305" s="167"/>
      <c r="K305" s="167"/>
      <c r="L305" s="166"/>
      <c r="M305" s="166"/>
      <c r="N305" s="166"/>
      <c r="O305" s="166"/>
      <c r="P305" s="166"/>
      <c r="Q305" s="166"/>
      <c r="R305" s="177"/>
      <c r="S305" s="167"/>
      <c r="T305" s="167"/>
      <c r="U305" s="167"/>
      <c r="V305" s="167"/>
      <c r="W305" s="167"/>
      <c r="X305" s="164"/>
      <c r="Y305" s="164"/>
      <c r="Z305" s="172"/>
      <c r="AA305" s="188"/>
      <c r="AB305" s="172"/>
      <c r="AC305" s="172"/>
      <c r="AD305" s="175"/>
      <c r="AE305" s="62" t="s">
        <v>153</v>
      </c>
      <c r="AF305" s="133"/>
      <c r="AG305" s="65"/>
      <c r="AH305" s="64"/>
      <c r="AI305" s="64"/>
      <c r="AJ305" s="64"/>
      <c r="AK305" s="64"/>
      <c r="AL305" s="64"/>
      <c r="AM305" s="80" t="str">
        <f>IFERROR((Tablas!$C$1*VLOOKUP(AH305, tipo_control, 2, 0)+Tablas!$E$1*VLOOKUP(AI305, nat_control, 2, 0)+Tablas!$G$1*VLOOKUP(AJ305, ev_control, 2, 0)+Tablas!$I$1*VLOOKUP(AK305, frec_control, 2, 0)+Tablas!$K$1*VLOOKUP(AL305, doc_control, 2, 0))*0.1*peso_dis, "")</f>
        <v/>
      </c>
      <c r="AN305" s="64"/>
      <c r="AO305" s="64"/>
      <c r="AP305" s="64"/>
      <c r="AQ305" s="80" t="str">
        <f>IFERROR((Tablas!$C$9*VLOOKUP(AN305, amb_control, 2, 0)+Tablas!$E$9*VLOOKUP(AO305, ejec_control, 2, 0)+Tablas!$G$9*VLOOKUP(AP305, cub_control, 2, 0))*0.1*peso_ejec, "")</f>
        <v/>
      </c>
      <c r="AR305" s="91" t="str">
        <f t="shared" si="435"/>
        <v/>
      </c>
      <c r="AS305" s="85" t="str">
        <f t="shared" si="459"/>
        <v/>
      </c>
      <c r="AT305" s="85" t="str">
        <f t="shared" si="460"/>
        <v/>
      </c>
      <c r="AU305" s="85" t="str">
        <f>IF(AR305&lt;Tablas!$G$19, 0, IF(AND(AR305&gt;=Tablas!$G$19, AR305&lt;Tablas!$G$20), 1,  IF(AND(AR305&gt;=Tablas!$G$20, AR305&lt;Tablas!$G$21), 2,  IF(AND(AR305&gt;=Tablas!$G$21, AR305&lt;=Tablas!$G$22), 3,  ""))))</f>
        <v/>
      </c>
      <c r="AV305" s="85" t="str">
        <f t="shared" si="436"/>
        <v/>
      </c>
      <c r="AW305" s="101" t="str">
        <f t="shared" si="437"/>
        <v/>
      </c>
      <c r="AX305" s="177"/>
      <c r="AY305" s="169"/>
      <c r="AZ305" s="158"/>
      <c r="BA305" s="169"/>
      <c r="BB305" s="182"/>
      <c r="BC305" s="182"/>
      <c r="BD305" s="185"/>
      <c r="BE305" s="185"/>
      <c r="BF305" s="158"/>
      <c r="BG305" s="191"/>
    </row>
    <row r="306" spans="1:59" ht="15.75" customHeight="1" thickBot="1" x14ac:dyDescent="0.3">
      <c r="A306" s="149"/>
      <c r="B306" s="196"/>
      <c r="C306" s="197"/>
      <c r="D306" s="160"/>
      <c r="E306" s="161"/>
      <c r="F306" s="165"/>
      <c r="G306" s="149"/>
      <c r="H306" s="149"/>
      <c r="I306" s="149"/>
      <c r="J306" s="149"/>
      <c r="K306" s="149"/>
      <c r="L306" s="166"/>
      <c r="M306" s="166"/>
      <c r="N306" s="166"/>
      <c r="O306" s="166"/>
      <c r="P306" s="166"/>
      <c r="Q306" s="166"/>
      <c r="R306" s="177"/>
      <c r="S306" s="149"/>
      <c r="T306" s="149"/>
      <c r="U306" s="149"/>
      <c r="V306" s="149"/>
      <c r="W306" s="149"/>
      <c r="X306" s="165"/>
      <c r="Y306" s="165"/>
      <c r="Z306" s="173"/>
      <c r="AA306" s="189"/>
      <c r="AB306" s="173"/>
      <c r="AC306" s="173"/>
      <c r="AD306" s="175"/>
      <c r="AE306" s="75" t="s">
        <v>154</v>
      </c>
      <c r="AF306" s="136"/>
      <c r="AG306" s="68"/>
      <c r="AH306" s="76"/>
      <c r="AI306" s="76"/>
      <c r="AJ306" s="76"/>
      <c r="AK306" s="76"/>
      <c r="AL306" s="76"/>
      <c r="AM306" s="83" t="str">
        <f>IFERROR((Tablas!$C$1*VLOOKUP(AH306, tipo_control, 2, 0)+Tablas!$E$1*VLOOKUP(AI306, nat_control, 2, 0)+Tablas!$G$1*VLOOKUP(AJ306, ev_control, 2, 0)+Tablas!$I$1*VLOOKUP(AK306, frec_control, 2, 0)+Tablas!$K$1*VLOOKUP(AL306, doc_control, 2, 0))*0.1*peso_dis, "")</f>
        <v/>
      </c>
      <c r="AN306" s="76"/>
      <c r="AO306" s="76"/>
      <c r="AP306" s="76"/>
      <c r="AQ306" s="83" t="str">
        <f>IFERROR((Tablas!$C$9*VLOOKUP(AN306, amb_control, 2, 0)+Tablas!$E$9*VLOOKUP(AO306, ejec_control, 2, 0)+Tablas!$G$9*VLOOKUP(AP306, cub_control, 2, 0))*0.1*peso_ejec, "")</f>
        <v/>
      </c>
      <c r="AR306" s="99" t="str">
        <f t="shared" si="435"/>
        <v/>
      </c>
      <c r="AS306" s="86" t="str">
        <f t="shared" si="459"/>
        <v/>
      </c>
      <c r="AT306" s="86" t="str">
        <f t="shared" si="460"/>
        <v/>
      </c>
      <c r="AU306" s="86" t="str">
        <f>IF(AR306&lt;Tablas!$G$19, 0, IF(AND(AR306&gt;=Tablas!$G$19, AR306&lt;Tablas!$G$20), 1,  IF(AND(AR306&gt;=Tablas!$G$20, AR306&lt;Tablas!$G$21), 2,  IF(AND(AR306&gt;=Tablas!$G$21, AR306&lt;=Tablas!$G$22), 3,  ""))))</f>
        <v/>
      </c>
      <c r="AV306" s="86" t="str">
        <f t="shared" si="436"/>
        <v/>
      </c>
      <c r="AW306" s="84" t="str">
        <f t="shared" si="437"/>
        <v/>
      </c>
      <c r="AX306" s="157"/>
      <c r="AY306" s="170"/>
      <c r="AZ306" s="179"/>
      <c r="BA306" s="170"/>
      <c r="BB306" s="183"/>
      <c r="BC306" s="183"/>
      <c r="BD306" s="186"/>
      <c r="BE306" s="186"/>
      <c r="BF306" s="159"/>
      <c r="BG306" s="191"/>
    </row>
    <row r="307" spans="1:59" ht="15" customHeight="1" x14ac:dyDescent="0.25">
      <c r="A307" s="148" t="s">
        <v>189</v>
      </c>
      <c r="B307" s="194" t="s">
        <v>226</v>
      </c>
      <c r="C307" s="161" t="s">
        <v>14</v>
      </c>
      <c r="D307" s="160"/>
      <c r="E307" s="149"/>
      <c r="F307" s="163" t="str">
        <f t="shared" si="443"/>
        <v/>
      </c>
      <c r="G307" s="148"/>
      <c r="H307" s="148"/>
      <c r="I307" s="148"/>
      <c r="J307" s="148"/>
      <c r="K307" s="148"/>
      <c r="L307" s="165" t="str">
        <f>IFERROR(VLOOKUP(G307, tabla02, 2, 0), "")</f>
        <v/>
      </c>
      <c r="M307" s="165" t="str">
        <f>IFERROR(VLOOKUP(H307, tabla02, 2, 0), "")</f>
        <v/>
      </c>
      <c r="N307" s="165" t="str">
        <f>IFERROR(VLOOKUP(I307, tabla02, 2, 0), "")</f>
        <v/>
      </c>
      <c r="O307" s="165" t="str">
        <f>IFERROR(VLOOKUP(J307, tabla02, 2, 0), "")</f>
        <v/>
      </c>
      <c r="P307" s="165" t="str">
        <f>IFERROR(VLOOKUP(K307, tabla02, 2, 0), "")</f>
        <v/>
      </c>
      <c r="Q307" s="165" t="str">
        <f t="shared" ref="Q307" si="521">IF(SUM(L307:P307)=0, "", MAX(L307:P307))</f>
        <v/>
      </c>
      <c r="R307" s="159" t="str">
        <f>IFERROR(VLOOKUP(Q307, tabla04, 3, 0), "")</f>
        <v/>
      </c>
      <c r="S307" s="148"/>
      <c r="T307" s="148"/>
      <c r="U307" s="148"/>
      <c r="V307" s="148"/>
      <c r="W307" s="148"/>
      <c r="X307" s="164" t="str">
        <f>IFERROR(VLOOKUP(CONCATENATE(F307, "-", Q307), cuadrante_sev, 3, 0), "")</f>
        <v/>
      </c>
      <c r="Y307" s="163" t="str">
        <f>IFERROR(IF(X307="Baja", 1, IF(X307="Moderada", 2, IF(X307="Alta", 3, IF(X307="Extrema", 4, "")))), "")</f>
        <v/>
      </c>
      <c r="Z307" s="171">
        <f t="shared" ref="Z307" si="522">MAX(F307:F356)</f>
        <v>0</v>
      </c>
      <c r="AA307" s="187">
        <f t="shared" ref="AA307" si="523">MAX(Q307:Q356)</f>
        <v>0</v>
      </c>
      <c r="AB307" s="171" t="str">
        <f>IFERROR(VLOOKUP(Z307, tabla04, 2, 0), "")</f>
        <v/>
      </c>
      <c r="AC307" s="171" t="str">
        <f>IFERROR(VLOOKUP(AA307, tabla04, 3, 0), "")</f>
        <v/>
      </c>
      <c r="AD307" s="174" t="str">
        <f>IFERROR(VLOOKUP(CONCATENATE(Z307, "-", AA307), cuadrante_sev, 3, 0), "")</f>
        <v/>
      </c>
      <c r="AE307" s="59" t="s">
        <v>113</v>
      </c>
      <c r="AF307" s="132"/>
      <c r="AG307" s="77"/>
      <c r="AH307" s="61"/>
      <c r="AI307" s="61"/>
      <c r="AJ307" s="61"/>
      <c r="AK307" s="61"/>
      <c r="AL307" s="61"/>
      <c r="AM307" s="79" t="str">
        <f>IFERROR((Tablas!$C$1*VLOOKUP(AH307, tipo_control, 2, 0)+Tablas!$E$1*VLOOKUP(AI307, nat_control, 2, 0)+Tablas!$G$1*VLOOKUP(AJ307, ev_control, 2, 0)+Tablas!$I$1*VLOOKUP(AK307, frec_control, 2, 0)+Tablas!$K$1*VLOOKUP(AL307, doc_control, 2, 0))*0.1*peso_dis, "")</f>
        <v/>
      </c>
      <c r="AN307" s="61"/>
      <c r="AO307" s="61"/>
      <c r="AP307" s="61"/>
      <c r="AQ307" s="79" t="str">
        <f>IFERROR((Tablas!$C$9*VLOOKUP(AN307, amb_control, 2, 0)+Tablas!$E$9*VLOOKUP(AO307, ejec_control, 2, 0)+Tablas!$G$9*VLOOKUP(AP307, cub_control, 2, 0))*0.1*peso_ejec, "")</f>
        <v/>
      </c>
      <c r="AR307" s="89" t="str">
        <f>IFERROR(AM307+AQ307, "")</f>
        <v/>
      </c>
      <c r="AS307" s="87" t="str">
        <f t="shared" si="459"/>
        <v/>
      </c>
      <c r="AT307" s="87" t="str">
        <f t="shared" si="460"/>
        <v/>
      </c>
      <c r="AU307" s="87" t="str">
        <f>IF(AR307&lt;Tablas!$G$19, 0, IF(AND(AR307&gt;=Tablas!$G$19, AR307&lt;Tablas!$G$20), 1,  IF(AND(AR307&gt;=Tablas!$G$20, AR307&lt;Tablas!$G$21), 2,  IF(AND(AR307&gt;=Tablas!$G$21, AR307&lt;=Tablas!$G$22), 3,  ""))))</f>
        <v/>
      </c>
      <c r="AV307" s="87" t="str">
        <f>IF(AS307="Sí",AU307,"")</f>
        <v/>
      </c>
      <c r="AW307" s="100" t="str">
        <f>IF(AT307="Sí",AU307,"")</f>
        <v/>
      </c>
      <c r="AX307" s="176" t="str">
        <f>IFERROR(VLOOKUP(AY307, tabla04, 2, 0), "")</f>
        <v/>
      </c>
      <c r="AY307" s="168" t="str">
        <f>IF(F307="", "", IF((F307-MAX(AV307:AV311))&lt;=0, 1, F307-MAX(AV307:AV311)))</f>
        <v/>
      </c>
      <c r="AZ307" s="178" t="str">
        <f>IFERROR(VLOOKUP(BA307, tabla04, 3, 0), "")</f>
        <v/>
      </c>
      <c r="BA307" s="168" t="str">
        <f>IF(Q307="", "", IF((Q307-MAX(AW307:AW311))&lt;=0, 1, Q307-MAX(AW307:AW311)))</f>
        <v/>
      </c>
      <c r="BB307" s="170">
        <f>IFERROR(MAX(AY307:AY356), "")</f>
        <v>0</v>
      </c>
      <c r="BC307" s="170">
        <f>IFERROR(MAX(BA307:BA356), "")</f>
        <v>0</v>
      </c>
      <c r="BD307" s="184" t="str">
        <f>IFERROR(VLOOKUP(BB307, tabla04, 2, 0), "")</f>
        <v/>
      </c>
      <c r="BE307" s="184" t="str">
        <f>IFERROR(VLOOKUP(BC307, tabla04, 3, 0), "")</f>
        <v/>
      </c>
      <c r="BF307" s="158" t="str">
        <f>IFERROR(VLOOKUP(CONCATENATE(AY307, "-", BA307), cuadrante_sev, 3, 0), "")</f>
        <v/>
      </c>
      <c r="BG307" s="190" t="str">
        <f>IFERROR(VLOOKUP(CONCATENATE(BB307, "-", BC307), cuadrante_sev, 3, 0), "")</f>
        <v/>
      </c>
    </row>
    <row r="308" spans="1:59" x14ac:dyDescent="0.25">
      <c r="A308" s="167"/>
      <c r="B308" s="195"/>
      <c r="C308" s="161"/>
      <c r="D308" s="160"/>
      <c r="E308" s="161"/>
      <c r="F308" s="164"/>
      <c r="G308" s="167"/>
      <c r="H308" s="167"/>
      <c r="I308" s="167"/>
      <c r="J308" s="167"/>
      <c r="K308" s="167"/>
      <c r="L308" s="166"/>
      <c r="M308" s="166"/>
      <c r="N308" s="166"/>
      <c r="O308" s="166"/>
      <c r="P308" s="166"/>
      <c r="Q308" s="166"/>
      <c r="R308" s="177"/>
      <c r="S308" s="167"/>
      <c r="T308" s="167"/>
      <c r="U308" s="167"/>
      <c r="V308" s="167"/>
      <c r="W308" s="167"/>
      <c r="X308" s="164"/>
      <c r="Y308" s="164"/>
      <c r="Z308" s="172"/>
      <c r="AA308" s="188"/>
      <c r="AB308" s="172"/>
      <c r="AC308" s="172"/>
      <c r="AD308" s="175"/>
      <c r="AE308" s="62" t="s">
        <v>114</v>
      </c>
      <c r="AF308" s="133"/>
      <c r="AG308" s="65"/>
      <c r="AH308" s="64"/>
      <c r="AI308" s="64"/>
      <c r="AJ308" s="64"/>
      <c r="AK308" s="64"/>
      <c r="AL308" s="64"/>
      <c r="AM308" s="80" t="str">
        <f>IFERROR((Tablas!$C$1*VLOOKUP(AH308, tipo_control, 2, 0)+Tablas!$E$1*VLOOKUP(AI308, nat_control, 2, 0)+Tablas!$G$1*VLOOKUP(AJ308, ev_control, 2, 0)+Tablas!$I$1*VLOOKUP(AK308, frec_control, 2, 0)+Tablas!$K$1*VLOOKUP(AL308, doc_control, 2, 0))*0.1*peso_dis, "")</f>
        <v/>
      </c>
      <c r="AN308" s="64"/>
      <c r="AO308" s="64"/>
      <c r="AP308" s="64"/>
      <c r="AQ308" s="80" t="str">
        <f>IFERROR((Tablas!$C$9*VLOOKUP(AN308, amb_control, 2, 0)+Tablas!$E$9*VLOOKUP(AO308, ejec_control, 2, 0)+Tablas!$G$9*VLOOKUP(AP308, cub_control, 2, 0))*0.1*peso_ejec, "")</f>
        <v/>
      </c>
      <c r="AR308" s="91" t="str">
        <f t="shared" ref="AR308:AR356" si="524">IFERROR(AM308+AQ308, "")</f>
        <v/>
      </c>
      <c r="AS308" s="87" t="str">
        <f t="shared" si="459"/>
        <v/>
      </c>
      <c r="AT308" s="85" t="str">
        <f t="shared" si="460"/>
        <v/>
      </c>
      <c r="AU308" s="85" t="str">
        <f>IF(AR308&lt;Tablas!$G$19, 0, IF(AND(AR308&gt;=Tablas!$G$19, AR308&lt;Tablas!$G$20), 1,  IF(AND(AR308&gt;=Tablas!$G$20, AR308&lt;Tablas!$G$21), 2,  IF(AND(AR308&gt;=Tablas!$G$21, AR308&lt;=Tablas!$G$22), 3,  ""))))</f>
        <v/>
      </c>
      <c r="AV308" s="85" t="str">
        <f t="shared" ref="AV308:AV356" si="525">IF(AS308="Sí",AU308,"")</f>
        <v/>
      </c>
      <c r="AW308" s="101" t="str">
        <f t="shared" ref="AW308:AW356" si="526">IF(AT308="Sí",AU308,"")</f>
        <v/>
      </c>
      <c r="AX308" s="177"/>
      <c r="AY308" s="169"/>
      <c r="AZ308" s="158"/>
      <c r="BA308" s="169"/>
      <c r="BB308" s="182"/>
      <c r="BC308" s="182"/>
      <c r="BD308" s="185"/>
      <c r="BE308" s="185"/>
      <c r="BF308" s="158"/>
      <c r="BG308" s="191"/>
    </row>
    <row r="309" spans="1:59" x14ac:dyDescent="0.25">
      <c r="A309" s="167"/>
      <c r="B309" s="195"/>
      <c r="C309" s="161"/>
      <c r="D309" s="160"/>
      <c r="E309" s="161"/>
      <c r="F309" s="164"/>
      <c r="G309" s="167"/>
      <c r="H309" s="167"/>
      <c r="I309" s="167"/>
      <c r="J309" s="167"/>
      <c r="K309" s="167"/>
      <c r="L309" s="166"/>
      <c r="M309" s="166"/>
      <c r="N309" s="166"/>
      <c r="O309" s="166"/>
      <c r="P309" s="166"/>
      <c r="Q309" s="166"/>
      <c r="R309" s="177"/>
      <c r="S309" s="167"/>
      <c r="T309" s="167"/>
      <c r="U309" s="167"/>
      <c r="V309" s="167"/>
      <c r="W309" s="167"/>
      <c r="X309" s="164"/>
      <c r="Y309" s="164"/>
      <c r="Z309" s="172"/>
      <c r="AA309" s="188"/>
      <c r="AB309" s="172"/>
      <c r="AC309" s="172"/>
      <c r="AD309" s="175"/>
      <c r="AE309" s="62" t="s">
        <v>115</v>
      </c>
      <c r="AF309" s="133"/>
      <c r="AG309" s="65"/>
      <c r="AH309" s="64"/>
      <c r="AI309" s="64"/>
      <c r="AJ309" s="64"/>
      <c r="AK309" s="64"/>
      <c r="AL309" s="64"/>
      <c r="AM309" s="80" t="str">
        <f>IFERROR((Tablas!$C$1*VLOOKUP(AH309, tipo_control, 2, 0)+Tablas!$E$1*VLOOKUP(AI309, nat_control, 2, 0)+Tablas!$G$1*VLOOKUP(AJ309, ev_control, 2, 0)+Tablas!$I$1*VLOOKUP(AK309, frec_control, 2, 0)+Tablas!$K$1*VLOOKUP(AL309, doc_control, 2, 0))*0.1*peso_dis, "")</f>
        <v/>
      </c>
      <c r="AN309" s="64"/>
      <c r="AO309" s="64"/>
      <c r="AP309" s="64"/>
      <c r="AQ309" s="80" t="str">
        <f>IFERROR((Tablas!$C$9*VLOOKUP(AN309, amb_control, 2, 0)+Tablas!$E$9*VLOOKUP(AO309, ejec_control, 2, 0)+Tablas!$G$9*VLOOKUP(AP309, cub_control, 2, 0))*0.1*peso_ejec, "")</f>
        <v/>
      </c>
      <c r="AR309" s="91" t="str">
        <f t="shared" si="524"/>
        <v/>
      </c>
      <c r="AS309" s="87" t="str">
        <f t="shared" si="459"/>
        <v/>
      </c>
      <c r="AT309" s="85" t="str">
        <f t="shared" si="460"/>
        <v/>
      </c>
      <c r="AU309" s="85" t="str">
        <f>IF(AR309&lt;Tablas!$G$19, 0, IF(AND(AR309&gt;=Tablas!$G$19, AR309&lt;Tablas!$G$20), 1,  IF(AND(AR309&gt;=Tablas!$G$20, AR309&lt;Tablas!$G$21), 2,  IF(AND(AR309&gt;=Tablas!$G$21, AR309&lt;=Tablas!$G$22), 3,  ""))))</f>
        <v/>
      </c>
      <c r="AV309" s="85" t="str">
        <f t="shared" si="525"/>
        <v/>
      </c>
      <c r="AW309" s="101" t="str">
        <f t="shared" si="526"/>
        <v/>
      </c>
      <c r="AX309" s="177"/>
      <c r="AY309" s="169"/>
      <c r="AZ309" s="158"/>
      <c r="BA309" s="169"/>
      <c r="BB309" s="182"/>
      <c r="BC309" s="182"/>
      <c r="BD309" s="185"/>
      <c r="BE309" s="185"/>
      <c r="BF309" s="158"/>
      <c r="BG309" s="191"/>
    </row>
    <row r="310" spans="1:59" x14ac:dyDescent="0.25">
      <c r="A310" s="167"/>
      <c r="B310" s="195"/>
      <c r="C310" s="161"/>
      <c r="D310" s="160"/>
      <c r="E310" s="161"/>
      <c r="F310" s="164"/>
      <c r="G310" s="167"/>
      <c r="H310" s="167"/>
      <c r="I310" s="167"/>
      <c r="J310" s="167"/>
      <c r="K310" s="167"/>
      <c r="L310" s="166"/>
      <c r="M310" s="166"/>
      <c r="N310" s="166"/>
      <c r="O310" s="166"/>
      <c r="P310" s="166"/>
      <c r="Q310" s="166"/>
      <c r="R310" s="177"/>
      <c r="S310" s="167"/>
      <c r="T310" s="167"/>
      <c r="U310" s="167"/>
      <c r="V310" s="167"/>
      <c r="W310" s="167"/>
      <c r="X310" s="164"/>
      <c r="Y310" s="164"/>
      <c r="Z310" s="172"/>
      <c r="AA310" s="188"/>
      <c r="AB310" s="172"/>
      <c r="AC310" s="172"/>
      <c r="AD310" s="175"/>
      <c r="AE310" s="62" t="s">
        <v>153</v>
      </c>
      <c r="AF310" s="133"/>
      <c r="AG310" s="65"/>
      <c r="AH310" s="64"/>
      <c r="AI310" s="64"/>
      <c r="AJ310" s="64"/>
      <c r="AK310" s="64"/>
      <c r="AL310" s="64"/>
      <c r="AM310" s="80" t="str">
        <f>IFERROR((Tablas!$C$1*VLOOKUP(AH310, tipo_control, 2, 0)+Tablas!$E$1*VLOOKUP(AI310, nat_control, 2, 0)+Tablas!$G$1*VLOOKUP(AJ310, ev_control, 2, 0)+Tablas!$I$1*VLOOKUP(AK310, frec_control, 2, 0)+Tablas!$K$1*VLOOKUP(AL310, doc_control, 2, 0))*0.1*peso_dis, "")</f>
        <v/>
      </c>
      <c r="AN310" s="64"/>
      <c r="AO310" s="64"/>
      <c r="AP310" s="64"/>
      <c r="AQ310" s="80" t="str">
        <f>IFERROR((Tablas!$C$9*VLOOKUP(AN310, amb_control, 2, 0)+Tablas!$E$9*VLOOKUP(AO310, ejec_control, 2, 0)+Tablas!$G$9*VLOOKUP(AP310, cub_control, 2, 0))*0.1*peso_ejec, "")</f>
        <v/>
      </c>
      <c r="AR310" s="91" t="str">
        <f t="shared" si="524"/>
        <v/>
      </c>
      <c r="AS310" s="87" t="str">
        <f t="shared" si="459"/>
        <v/>
      </c>
      <c r="AT310" s="85" t="str">
        <f t="shared" si="460"/>
        <v/>
      </c>
      <c r="AU310" s="85" t="str">
        <f>IF(AR310&lt;Tablas!$G$19, 0, IF(AND(AR310&gt;=Tablas!$G$19, AR310&lt;Tablas!$G$20), 1,  IF(AND(AR310&gt;=Tablas!$G$20, AR310&lt;Tablas!$G$21), 2,  IF(AND(AR310&gt;=Tablas!$G$21, AR310&lt;=Tablas!$G$22), 3,  ""))))</f>
        <v/>
      </c>
      <c r="AV310" s="85" t="str">
        <f t="shared" si="525"/>
        <v/>
      </c>
      <c r="AW310" s="101" t="str">
        <f t="shared" si="526"/>
        <v/>
      </c>
      <c r="AX310" s="177"/>
      <c r="AY310" s="169"/>
      <c r="AZ310" s="158"/>
      <c r="BA310" s="169"/>
      <c r="BB310" s="182"/>
      <c r="BC310" s="182"/>
      <c r="BD310" s="185"/>
      <c r="BE310" s="185"/>
      <c r="BF310" s="158"/>
      <c r="BG310" s="191"/>
    </row>
    <row r="311" spans="1:59" ht="15.75" thickBot="1" x14ac:dyDescent="0.3">
      <c r="A311" s="167"/>
      <c r="B311" s="195"/>
      <c r="C311" s="161"/>
      <c r="D311" s="160"/>
      <c r="E311" s="161"/>
      <c r="F311" s="165"/>
      <c r="G311" s="149"/>
      <c r="H311" s="149"/>
      <c r="I311" s="149"/>
      <c r="J311" s="149"/>
      <c r="K311" s="149"/>
      <c r="L311" s="166"/>
      <c r="M311" s="166"/>
      <c r="N311" s="166"/>
      <c r="O311" s="166"/>
      <c r="P311" s="166"/>
      <c r="Q311" s="166"/>
      <c r="R311" s="177"/>
      <c r="S311" s="149"/>
      <c r="T311" s="149"/>
      <c r="U311" s="149"/>
      <c r="V311" s="149"/>
      <c r="W311" s="149"/>
      <c r="X311" s="165"/>
      <c r="Y311" s="165"/>
      <c r="Z311" s="172"/>
      <c r="AA311" s="188"/>
      <c r="AB311" s="172"/>
      <c r="AC311" s="172"/>
      <c r="AD311" s="175"/>
      <c r="AE311" s="66" t="s">
        <v>154</v>
      </c>
      <c r="AF311" s="134"/>
      <c r="AG311" s="67"/>
      <c r="AH311" s="69"/>
      <c r="AI311" s="69"/>
      <c r="AJ311" s="69"/>
      <c r="AK311" s="69"/>
      <c r="AL311" s="69"/>
      <c r="AM311" s="81" t="str">
        <f>IFERROR((Tablas!$C$1*VLOOKUP(AH311, tipo_control, 2, 0)+Tablas!$E$1*VLOOKUP(AI311, nat_control, 2, 0)+Tablas!$G$1*VLOOKUP(AJ311, ev_control, 2, 0)+Tablas!$I$1*VLOOKUP(AK311, frec_control, 2, 0)+Tablas!$K$1*VLOOKUP(AL311, doc_control, 2, 0))*0.1*peso_dis, "")</f>
        <v/>
      </c>
      <c r="AN311" s="69"/>
      <c r="AO311" s="69"/>
      <c r="AP311" s="69"/>
      <c r="AQ311" s="81" t="str">
        <f>IFERROR((Tablas!$C$9*VLOOKUP(AN311, amb_control, 2, 0)+Tablas!$E$9*VLOOKUP(AO311, ejec_control, 2, 0)+Tablas!$G$9*VLOOKUP(AP311, cub_control, 2, 0))*0.1*peso_ejec, "")</f>
        <v/>
      </c>
      <c r="AR311" s="93" t="str">
        <f t="shared" si="524"/>
        <v/>
      </c>
      <c r="AS311" s="87" t="str">
        <f t="shared" si="459"/>
        <v/>
      </c>
      <c r="AT311" s="94" t="str">
        <f t="shared" si="460"/>
        <v/>
      </c>
      <c r="AU311" s="94" t="str">
        <f>IF(AR311&lt;Tablas!$G$19, 0, IF(AND(AR311&gt;=Tablas!$G$19, AR311&lt;Tablas!$G$20), 1,  IF(AND(AR311&gt;=Tablas!$G$20, AR311&lt;Tablas!$G$21), 2,  IF(AND(AR311&gt;=Tablas!$G$21, AR311&lt;=Tablas!$G$22), 3,  ""))))</f>
        <v/>
      </c>
      <c r="AV311" s="94" t="str">
        <f t="shared" si="525"/>
        <v/>
      </c>
      <c r="AW311" s="102" t="str">
        <f t="shared" si="526"/>
        <v/>
      </c>
      <c r="AX311" s="157"/>
      <c r="AY311" s="170"/>
      <c r="AZ311" s="179"/>
      <c r="BA311" s="170"/>
      <c r="BB311" s="182"/>
      <c r="BC311" s="182"/>
      <c r="BD311" s="185"/>
      <c r="BE311" s="185"/>
      <c r="BF311" s="159"/>
      <c r="BG311" s="191"/>
    </row>
    <row r="312" spans="1:59" x14ac:dyDescent="0.25">
      <c r="A312" s="167"/>
      <c r="B312" s="195"/>
      <c r="C312" s="161" t="s">
        <v>15</v>
      </c>
      <c r="D312" s="160"/>
      <c r="E312" s="149"/>
      <c r="F312" s="163" t="str">
        <f t="shared" si="443"/>
        <v/>
      </c>
      <c r="G312" s="148"/>
      <c r="H312" s="148"/>
      <c r="I312" s="148"/>
      <c r="J312" s="148"/>
      <c r="K312" s="148"/>
      <c r="L312" s="165" t="str">
        <f>IFERROR(VLOOKUP(G312, tabla02, 2, 0), "")</f>
        <v/>
      </c>
      <c r="M312" s="165" t="str">
        <f>IFERROR(VLOOKUP(H312, tabla02, 2, 0), "")</f>
        <v/>
      </c>
      <c r="N312" s="165" t="str">
        <f>IFERROR(VLOOKUP(I312, tabla02, 2, 0), "")</f>
        <v/>
      </c>
      <c r="O312" s="165" t="str">
        <f>IFERROR(VLOOKUP(J312, tabla02, 2, 0), "")</f>
        <v/>
      </c>
      <c r="P312" s="165" t="str">
        <f>IFERROR(VLOOKUP(K312, tabla02, 2, 0), "")</f>
        <v/>
      </c>
      <c r="Q312" s="165" t="str">
        <f t="shared" ref="Q312" si="527">IF(SUM(L312:P312)=0, "", MAX(L312:P312))</f>
        <v/>
      </c>
      <c r="R312" s="159" t="str">
        <f>IFERROR(VLOOKUP(Q312, tabla04, 3, 0), "")</f>
        <v/>
      </c>
      <c r="S312" s="148"/>
      <c r="T312" s="148"/>
      <c r="U312" s="148"/>
      <c r="V312" s="148"/>
      <c r="W312" s="148"/>
      <c r="X312" s="163" t="str">
        <f>IFERROR(VLOOKUP(CONCATENATE(F312, "-", Q312), cuadrante_sev, 3, 0), "")</f>
        <v/>
      </c>
      <c r="Y312" s="163" t="str">
        <f t="shared" ref="Y312" si="528">IFERROR(IF(X312="Baja", 1, IF(X312="Moderada", 2, IF(X312="Alta", 3, IF(X312="Extrema", 4, "")))), "")</f>
        <v/>
      </c>
      <c r="Z312" s="172"/>
      <c r="AA312" s="188"/>
      <c r="AB312" s="172"/>
      <c r="AC312" s="172"/>
      <c r="AD312" s="175"/>
      <c r="AE312" s="70" t="s">
        <v>113</v>
      </c>
      <c r="AF312" s="135"/>
      <c r="AG312" s="74"/>
      <c r="AH312" s="72"/>
      <c r="AI312" s="72"/>
      <c r="AJ312" s="72"/>
      <c r="AK312" s="72"/>
      <c r="AL312" s="72"/>
      <c r="AM312" s="82" t="str">
        <f>IFERROR((Tablas!$C$1*VLOOKUP(AH312, tipo_control, 2, 0)+Tablas!$E$1*VLOOKUP(AI312, nat_control, 2, 0)+Tablas!$G$1*VLOOKUP(AJ312, ev_control, 2, 0)+Tablas!$I$1*VLOOKUP(AK312, frec_control, 2, 0)+Tablas!$K$1*VLOOKUP(AL312, doc_control, 2, 0))*0.1*peso_dis, "")</f>
        <v/>
      </c>
      <c r="AN312" s="72"/>
      <c r="AO312" s="72"/>
      <c r="AP312" s="72"/>
      <c r="AQ312" s="82" t="str">
        <f>IFERROR((Tablas!$C$9*VLOOKUP(AN312, amb_control, 2, 0)+Tablas!$E$9*VLOOKUP(AO312, ejec_control, 2, 0)+Tablas!$G$9*VLOOKUP(AP312, cub_control, 2, 0))*0.1*peso_ejec, "")</f>
        <v/>
      </c>
      <c r="AR312" s="96" t="str">
        <f t="shared" si="524"/>
        <v/>
      </c>
      <c r="AS312" s="97" t="str">
        <f t="shared" si="459"/>
        <v/>
      </c>
      <c r="AT312" s="87" t="str">
        <f t="shared" si="460"/>
        <v/>
      </c>
      <c r="AU312" s="97" t="str">
        <f>IF(AR312&lt;Tablas!$G$19, 0, IF(AND(AR312&gt;=Tablas!$G$19, AR312&lt;Tablas!$G$20), 1,  IF(AND(AR312&gt;=Tablas!$G$20, AR312&lt;Tablas!$G$21), 2,  IF(AND(AR312&gt;=Tablas!$G$21, AR312&lt;=Tablas!$G$22), 3,  ""))))</f>
        <v/>
      </c>
      <c r="AV312" s="97" t="str">
        <f t="shared" si="525"/>
        <v/>
      </c>
      <c r="AW312" s="103" t="str">
        <f t="shared" si="526"/>
        <v/>
      </c>
      <c r="AX312" s="176" t="str">
        <f t="shared" ref="AX312" si="529">IFERROR(VLOOKUP(AY312, tabla04, 2, 0), "")</f>
        <v/>
      </c>
      <c r="AY312" s="168" t="str">
        <f>IF(F312="", "", IF((F312-MAX(AV312:AV316))&lt;=0, 1, F312-MAX(AV312:AV316)))</f>
        <v/>
      </c>
      <c r="AZ312" s="178" t="str">
        <f t="shared" ref="AZ312" si="530">IFERROR(VLOOKUP(BA312, tabla04, 3, 0), "")</f>
        <v/>
      </c>
      <c r="BA312" s="168" t="str">
        <f>IF(Q312="", "", IF((Q312-MAX(AW312:AW316))&lt;=0, 1, Q312-MAX(AW312:AW316)))</f>
        <v/>
      </c>
      <c r="BB312" s="182"/>
      <c r="BC312" s="182"/>
      <c r="BD312" s="185"/>
      <c r="BE312" s="185"/>
      <c r="BF312" s="158" t="str">
        <f t="shared" ref="BF312:BF314" si="531">IFERROR(VLOOKUP(CONCATENATE(AY312, "-", BA312), cuadrante_sev, 3, 0), "")</f>
        <v/>
      </c>
      <c r="BG312" s="191"/>
    </row>
    <row r="313" spans="1:59" x14ac:dyDescent="0.25">
      <c r="A313" s="167"/>
      <c r="B313" s="195"/>
      <c r="C313" s="161"/>
      <c r="D313" s="160"/>
      <c r="E313" s="161"/>
      <c r="F313" s="164"/>
      <c r="G313" s="167"/>
      <c r="H313" s="167"/>
      <c r="I313" s="167"/>
      <c r="J313" s="167"/>
      <c r="K313" s="167"/>
      <c r="L313" s="166"/>
      <c r="M313" s="166"/>
      <c r="N313" s="166"/>
      <c r="O313" s="166"/>
      <c r="P313" s="166"/>
      <c r="Q313" s="166"/>
      <c r="R313" s="177"/>
      <c r="S313" s="167"/>
      <c r="T313" s="167"/>
      <c r="U313" s="167"/>
      <c r="V313" s="167"/>
      <c r="W313" s="167"/>
      <c r="X313" s="164"/>
      <c r="Y313" s="164"/>
      <c r="Z313" s="172"/>
      <c r="AA313" s="188"/>
      <c r="AB313" s="172"/>
      <c r="AC313" s="172"/>
      <c r="AD313" s="175"/>
      <c r="AE313" s="62" t="s">
        <v>114</v>
      </c>
      <c r="AF313" s="133"/>
      <c r="AG313" s="65"/>
      <c r="AH313" s="64"/>
      <c r="AI313" s="64"/>
      <c r="AJ313" s="64"/>
      <c r="AK313" s="64"/>
      <c r="AL313" s="64"/>
      <c r="AM313" s="80" t="str">
        <f>IFERROR((Tablas!$C$1*VLOOKUP(AH313, tipo_control, 2, 0)+Tablas!$E$1*VLOOKUP(AI313, nat_control, 2, 0)+Tablas!$G$1*VLOOKUP(AJ313, ev_control, 2, 0)+Tablas!$I$1*VLOOKUP(AK313, frec_control, 2, 0)+Tablas!$K$1*VLOOKUP(AL313, doc_control, 2, 0))*0.1*peso_dis, "")</f>
        <v/>
      </c>
      <c r="AN313" s="64"/>
      <c r="AO313" s="64"/>
      <c r="AP313" s="64"/>
      <c r="AQ313" s="80" t="str">
        <f>IFERROR((Tablas!$C$9*VLOOKUP(AN313, amb_control, 2, 0)+Tablas!$E$9*VLOOKUP(AO313, ejec_control, 2, 0)+Tablas!$G$9*VLOOKUP(AP313, cub_control, 2, 0))*0.1*peso_ejec, "")</f>
        <v/>
      </c>
      <c r="AR313" s="91" t="str">
        <f t="shared" si="524"/>
        <v/>
      </c>
      <c r="AS313" s="85" t="str">
        <f t="shared" si="459"/>
        <v/>
      </c>
      <c r="AT313" s="85" t="str">
        <f t="shared" si="460"/>
        <v/>
      </c>
      <c r="AU313" s="85" t="str">
        <f>IF(AR313&lt;Tablas!$G$19, 0, IF(AND(AR313&gt;=Tablas!$G$19, AR313&lt;Tablas!$G$20), 1,  IF(AND(AR313&gt;=Tablas!$G$20, AR313&lt;Tablas!$G$21), 2,  IF(AND(AR313&gt;=Tablas!$G$21, AR313&lt;=Tablas!$G$22), 3,  ""))))</f>
        <v/>
      </c>
      <c r="AV313" s="85" t="str">
        <f t="shared" si="525"/>
        <v/>
      </c>
      <c r="AW313" s="101" t="str">
        <f t="shared" si="526"/>
        <v/>
      </c>
      <c r="AX313" s="177"/>
      <c r="AY313" s="169"/>
      <c r="AZ313" s="158"/>
      <c r="BA313" s="169"/>
      <c r="BB313" s="182"/>
      <c r="BC313" s="182"/>
      <c r="BD313" s="185"/>
      <c r="BE313" s="185"/>
      <c r="BF313" s="158" t="str">
        <f t="shared" si="531"/>
        <v/>
      </c>
      <c r="BG313" s="191"/>
    </row>
    <row r="314" spans="1:59" x14ac:dyDescent="0.25">
      <c r="A314" s="167"/>
      <c r="B314" s="195"/>
      <c r="C314" s="161"/>
      <c r="D314" s="160"/>
      <c r="E314" s="161"/>
      <c r="F314" s="164"/>
      <c r="G314" s="167"/>
      <c r="H314" s="167"/>
      <c r="I314" s="167"/>
      <c r="J314" s="167"/>
      <c r="K314" s="167"/>
      <c r="L314" s="166"/>
      <c r="M314" s="166"/>
      <c r="N314" s="166"/>
      <c r="O314" s="166"/>
      <c r="P314" s="166"/>
      <c r="Q314" s="166"/>
      <c r="R314" s="177"/>
      <c r="S314" s="167"/>
      <c r="T314" s="167"/>
      <c r="U314" s="167"/>
      <c r="V314" s="167"/>
      <c r="W314" s="167"/>
      <c r="X314" s="164"/>
      <c r="Y314" s="164"/>
      <c r="Z314" s="172"/>
      <c r="AA314" s="188"/>
      <c r="AB314" s="172"/>
      <c r="AC314" s="172"/>
      <c r="AD314" s="175"/>
      <c r="AE314" s="62" t="s">
        <v>115</v>
      </c>
      <c r="AF314" s="133"/>
      <c r="AG314" s="65"/>
      <c r="AH314" s="64"/>
      <c r="AI314" s="64"/>
      <c r="AJ314" s="64"/>
      <c r="AK314" s="64"/>
      <c r="AL314" s="64"/>
      <c r="AM314" s="80" t="str">
        <f>IFERROR((Tablas!$C$1*VLOOKUP(AH314, tipo_control, 2, 0)+Tablas!$E$1*VLOOKUP(AI314, nat_control, 2, 0)+Tablas!$G$1*VLOOKUP(AJ314, ev_control, 2, 0)+Tablas!$I$1*VLOOKUP(AK314, frec_control, 2, 0)+Tablas!$K$1*VLOOKUP(AL314, doc_control, 2, 0))*0.1*peso_dis, "")</f>
        <v/>
      </c>
      <c r="AN314" s="64"/>
      <c r="AO314" s="64"/>
      <c r="AP314" s="64"/>
      <c r="AQ314" s="80" t="str">
        <f>IFERROR((Tablas!$C$9*VLOOKUP(AN314, amb_control, 2, 0)+Tablas!$E$9*VLOOKUP(AO314, ejec_control, 2, 0)+Tablas!$G$9*VLOOKUP(AP314, cub_control, 2, 0))*0.1*peso_ejec, "")</f>
        <v/>
      </c>
      <c r="AR314" s="91" t="str">
        <f t="shared" si="524"/>
        <v/>
      </c>
      <c r="AS314" s="85" t="str">
        <f t="shared" si="459"/>
        <v/>
      </c>
      <c r="AT314" s="85" t="str">
        <f t="shared" si="460"/>
        <v/>
      </c>
      <c r="AU314" s="85" t="str">
        <f>IF(AR314&lt;Tablas!$G$19, 0, IF(AND(AR314&gt;=Tablas!$G$19, AR314&lt;Tablas!$G$20), 1,  IF(AND(AR314&gt;=Tablas!$G$20, AR314&lt;Tablas!$G$21), 2,  IF(AND(AR314&gt;=Tablas!$G$21, AR314&lt;=Tablas!$G$22), 3,  ""))))</f>
        <v/>
      </c>
      <c r="AV314" s="85" t="str">
        <f t="shared" si="525"/>
        <v/>
      </c>
      <c r="AW314" s="101" t="str">
        <f t="shared" si="526"/>
        <v/>
      </c>
      <c r="AX314" s="177"/>
      <c r="AY314" s="169"/>
      <c r="AZ314" s="158"/>
      <c r="BA314" s="169"/>
      <c r="BB314" s="182"/>
      <c r="BC314" s="182"/>
      <c r="BD314" s="185"/>
      <c r="BE314" s="185"/>
      <c r="BF314" s="158" t="str">
        <f t="shared" si="531"/>
        <v/>
      </c>
      <c r="BG314" s="191"/>
    </row>
    <row r="315" spans="1:59" x14ac:dyDescent="0.25">
      <c r="A315" s="167"/>
      <c r="B315" s="195"/>
      <c r="C315" s="161"/>
      <c r="D315" s="160"/>
      <c r="E315" s="161"/>
      <c r="F315" s="164"/>
      <c r="G315" s="167"/>
      <c r="H315" s="167"/>
      <c r="I315" s="167"/>
      <c r="J315" s="167"/>
      <c r="K315" s="167"/>
      <c r="L315" s="166"/>
      <c r="M315" s="166"/>
      <c r="N315" s="166"/>
      <c r="O315" s="166"/>
      <c r="P315" s="166"/>
      <c r="Q315" s="166"/>
      <c r="R315" s="177"/>
      <c r="S315" s="167"/>
      <c r="T315" s="167"/>
      <c r="U315" s="167"/>
      <c r="V315" s="167"/>
      <c r="W315" s="167"/>
      <c r="X315" s="164"/>
      <c r="Y315" s="164"/>
      <c r="Z315" s="172"/>
      <c r="AA315" s="188"/>
      <c r="AB315" s="172"/>
      <c r="AC315" s="172"/>
      <c r="AD315" s="175"/>
      <c r="AE315" s="62" t="s">
        <v>153</v>
      </c>
      <c r="AF315" s="133"/>
      <c r="AG315" s="65"/>
      <c r="AH315" s="64"/>
      <c r="AI315" s="64"/>
      <c r="AJ315" s="64"/>
      <c r="AK315" s="64"/>
      <c r="AL315" s="64"/>
      <c r="AM315" s="80" t="str">
        <f>IFERROR((Tablas!$C$1*VLOOKUP(AH315, tipo_control, 2, 0)+Tablas!$E$1*VLOOKUP(AI315, nat_control, 2, 0)+Tablas!$G$1*VLOOKUP(AJ315, ev_control, 2, 0)+Tablas!$I$1*VLOOKUP(AK315, frec_control, 2, 0)+Tablas!$K$1*VLOOKUP(AL315, doc_control, 2, 0))*0.1*peso_dis, "")</f>
        <v/>
      </c>
      <c r="AN315" s="64"/>
      <c r="AO315" s="64"/>
      <c r="AP315" s="64"/>
      <c r="AQ315" s="80" t="str">
        <f>IFERROR((Tablas!$C$9*VLOOKUP(AN315, amb_control, 2, 0)+Tablas!$E$9*VLOOKUP(AO315, ejec_control, 2, 0)+Tablas!$G$9*VLOOKUP(AP315, cub_control, 2, 0))*0.1*peso_ejec, "")</f>
        <v/>
      </c>
      <c r="AR315" s="91" t="str">
        <f t="shared" si="524"/>
        <v/>
      </c>
      <c r="AS315" s="85" t="str">
        <f t="shared" si="459"/>
        <v/>
      </c>
      <c r="AT315" s="85" t="str">
        <f t="shared" si="460"/>
        <v/>
      </c>
      <c r="AU315" s="85" t="str">
        <f>IF(AR315&lt;Tablas!$G$19, 0, IF(AND(AR315&gt;=Tablas!$G$19, AR315&lt;Tablas!$G$20), 1,  IF(AND(AR315&gt;=Tablas!$G$20, AR315&lt;Tablas!$G$21), 2,  IF(AND(AR315&gt;=Tablas!$G$21, AR315&lt;=Tablas!$G$22), 3,  ""))))</f>
        <v/>
      </c>
      <c r="AV315" s="85" t="str">
        <f t="shared" si="525"/>
        <v/>
      </c>
      <c r="AW315" s="101" t="str">
        <f t="shared" si="526"/>
        <v/>
      </c>
      <c r="AX315" s="177"/>
      <c r="AY315" s="169"/>
      <c r="AZ315" s="158"/>
      <c r="BA315" s="169"/>
      <c r="BB315" s="182"/>
      <c r="BC315" s="182"/>
      <c r="BD315" s="185"/>
      <c r="BE315" s="185"/>
      <c r="BF315" s="158"/>
      <c r="BG315" s="191"/>
    </row>
    <row r="316" spans="1:59" ht="15.75" thickBot="1" x14ac:dyDescent="0.3">
      <c r="A316" s="167"/>
      <c r="B316" s="195"/>
      <c r="C316" s="161"/>
      <c r="D316" s="160"/>
      <c r="E316" s="161"/>
      <c r="F316" s="165"/>
      <c r="G316" s="149"/>
      <c r="H316" s="149"/>
      <c r="I316" s="149"/>
      <c r="J316" s="149"/>
      <c r="K316" s="149"/>
      <c r="L316" s="166"/>
      <c r="M316" s="166"/>
      <c r="N316" s="166"/>
      <c r="O316" s="166"/>
      <c r="P316" s="166"/>
      <c r="Q316" s="166"/>
      <c r="R316" s="177"/>
      <c r="S316" s="149"/>
      <c r="T316" s="149"/>
      <c r="U316" s="149"/>
      <c r="V316" s="149"/>
      <c r="W316" s="149"/>
      <c r="X316" s="165"/>
      <c r="Y316" s="165"/>
      <c r="Z316" s="172"/>
      <c r="AA316" s="188"/>
      <c r="AB316" s="172"/>
      <c r="AC316" s="172"/>
      <c r="AD316" s="175"/>
      <c r="AE316" s="66" t="s">
        <v>154</v>
      </c>
      <c r="AF316" s="134"/>
      <c r="AG316" s="67"/>
      <c r="AH316" s="69"/>
      <c r="AI316" s="69"/>
      <c r="AJ316" s="69"/>
      <c r="AK316" s="69"/>
      <c r="AL316" s="69"/>
      <c r="AM316" s="81" t="str">
        <f>IFERROR((Tablas!$C$1*VLOOKUP(AH316, tipo_control, 2, 0)+Tablas!$E$1*VLOOKUP(AI316, nat_control, 2, 0)+Tablas!$G$1*VLOOKUP(AJ316, ev_control, 2, 0)+Tablas!$I$1*VLOOKUP(AK316, frec_control, 2, 0)+Tablas!$K$1*VLOOKUP(AL316, doc_control, 2, 0))*0.1*peso_dis, "")</f>
        <v/>
      </c>
      <c r="AN316" s="69"/>
      <c r="AO316" s="69"/>
      <c r="AP316" s="69"/>
      <c r="AQ316" s="81" t="str">
        <f>IFERROR((Tablas!$C$9*VLOOKUP(AN316, amb_control, 2, 0)+Tablas!$E$9*VLOOKUP(AO316, ejec_control, 2, 0)+Tablas!$G$9*VLOOKUP(AP316, cub_control, 2, 0))*0.1*peso_ejec, "")</f>
        <v/>
      </c>
      <c r="AR316" s="93" t="str">
        <f t="shared" si="524"/>
        <v/>
      </c>
      <c r="AS316" s="94" t="str">
        <f t="shared" si="459"/>
        <v/>
      </c>
      <c r="AT316" s="94" t="str">
        <f t="shared" si="460"/>
        <v/>
      </c>
      <c r="AU316" s="94" t="str">
        <f>IF(AR316&lt;Tablas!$G$19, 0, IF(AND(AR316&gt;=Tablas!$G$19, AR316&lt;Tablas!$G$20), 1,  IF(AND(AR316&gt;=Tablas!$G$20, AR316&lt;Tablas!$G$21), 2,  IF(AND(AR316&gt;=Tablas!$G$21, AR316&lt;=Tablas!$G$22), 3,  ""))))</f>
        <v/>
      </c>
      <c r="AV316" s="94" t="str">
        <f t="shared" si="525"/>
        <v/>
      </c>
      <c r="AW316" s="102" t="str">
        <f t="shared" si="526"/>
        <v/>
      </c>
      <c r="AX316" s="157"/>
      <c r="AY316" s="170"/>
      <c r="AZ316" s="179"/>
      <c r="BA316" s="170"/>
      <c r="BB316" s="182"/>
      <c r="BC316" s="182"/>
      <c r="BD316" s="185"/>
      <c r="BE316" s="185"/>
      <c r="BF316" s="159"/>
      <c r="BG316" s="191"/>
    </row>
    <row r="317" spans="1:59" x14ac:dyDescent="0.25">
      <c r="A317" s="167"/>
      <c r="B317" s="195"/>
      <c r="C317" s="161" t="s">
        <v>16</v>
      </c>
      <c r="D317" s="160"/>
      <c r="E317" s="149"/>
      <c r="F317" s="163" t="str">
        <f t="shared" si="443"/>
        <v/>
      </c>
      <c r="G317" s="148"/>
      <c r="H317" s="148"/>
      <c r="I317" s="148"/>
      <c r="J317" s="148"/>
      <c r="K317" s="148"/>
      <c r="L317" s="165" t="str">
        <f>IFERROR(VLOOKUP(G317, tabla02, 2, 0), "")</f>
        <v/>
      </c>
      <c r="M317" s="165" t="str">
        <f>IFERROR(VLOOKUP(H317, tabla02, 2, 0), "")</f>
        <v/>
      </c>
      <c r="N317" s="165" t="str">
        <f>IFERROR(VLOOKUP(I317, tabla02, 2, 0), "")</f>
        <v/>
      </c>
      <c r="O317" s="165" t="str">
        <f>IFERROR(VLOOKUP(J317, tabla02, 2, 0), "")</f>
        <v/>
      </c>
      <c r="P317" s="165" t="str">
        <f>IFERROR(VLOOKUP(K317, tabla02, 2, 0), "")</f>
        <v/>
      </c>
      <c r="Q317" s="165" t="str">
        <f t="shared" ref="Q317" si="532">IF(SUM(L317:P317)=0, "", MAX(L317:P317))</f>
        <v/>
      </c>
      <c r="R317" s="159" t="str">
        <f>IFERROR(VLOOKUP(Q317, tabla04, 3, 0), "")</f>
        <v/>
      </c>
      <c r="S317" s="148"/>
      <c r="T317" s="148"/>
      <c r="U317" s="148"/>
      <c r="V317" s="148"/>
      <c r="W317" s="148"/>
      <c r="X317" s="163" t="str">
        <f>IFERROR(VLOOKUP(CONCATENATE(F317, "-", Q317), cuadrante_sev, 3, 0), "")</f>
        <v/>
      </c>
      <c r="Y317" s="163" t="str">
        <f t="shared" ref="Y317" si="533">IFERROR(IF(X317="Baja", 1, IF(X317="Moderada", 2, IF(X317="Alta", 3, IF(X317="Extrema", 4, "")))), "")</f>
        <v/>
      </c>
      <c r="Z317" s="172"/>
      <c r="AA317" s="188"/>
      <c r="AB317" s="172"/>
      <c r="AC317" s="172"/>
      <c r="AD317" s="175"/>
      <c r="AE317" s="70" t="s">
        <v>113</v>
      </c>
      <c r="AF317" s="135"/>
      <c r="AG317" s="77"/>
      <c r="AH317" s="61"/>
      <c r="AI317" s="61"/>
      <c r="AJ317" s="61"/>
      <c r="AK317" s="61"/>
      <c r="AL317" s="61"/>
      <c r="AM317" s="82" t="str">
        <f>IFERROR((Tablas!$C$1*VLOOKUP(AH317, tipo_control, 2, 0)+Tablas!$E$1*VLOOKUP(AI317, nat_control, 2, 0)+Tablas!$G$1*VLOOKUP(AJ317, ev_control, 2, 0)+Tablas!$I$1*VLOOKUP(AK317, frec_control, 2, 0)+Tablas!$K$1*VLOOKUP(AL317, doc_control, 2, 0))*0.1*peso_dis, "")</f>
        <v/>
      </c>
      <c r="AN317" s="61"/>
      <c r="AO317" s="61"/>
      <c r="AP317" s="61"/>
      <c r="AQ317" s="82" t="str">
        <f>IFERROR((Tablas!$C$9*VLOOKUP(AN317, amb_control, 2, 0)+Tablas!$E$9*VLOOKUP(AO317, ejec_control, 2, 0)+Tablas!$G$9*VLOOKUP(AP317, cub_control, 2, 0))*0.1*peso_ejec, "")</f>
        <v/>
      </c>
      <c r="AR317" s="96" t="str">
        <f t="shared" si="524"/>
        <v/>
      </c>
      <c r="AS317" s="97" t="str">
        <f t="shared" si="459"/>
        <v/>
      </c>
      <c r="AT317" s="87" t="str">
        <f t="shared" si="460"/>
        <v/>
      </c>
      <c r="AU317" s="97" t="str">
        <f>IF(AR317&lt;Tablas!$G$19, 0, IF(AND(AR317&gt;=Tablas!$G$19, AR317&lt;Tablas!$G$20), 1,  IF(AND(AR317&gt;=Tablas!$G$20, AR317&lt;Tablas!$G$21), 2,  IF(AND(AR317&gt;=Tablas!$G$21, AR317&lt;=Tablas!$G$22), 3,  ""))))</f>
        <v/>
      </c>
      <c r="AV317" s="97" t="str">
        <f t="shared" si="525"/>
        <v/>
      </c>
      <c r="AW317" s="103" t="str">
        <f t="shared" si="526"/>
        <v/>
      </c>
      <c r="AX317" s="176" t="str">
        <f t="shared" ref="AX317" si="534">IFERROR(VLOOKUP(AY317, tabla04, 2, 0), "")</f>
        <v/>
      </c>
      <c r="AY317" s="168" t="str">
        <f>IF(F317="", "", IF((F317-MAX(AV317:AV321))&lt;=0, 1, F317-MAX(AV317:AV321)))</f>
        <v/>
      </c>
      <c r="AZ317" s="178" t="str">
        <f t="shared" ref="AZ317" si="535">IFERROR(VLOOKUP(BA317, tabla04, 3, 0), "")</f>
        <v/>
      </c>
      <c r="BA317" s="168" t="str">
        <f>IF(Q317="", "", IF((Q317-MAX(AW317:AW321))&lt;=0, 1, Q317-MAX(AW317:AW321)))</f>
        <v/>
      </c>
      <c r="BB317" s="182"/>
      <c r="BC317" s="182"/>
      <c r="BD317" s="185"/>
      <c r="BE317" s="185"/>
      <c r="BF317" s="158" t="str">
        <f t="shared" ref="BF317:BF319" si="536">IFERROR(VLOOKUP(CONCATENATE(AY317, "-", BA317), cuadrante_sev, 3, 0), "")</f>
        <v/>
      </c>
      <c r="BG317" s="191"/>
    </row>
    <row r="318" spans="1:59" x14ac:dyDescent="0.25">
      <c r="A318" s="167"/>
      <c r="B318" s="195"/>
      <c r="C318" s="161"/>
      <c r="D318" s="160"/>
      <c r="E318" s="161"/>
      <c r="F318" s="164"/>
      <c r="G318" s="167"/>
      <c r="H318" s="167"/>
      <c r="I318" s="167"/>
      <c r="J318" s="167"/>
      <c r="K318" s="167"/>
      <c r="L318" s="166"/>
      <c r="M318" s="166"/>
      <c r="N318" s="166"/>
      <c r="O318" s="166"/>
      <c r="P318" s="166"/>
      <c r="Q318" s="166"/>
      <c r="R318" s="177"/>
      <c r="S318" s="167"/>
      <c r="T318" s="167"/>
      <c r="U318" s="167"/>
      <c r="V318" s="167"/>
      <c r="W318" s="167"/>
      <c r="X318" s="164"/>
      <c r="Y318" s="164"/>
      <c r="Z318" s="172"/>
      <c r="AA318" s="188"/>
      <c r="AB318" s="172"/>
      <c r="AC318" s="172"/>
      <c r="AD318" s="175"/>
      <c r="AE318" s="62" t="s">
        <v>114</v>
      </c>
      <c r="AF318" s="133"/>
      <c r="AG318" s="65"/>
      <c r="AH318" s="64"/>
      <c r="AI318" s="64"/>
      <c r="AJ318" s="64"/>
      <c r="AK318" s="64"/>
      <c r="AL318" s="64"/>
      <c r="AM318" s="80" t="str">
        <f>IFERROR((Tablas!$C$1*VLOOKUP(AH318, tipo_control, 2, 0)+Tablas!$E$1*VLOOKUP(AI318, nat_control, 2, 0)+Tablas!$G$1*VLOOKUP(AJ318, ev_control, 2, 0)+Tablas!$I$1*VLOOKUP(AK318, frec_control, 2, 0)+Tablas!$K$1*VLOOKUP(AL318, doc_control, 2, 0))*0.1*peso_dis, "")</f>
        <v/>
      </c>
      <c r="AN318" s="64"/>
      <c r="AO318" s="64"/>
      <c r="AP318" s="64"/>
      <c r="AQ318" s="80" t="str">
        <f>IFERROR((Tablas!$C$9*VLOOKUP(AN318, amb_control, 2, 0)+Tablas!$E$9*VLOOKUP(AO318, ejec_control, 2, 0)+Tablas!$G$9*VLOOKUP(AP318, cub_control, 2, 0))*0.1*peso_ejec, "")</f>
        <v/>
      </c>
      <c r="AR318" s="91" t="str">
        <f t="shared" si="524"/>
        <v/>
      </c>
      <c r="AS318" s="85" t="str">
        <f t="shared" si="459"/>
        <v/>
      </c>
      <c r="AT318" s="85" t="str">
        <f t="shared" si="460"/>
        <v/>
      </c>
      <c r="AU318" s="85" t="str">
        <f>IF(AR318&lt;Tablas!$G$19, 0, IF(AND(AR318&gt;=Tablas!$G$19, AR318&lt;Tablas!$G$20), 1,  IF(AND(AR318&gt;=Tablas!$G$20, AR318&lt;Tablas!$G$21), 2,  IF(AND(AR318&gt;=Tablas!$G$21, AR318&lt;=Tablas!$G$22), 3,  ""))))</f>
        <v/>
      </c>
      <c r="AV318" s="85" t="str">
        <f t="shared" si="525"/>
        <v/>
      </c>
      <c r="AW318" s="101" t="str">
        <f t="shared" si="526"/>
        <v/>
      </c>
      <c r="AX318" s="177"/>
      <c r="AY318" s="169"/>
      <c r="AZ318" s="158"/>
      <c r="BA318" s="169"/>
      <c r="BB318" s="182"/>
      <c r="BC318" s="182"/>
      <c r="BD318" s="185"/>
      <c r="BE318" s="185"/>
      <c r="BF318" s="158" t="str">
        <f t="shared" si="536"/>
        <v/>
      </c>
      <c r="BG318" s="191"/>
    </row>
    <row r="319" spans="1:59" x14ac:dyDescent="0.25">
      <c r="A319" s="167"/>
      <c r="B319" s="195"/>
      <c r="C319" s="161"/>
      <c r="D319" s="160"/>
      <c r="E319" s="161"/>
      <c r="F319" s="164"/>
      <c r="G319" s="167"/>
      <c r="H319" s="167"/>
      <c r="I319" s="167"/>
      <c r="J319" s="167"/>
      <c r="K319" s="167"/>
      <c r="L319" s="166"/>
      <c r="M319" s="166"/>
      <c r="N319" s="166"/>
      <c r="O319" s="166"/>
      <c r="P319" s="166"/>
      <c r="Q319" s="166"/>
      <c r="R319" s="177"/>
      <c r="S319" s="167"/>
      <c r="T319" s="167"/>
      <c r="U319" s="167"/>
      <c r="V319" s="167"/>
      <c r="W319" s="167"/>
      <c r="X319" s="164"/>
      <c r="Y319" s="164"/>
      <c r="Z319" s="172"/>
      <c r="AA319" s="188"/>
      <c r="AB319" s="172"/>
      <c r="AC319" s="172"/>
      <c r="AD319" s="175"/>
      <c r="AE319" s="62" t="s">
        <v>115</v>
      </c>
      <c r="AF319" s="133"/>
      <c r="AG319" s="65"/>
      <c r="AH319" s="64"/>
      <c r="AI319" s="64"/>
      <c r="AJ319" s="64"/>
      <c r="AK319" s="64"/>
      <c r="AL319" s="64"/>
      <c r="AM319" s="80" t="str">
        <f>IFERROR((Tablas!$C$1*VLOOKUP(AH319, tipo_control, 2, 0)+Tablas!$E$1*VLOOKUP(AI319, nat_control, 2, 0)+Tablas!$G$1*VLOOKUP(AJ319, ev_control, 2, 0)+Tablas!$I$1*VLOOKUP(AK319, frec_control, 2, 0)+Tablas!$K$1*VLOOKUP(AL319, doc_control, 2, 0))*0.1*peso_dis, "")</f>
        <v/>
      </c>
      <c r="AN319" s="64"/>
      <c r="AO319" s="64"/>
      <c r="AP319" s="64"/>
      <c r="AQ319" s="80" t="str">
        <f>IFERROR((Tablas!$C$9*VLOOKUP(AN319, amb_control, 2, 0)+Tablas!$E$9*VLOOKUP(AO319, ejec_control, 2, 0)+Tablas!$G$9*VLOOKUP(AP319, cub_control, 2, 0))*0.1*peso_ejec, "")</f>
        <v/>
      </c>
      <c r="AR319" s="91" t="str">
        <f t="shared" si="524"/>
        <v/>
      </c>
      <c r="AS319" s="85" t="str">
        <f t="shared" si="459"/>
        <v/>
      </c>
      <c r="AT319" s="85" t="str">
        <f t="shared" si="460"/>
        <v/>
      </c>
      <c r="AU319" s="85" t="str">
        <f>IF(AR319&lt;Tablas!$G$19, 0, IF(AND(AR319&gt;=Tablas!$G$19, AR319&lt;Tablas!$G$20), 1,  IF(AND(AR319&gt;=Tablas!$G$20, AR319&lt;Tablas!$G$21), 2,  IF(AND(AR319&gt;=Tablas!$G$21, AR319&lt;=Tablas!$G$22), 3,  ""))))</f>
        <v/>
      </c>
      <c r="AV319" s="85" t="str">
        <f t="shared" si="525"/>
        <v/>
      </c>
      <c r="AW319" s="101" t="str">
        <f t="shared" si="526"/>
        <v/>
      </c>
      <c r="AX319" s="177"/>
      <c r="AY319" s="169"/>
      <c r="AZ319" s="158"/>
      <c r="BA319" s="169"/>
      <c r="BB319" s="182"/>
      <c r="BC319" s="182"/>
      <c r="BD319" s="185"/>
      <c r="BE319" s="185"/>
      <c r="BF319" s="158" t="str">
        <f t="shared" si="536"/>
        <v/>
      </c>
      <c r="BG319" s="191"/>
    </row>
    <row r="320" spans="1:59" x14ac:dyDescent="0.25">
      <c r="A320" s="167"/>
      <c r="B320" s="195"/>
      <c r="C320" s="161"/>
      <c r="D320" s="160"/>
      <c r="E320" s="161"/>
      <c r="F320" s="164"/>
      <c r="G320" s="167"/>
      <c r="H320" s="167"/>
      <c r="I320" s="167"/>
      <c r="J320" s="167"/>
      <c r="K320" s="167"/>
      <c r="L320" s="166"/>
      <c r="M320" s="166"/>
      <c r="N320" s="166"/>
      <c r="O320" s="166"/>
      <c r="P320" s="166"/>
      <c r="Q320" s="166"/>
      <c r="R320" s="177"/>
      <c r="S320" s="167"/>
      <c r="T320" s="167"/>
      <c r="U320" s="167"/>
      <c r="V320" s="167"/>
      <c r="W320" s="167"/>
      <c r="X320" s="164"/>
      <c r="Y320" s="164"/>
      <c r="Z320" s="172"/>
      <c r="AA320" s="188"/>
      <c r="AB320" s="172"/>
      <c r="AC320" s="172"/>
      <c r="AD320" s="175"/>
      <c r="AE320" s="62" t="s">
        <v>153</v>
      </c>
      <c r="AF320" s="133"/>
      <c r="AG320" s="65"/>
      <c r="AH320" s="64"/>
      <c r="AI320" s="64"/>
      <c r="AJ320" s="64"/>
      <c r="AK320" s="64"/>
      <c r="AL320" s="64"/>
      <c r="AM320" s="80" t="str">
        <f>IFERROR((Tablas!$C$1*VLOOKUP(AH320, tipo_control, 2, 0)+Tablas!$E$1*VLOOKUP(AI320, nat_control, 2, 0)+Tablas!$G$1*VLOOKUP(AJ320, ev_control, 2, 0)+Tablas!$I$1*VLOOKUP(AK320, frec_control, 2, 0)+Tablas!$K$1*VLOOKUP(AL320, doc_control, 2, 0))*0.1*peso_dis, "")</f>
        <v/>
      </c>
      <c r="AN320" s="64"/>
      <c r="AO320" s="64"/>
      <c r="AP320" s="64"/>
      <c r="AQ320" s="80" t="str">
        <f>IFERROR((Tablas!$C$9*VLOOKUP(AN320, amb_control, 2, 0)+Tablas!$E$9*VLOOKUP(AO320, ejec_control, 2, 0)+Tablas!$G$9*VLOOKUP(AP320, cub_control, 2, 0))*0.1*peso_ejec, "")</f>
        <v/>
      </c>
      <c r="AR320" s="91" t="str">
        <f t="shared" si="524"/>
        <v/>
      </c>
      <c r="AS320" s="85" t="str">
        <f t="shared" si="459"/>
        <v/>
      </c>
      <c r="AT320" s="85" t="str">
        <f t="shared" si="460"/>
        <v/>
      </c>
      <c r="AU320" s="85" t="str">
        <f>IF(AR320&lt;Tablas!$G$19, 0, IF(AND(AR320&gt;=Tablas!$G$19, AR320&lt;Tablas!$G$20), 1,  IF(AND(AR320&gt;=Tablas!$G$20, AR320&lt;Tablas!$G$21), 2,  IF(AND(AR320&gt;=Tablas!$G$21, AR320&lt;=Tablas!$G$22), 3,  ""))))</f>
        <v/>
      </c>
      <c r="AV320" s="85" t="str">
        <f t="shared" si="525"/>
        <v/>
      </c>
      <c r="AW320" s="101" t="str">
        <f t="shared" si="526"/>
        <v/>
      </c>
      <c r="AX320" s="177"/>
      <c r="AY320" s="169"/>
      <c r="AZ320" s="158"/>
      <c r="BA320" s="169"/>
      <c r="BB320" s="182"/>
      <c r="BC320" s="182"/>
      <c r="BD320" s="185"/>
      <c r="BE320" s="185"/>
      <c r="BF320" s="158"/>
      <c r="BG320" s="191"/>
    </row>
    <row r="321" spans="1:59" ht="15.75" thickBot="1" x14ac:dyDescent="0.3">
      <c r="A321" s="167"/>
      <c r="B321" s="195"/>
      <c r="C321" s="161"/>
      <c r="D321" s="160"/>
      <c r="E321" s="161"/>
      <c r="F321" s="165"/>
      <c r="G321" s="149"/>
      <c r="H321" s="149"/>
      <c r="I321" s="149"/>
      <c r="J321" s="149"/>
      <c r="K321" s="149"/>
      <c r="L321" s="166"/>
      <c r="M321" s="166"/>
      <c r="N321" s="166"/>
      <c r="O321" s="166"/>
      <c r="P321" s="166"/>
      <c r="Q321" s="166"/>
      <c r="R321" s="177"/>
      <c r="S321" s="149"/>
      <c r="T321" s="149"/>
      <c r="U321" s="149"/>
      <c r="V321" s="149"/>
      <c r="W321" s="149"/>
      <c r="X321" s="165"/>
      <c r="Y321" s="165"/>
      <c r="Z321" s="172"/>
      <c r="AA321" s="188"/>
      <c r="AB321" s="172"/>
      <c r="AC321" s="172"/>
      <c r="AD321" s="175"/>
      <c r="AE321" s="66" t="s">
        <v>154</v>
      </c>
      <c r="AF321" s="134"/>
      <c r="AG321" s="67"/>
      <c r="AH321" s="69"/>
      <c r="AI321" s="69"/>
      <c r="AJ321" s="69"/>
      <c r="AK321" s="69"/>
      <c r="AL321" s="69"/>
      <c r="AM321" s="81" t="str">
        <f>IFERROR((Tablas!$C$1*VLOOKUP(AH321, tipo_control, 2, 0)+Tablas!$E$1*VLOOKUP(AI321, nat_control, 2, 0)+Tablas!$G$1*VLOOKUP(AJ321, ev_control, 2, 0)+Tablas!$I$1*VLOOKUP(AK321, frec_control, 2, 0)+Tablas!$K$1*VLOOKUP(AL321, doc_control, 2, 0))*0.1*peso_dis, "")</f>
        <v/>
      </c>
      <c r="AN321" s="69"/>
      <c r="AO321" s="69"/>
      <c r="AP321" s="69"/>
      <c r="AQ321" s="81" t="str">
        <f>IFERROR((Tablas!$C$9*VLOOKUP(AN321, amb_control, 2, 0)+Tablas!$E$9*VLOOKUP(AO321, ejec_control, 2, 0)+Tablas!$G$9*VLOOKUP(AP321, cub_control, 2, 0))*0.1*peso_ejec, "")</f>
        <v/>
      </c>
      <c r="AR321" s="93" t="str">
        <f t="shared" si="524"/>
        <v/>
      </c>
      <c r="AS321" s="94" t="str">
        <f t="shared" si="459"/>
        <v/>
      </c>
      <c r="AT321" s="94" t="str">
        <f t="shared" si="460"/>
        <v/>
      </c>
      <c r="AU321" s="94" t="str">
        <f>IF(AR321&lt;Tablas!$G$19, 0, IF(AND(AR321&gt;=Tablas!$G$19, AR321&lt;Tablas!$G$20), 1,  IF(AND(AR321&gt;=Tablas!$G$20, AR321&lt;Tablas!$G$21), 2,  IF(AND(AR321&gt;=Tablas!$G$21, AR321&lt;=Tablas!$G$22), 3,  ""))))</f>
        <v/>
      </c>
      <c r="AV321" s="94" t="str">
        <f t="shared" si="525"/>
        <v/>
      </c>
      <c r="AW321" s="102" t="str">
        <f t="shared" si="526"/>
        <v/>
      </c>
      <c r="AX321" s="157"/>
      <c r="AY321" s="170"/>
      <c r="AZ321" s="179"/>
      <c r="BA321" s="170"/>
      <c r="BB321" s="182"/>
      <c r="BC321" s="182"/>
      <c r="BD321" s="185"/>
      <c r="BE321" s="185"/>
      <c r="BF321" s="159"/>
      <c r="BG321" s="191"/>
    </row>
    <row r="322" spans="1:59" x14ac:dyDescent="0.25">
      <c r="A322" s="167"/>
      <c r="B322" s="195"/>
      <c r="C322" s="161" t="s">
        <v>18</v>
      </c>
      <c r="D322" s="160"/>
      <c r="E322" s="149"/>
      <c r="F322" s="163" t="str">
        <f t="shared" si="443"/>
        <v/>
      </c>
      <c r="G322" s="148"/>
      <c r="H322" s="148"/>
      <c r="I322" s="148"/>
      <c r="J322" s="148"/>
      <c r="K322" s="148"/>
      <c r="L322" s="165" t="str">
        <f t="shared" ref="L322" si="537">IFERROR(VLOOKUP(G322, tabla02, 2, 0), "")</f>
        <v/>
      </c>
      <c r="M322" s="165" t="str">
        <f t="shared" ref="M322" si="538">IFERROR(VLOOKUP(H322, tabla02, 2, 0), "")</f>
        <v/>
      </c>
      <c r="N322" s="165" t="str">
        <f t="shared" ref="N322" si="539">IFERROR(VLOOKUP(I322, tabla02, 2, 0), "")</f>
        <v/>
      </c>
      <c r="O322" s="165" t="str">
        <f t="shared" ref="O322" si="540">IFERROR(VLOOKUP(J322, tabla02, 2, 0), "")</f>
        <v/>
      </c>
      <c r="P322" s="165" t="str">
        <f t="shared" ref="P322" si="541">IFERROR(VLOOKUP(K322, tabla02, 2, 0), "")</f>
        <v/>
      </c>
      <c r="Q322" s="165" t="str">
        <f t="shared" ref="Q322" si="542">IF(SUM(L322:P322)=0, "", MAX(L322:P322))</f>
        <v/>
      </c>
      <c r="R322" s="159" t="str">
        <f>IFERROR(VLOOKUP(Q322, tabla04, 3, 0), "")</f>
        <v/>
      </c>
      <c r="S322" s="148"/>
      <c r="T322" s="148"/>
      <c r="U322" s="148"/>
      <c r="V322" s="148"/>
      <c r="W322" s="148"/>
      <c r="X322" s="163" t="str">
        <f>IFERROR(VLOOKUP(CONCATENATE(F322, "-", Q322), cuadrante_sev, 3, 0), "")</f>
        <v/>
      </c>
      <c r="Y322" s="163" t="str">
        <f t="shared" ref="Y322" si="543">IFERROR(IF(X322="Baja", 1, IF(X322="Moderada", 2, IF(X322="Alta", 3, IF(X322="Extrema", 4, "")))), "")</f>
        <v/>
      </c>
      <c r="Z322" s="172"/>
      <c r="AA322" s="188"/>
      <c r="AB322" s="172"/>
      <c r="AC322" s="172"/>
      <c r="AD322" s="175"/>
      <c r="AE322" s="70" t="s">
        <v>113</v>
      </c>
      <c r="AF322" s="135"/>
      <c r="AG322" s="77"/>
      <c r="AH322" s="61"/>
      <c r="AI322" s="61"/>
      <c r="AJ322" s="61"/>
      <c r="AK322" s="61"/>
      <c r="AL322" s="61"/>
      <c r="AM322" s="82" t="str">
        <f>IFERROR((Tablas!$C$1*VLOOKUP(AH322, tipo_control, 2, 0)+Tablas!$E$1*VLOOKUP(AI322, nat_control, 2, 0)+Tablas!$G$1*VLOOKUP(AJ322, ev_control, 2, 0)+Tablas!$I$1*VLOOKUP(AK322, frec_control, 2, 0)+Tablas!$K$1*VLOOKUP(AL322, doc_control, 2, 0))*0.1*peso_dis, "")</f>
        <v/>
      </c>
      <c r="AN322" s="61"/>
      <c r="AO322" s="61"/>
      <c r="AP322" s="61"/>
      <c r="AQ322" s="82" t="str">
        <f>IFERROR((Tablas!$C$9*VLOOKUP(AN322, amb_control, 2, 0)+Tablas!$E$9*VLOOKUP(AO322, ejec_control, 2, 0)+Tablas!$G$9*VLOOKUP(AP322, cub_control, 2, 0))*0.1*peso_ejec, "")</f>
        <v/>
      </c>
      <c r="AR322" s="96" t="str">
        <f t="shared" si="524"/>
        <v/>
      </c>
      <c r="AS322" s="97" t="str">
        <f t="shared" si="459"/>
        <v/>
      </c>
      <c r="AT322" s="87" t="str">
        <f t="shared" si="460"/>
        <v/>
      </c>
      <c r="AU322" s="97" t="str">
        <f>IF(AR322&lt;Tablas!$G$19, 0, IF(AND(AR322&gt;=Tablas!$G$19, AR322&lt;Tablas!$G$20), 1,  IF(AND(AR322&gt;=Tablas!$G$20, AR322&lt;Tablas!$G$21), 2,  IF(AND(AR322&gt;=Tablas!$G$21, AR322&lt;=Tablas!$G$22), 3,  ""))))</f>
        <v/>
      </c>
      <c r="AV322" s="97" t="str">
        <f t="shared" si="525"/>
        <v/>
      </c>
      <c r="AW322" s="103" t="str">
        <f t="shared" si="526"/>
        <v/>
      </c>
      <c r="AX322" s="176" t="str">
        <f t="shared" ref="AX322" si="544">IFERROR(VLOOKUP(AY322, tabla04, 2, 0), "")</f>
        <v/>
      </c>
      <c r="AY322" s="168" t="str">
        <f>IF(F322="", "", IF((F322-MAX(AV322:AV326))&lt;=0, 1, F322-MAX(AV322:AV326)))</f>
        <v/>
      </c>
      <c r="AZ322" s="178" t="str">
        <f t="shared" ref="AZ322" si="545">IFERROR(VLOOKUP(BA322, tabla04, 3, 0), "")</f>
        <v/>
      </c>
      <c r="BA322" s="168" t="str">
        <f>IF(Q322="", "", IF((Q322-MAX(AW322:AW326))&lt;=0, 1, Q322-MAX(AW322:AW326)))</f>
        <v/>
      </c>
      <c r="BB322" s="182"/>
      <c r="BC322" s="182"/>
      <c r="BD322" s="185"/>
      <c r="BE322" s="185"/>
      <c r="BF322" s="158" t="str">
        <f t="shared" ref="BF322:BF324" si="546">IFERROR(VLOOKUP(CONCATENATE(AY322, "-", BA322), cuadrante_sev, 3, 0), "")</f>
        <v/>
      </c>
      <c r="BG322" s="191"/>
    </row>
    <row r="323" spans="1:59" x14ac:dyDescent="0.25">
      <c r="A323" s="167"/>
      <c r="B323" s="195"/>
      <c r="C323" s="161"/>
      <c r="D323" s="160"/>
      <c r="E323" s="161"/>
      <c r="F323" s="164"/>
      <c r="G323" s="167"/>
      <c r="H323" s="167"/>
      <c r="I323" s="167"/>
      <c r="J323" s="167"/>
      <c r="K323" s="167"/>
      <c r="L323" s="166"/>
      <c r="M323" s="166"/>
      <c r="N323" s="166"/>
      <c r="O323" s="166"/>
      <c r="P323" s="166"/>
      <c r="Q323" s="166"/>
      <c r="R323" s="177"/>
      <c r="S323" s="167"/>
      <c r="T323" s="167"/>
      <c r="U323" s="167"/>
      <c r="V323" s="167"/>
      <c r="W323" s="167"/>
      <c r="X323" s="164"/>
      <c r="Y323" s="164"/>
      <c r="Z323" s="172"/>
      <c r="AA323" s="188"/>
      <c r="AB323" s="172"/>
      <c r="AC323" s="172"/>
      <c r="AD323" s="175"/>
      <c r="AE323" s="62" t="s">
        <v>114</v>
      </c>
      <c r="AF323" s="133"/>
      <c r="AG323" s="65"/>
      <c r="AH323" s="64"/>
      <c r="AI323" s="64"/>
      <c r="AJ323" s="64"/>
      <c r="AK323" s="64"/>
      <c r="AL323" s="64"/>
      <c r="AM323" s="80" t="str">
        <f>IFERROR((Tablas!$C$1*VLOOKUP(AH323, tipo_control, 2, 0)+Tablas!$E$1*VLOOKUP(AI323, nat_control, 2, 0)+Tablas!$G$1*VLOOKUP(AJ323, ev_control, 2, 0)+Tablas!$I$1*VLOOKUP(AK323, frec_control, 2, 0)+Tablas!$K$1*VLOOKUP(AL323, doc_control, 2, 0))*0.1*peso_dis, "")</f>
        <v/>
      </c>
      <c r="AN323" s="64"/>
      <c r="AO323" s="64"/>
      <c r="AP323" s="64"/>
      <c r="AQ323" s="80" t="str">
        <f>IFERROR((Tablas!$C$9*VLOOKUP(AN323, amb_control, 2, 0)+Tablas!$E$9*VLOOKUP(AO323, ejec_control, 2, 0)+Tablas!$G$9*VLOOKUP(AP323, cub_control, 2, 0))*0.1*peso_ejec, "")</f>
        <v/>
      </c>
      <c r="AR323" s="91" t="str">
        <f t="shared" si="524"/>
        <v/>
      </c>
      <c r="AS323" s="85" t="str">
        <f t="shared" si="459"/>
        <v/>
      </c>
      <c r="AT323" s="85" t="str">
        <f t="shared" si="460"/>
        <v/>
      </c>
      <c r="AU323" s="85" t="str">
        <f>IF(AR323&lt;Tablas!$G$19, 0, IF(AND(AR323&gt;=Tablas!$G$19, AR323&lt;Tablas!$G$20), 1,  IF(AND(AR323&gt;=Tablas!$G$20, AR323&lt;Tablas!$G$21), 2,  IF(AND(AR323&gt;=Tablas!$G$21, AR323&lt;=Tablas!$G$22), 3,  ""))))</f>
        <v/>
      </c>
      <c r="AV323" s="85" t="str">
        <f t="shared" si="525"/>
        <v/>
      </c>
      <c r="AW323" s="101" t="str">
        <f t="shared" si="526"/>
        <v/>
      </c>
      <c r="AX323" s="177"/>
      <c r="AY323" s="169"/>
      <c r="AZ323" s="158"/>
      <c r="BA323" s="169"/>
      <c r="BB323" s="182"/>
      <c r="BC323" s="182"/>
      <c r="BD323" s="185"/>
      <c r="BE323" s="185"/>
      <c r="BF323" s="158" t="str">
        <f t="shared" si="546"/>
        <v/>
      </c>
      <c r="BG323" s="191"/>
    </row>
    <row r="324" spans="1:59" x14ac:dyDescent="0.25">
      <c r="A324" s="167"/>
      <c r="B324" s="195"/>
      <c r="C324" s="161"/>
      <c r="D324" s="160"/>
      <c r="E324" s="161"/>
      <c r="F324" s="164"/>
      <c r="G324" s="167"/>
      <c r="H324" s="167"/>
      <c r="I324" s="167"/>
      <c r="J324" s="167"/>
      <c r="K324" s="167"/>
      <c r="L324" s="166"/>
      <c r="M324" s="166"/>
      <c r="N324" s="166"/>
      <c r="O324" s="166"/>
      <c r="P324" s="166"/>
      <c r="Q324" s="166"/>
      <c r="R324" s="177"/>
      <c r="S324" s="167"/>
      <c r="T324" s="167"/>
      <c r="U324" s="167"/>
      <c r="V324" s="167"/>
      <c r="W324" s="167"/>
      <c r="X324" s="164"/>
      <c r="Y324" s="164"/>
      <c r="Z324" s="172"/>
      <c r="AA324" s="188"/>
      <c r="AB324" s="172"/>
      <c r="AC324" s="172"/>
      <c r="AD324" s="175"/>
      <c r="AE324" s="62" t="s">
        <v>115</v>
      </c>
      <c r="AF324" s="133"/>
      <c r="AG324" s="65"/>
      <c r="AH324" s="64"/>
      <c r="AI324" s="64"/>
      <c r="AJ324" s="64"/>
      <c r="AK324" s="64"/>
      <c r="AL324" s="64"/>
      <c r="AM324" s="80" t="str">
        <f>IFERROR((Tablas!$C$1*VLOOKUP(AH324, tipo_control, 2, 0)+Tablas!$E$1*VLOOKUP(AI324, nat_control, 2, 0)+Tablas!$G$1*VLOOKUP(AJ324, ev_control, 2, 0)+Tablas!$I$1*VLOOKUP(AK324, frec_control, 2, 0)+Tablas!$K$1*VLOOKUP(AL324, doc_control, 2, 0))*0.1*peso_dis, "")</f>
        <v/>
      </c>
      <c r="AN324" s="64"/>
      <c r="AO324" s="64"/>
      <c r="AP324" s="64"/>
      <c r="AQ324" s="80" t="str">
        <f>IFERROR((Tablas!$C$9*VLOOKUP(AN324, amb_control, 2, 0)+Tablas!$E$9*VLOOKUP(AO324, ejec_control, 2, 0)+Tablas!$G$9*VLOOKUP(AP324, cub_control, 2, 0))*0.1*peso_ejec, "")</f>
        <v/>
      </c>
      <c r="AR324" s="91" t="str">
        <f t="shared" si="524"/>
        <v/>
      </c>
      <c r="AS324" s="85" t="str">
        <f t="shared" si="459"/>
        <v/>
      </c>
      <c r="AT324" s="85" t="str">
        <f t="shared" si="460"/>
        <v/>
      </c>
      <c r="AU324" s="85" t="str">
        <f>IF(AR324&lt;Tablas!$G$19, 0, IF(AND(AR324&gt;=Tablas!$G$19, AR324&lt;Tablas!$G$20), 1,  IF(AND(AR324&gt;=Tablas!$G$20, AR324&lt;Tablas!$G$21), 2,  IF(AND(AR324&gt;=Tablas!$G$21, AR324&lt;=Tablas!$G$22), 3,  ""))))</f>
        <v/>
      </c>
      <c r="AV324" s="85" t="str">
        <f t="shared" si="525"/>
        <v/>
      </c>
      <c r="AW324" s="101" t="str">
        <f t="shared" si="526"/>
        <v/>
      </c>
      <c r="AX324" s="177"/>
      <c r="AY324" s="169"/>
      <c r="AZ324" s="158"/>
      <c r="BA324" s="169"/>
      <c r="BB324" s="182"/>
      <c r="BC324" s="182"/>
      <c r="BD324" s="185"/>
      <c r="BE324" s="185"/>
      <c r="BF324" s="158" t="str">
        <f t="shared" si="546"/>
        <v/>
      </c>
      <c r="BG324" s="191"/>
    </row>
    <row r="325" spans="1:59" x14ac:dyDescent="0.25">
      <c r="A325" s="167"/>
      <c r="B325" s="195"/>
      <c r="C325" s="161"/>
      <c r="D325" s="160"/>
      <c r="E325" s="161"/>
      <c r="F325" s="164"/>
      <c r="G325" s="167"/>
      <c r="H325" s="167"/>
      <c r="I325" s="167"/>
      <c r="J325" s="167"/>
      <c r="K325" s="167"/>
      <c r="L325" s="166"/>
      <c r="M325" s="166"/>
      <c r="N325" s="166"/>
      <c r="O325" s="166"/>
      <c r="P325" s="166"/>
      <c r="Q325" s="166"/>
      <c r="R325" s="177"/>
      <c r="S325" s="167"/>
      <c r="T325" s="167"/>
      <c r="U325" s="167"/>
      <c r="V325" s="167"/>
      <c r="W325" s="167"/>
      <c r="X325" s="164"/>
      <c r="Y325" s="164"/>
      <c r="Z325" s="172"/>
      <c r="AA325" s="188"/>
      <c r="AB325" s="172"/>
      <c r="AC325" s="172"/>
      <c r="AD325" s="175"/>
      <c r="AE325" s="62" t="s">
        <v>153</v>
      </c>
      <c r="AF325" s="133"/>
      <c r="AG325" s="65"/>
      <c r="AH325" s="64"/>
      <c r="AI325" s="64"/>
      <c r="AJ325" s="64"/>
      <c r="AK325" s="64"/>
      <c r="AL325" s="64"/>
      <c r="AM325" s="80" t="str">
        <f>IFERROR((Tablas!$C$1*VLOOKUP(AH325, tipo_control, 2, 0)+Tablas!$E$1*VLOOKUP(AI325, nat_control, 2, 0)+Tablas!$G$1*VLOOKUP(AJ325, ev_control, 2, 0)+Tablas!$I$1*VLOOKUP(AK325, frec_control, 2, 0)+Tablas!$K$1*VLOOKUP(AL325, doc_control, 2, 0))*0.1*peso_dis, "")</f>
        <v/>
      </c>
      <c r="AN325" s="64"/>
      <c r="AO325" s="64"/>
      <c r="AP325" s="64"/>
      <c r="AQ325" s="80" t="str">
        <f>IFERROR((Tablas!$C$9*VLOOKUP(AN325, amb_control, 2, 0)+Tablas!$E$9*VLOOKUP(AO325, ejec_control, 2, 0)+Tablas!$G$9*VLOOKUP(AP325, cub_control, 2, 0))*0.1*peso_ejec, "")</f>
        <v/>
      </c>
      <c r="AR325" s="91" t="str">
        <f t="shared" si="524"/>
        <v/>
      </c>
      <c r="AS325" s="85" t="str">
        <f t="shared" si="459"/>
        <v/>
      </c>
      <c r="AT325" s="85" t="str">
        <f t="shared" si="460"/>
        <v/>
      </c>
      <c r="AU325" s="85" t="str">
        <f>IF(AR325&lt;Tablas!$G$19, 0, IF(AND(AR325&gt;=Tablas!$G$19, AR325&lt;Tablas!$G$20), 1,  IF(AND(AR325&gt;=Tablas!$G$20, AR325&lt;Tablas!$G$21), 2,  IF(AND(AR325&gt;=Tablas!$G$21, AR325&lt;=Tablas!$G$22), 3,  ""))))</f>
        <v/>
      </c>
      <c r="AV325" s="85" t="str">
        <f t="shared" si="525"/>
        <v/>
      </c>
      <c r="AW325" s="101" t="str">
        <f t="shared" si="526"/>
        <v/>
      </c>
      <c r="AX325" s="177"/>
      <c r="AY325" s="169"/>
      <c r="AZ325" s="158"/>
      <c r="BA325" s="169"/>
      <c r="BB325" s="182"/>
      <c r="BC325" s="182"/>
      <c r="BD325" s="185"/>
      <c r="BE325" s="185"/>
      <c r="BF325" s="158"/>
      <c r="BG325" s="191"/>
    </row>
    <row r="326" spans="1:59" ht="15.75" thickBot="1" x14ac:dyDescent="0.3">
      <c r="A326" s="167"/>
      <c r="B326" s="195"/>
      <c r="C326" s="161"/>
      <c r="D326" s="160"/>
      <c r="E326" s="161"/>
      <c r="F326" s="165"/>
      <c r="G326" s="149"/>
      <c r="H326" s="149"/>
      <c r="I326" s="149"/>
      <c r="J326" s="149"/>
      <c r="K326" s="149"/>
      <c r="L326" s="166"/>
      <c r="M326" s="166"/>
      <c r="N326" s="166"/>
      <c r="O326" s="166"/>
      <c r="P326" s="166"/>
      <c r="Q326" s="166"/>
      <c r="R326" s="177"/>
      <c r="S326" s="149"/>
      <c r="T326" s="149"/>
      <c r="U326" s="149"/>
      <c r="V326" s="149"/>
      <c r="W326" s="149"/>
      <c r="X326" s="165"/>
      <c r="Y326" s="165"/>
      <c r="Z326" s="172"/>
      <c r="AA326" s="188"/>
      <c r="AB326" s="172"/>
      <c r="AC326" s="172"/>
      <c r="AD326" s="175"/>
      <c r="AE326" s="66" t="s">
        <v>154</v>
      </c>
      <c r="AF326" s="134"/>
      <c r="AG326" s="67"/>
      <c r="AH326" s="69"/>
      <c r="AI326" s="69"/>
      <c r="AJ326" s="69"/>
      <c r="AK326" s="69"/>
      <c r="AL326" s="69"/>
      <c r="AM326" s="81" t="str">
        <f>IFERROR((Tablas!$C$1*VLOOKUP(AH326, tipo_control, 2, 0)+Tablas!$E$1*VLOOKUP(AI326, nat_control, 2, 0)+Tablas!$G$1*VLOOKUP(AJ326, ev_control, 2, 0)+Tablas!$I$1*VLOOKUP(AK326, frec_control, 2, 0)+Tablas!$K$1*VLOOKUP(AL326, doc_control, 2, 0))*0.1*peso_dis, "")</f>
        <v/>
      </c>
      <c r="AN326" s="69"/>
      <c r="AO326" s="69"/>
      <c r="AP326" s="69"/>
      <c r="AQ326" s="81" t="str">
        <f>IFERROR((Tablas!$C$9*VLOOKUP(AN326, amb_control, 2, 0)+Tablas!$E$9*VLOOKUP(AO326, ejec_control, 2, 0)+Tablas!$G$9*VLOOKUP(AP326, cub_control, 2, 0))*0.1*peso_ejec, "")</f>
        <v/>
      </c>
      <c r="AR326" s="93" t="str">
        <f t="shared" si="524"/>
        <v/>
      </c>
      <c r="AS326" s="94" t="str">
        <f t="shared" si="459"/>
        <v/>
      </c>
      <c r="AT326" s="94" t="str">
        <f t="shared" si="460"/>
        <v/>
      </c>
      <c r="AU326" s="94" t="str">
        <f>IF(AR326&lt;Tablas!$G$19, 0, IF(AND(AR326&gt;=Tablas!$G$19, AR326&lt;Tablas!$G$20), 1,  IF(AND(AR326&gt;=Tablas!$G$20, AR326&lt;Tablas!$G$21), 2,  IF(AND(AR326&gt;=Tablas!$G$21, AR326&lt;=Tablas!$G$22), 3,  ""))))</f>
        <v/>
      </c>
      <c r="AV326" s="94" t="str">
        <f t="shared" si="525"/>
        <v/>
      </c>
      <c r="AW326" s="102" t="str">
        <f t="shared" si="526"/>
        <v/>
      </c>
      <c r="AX326" s="157"/>
      <c r="AY326" s="170"/>
      <c r="AZ326" s="179"/>
      <c r="BA326" s="170"/>
      <c r="BB326" s="182"/>
      <c r="BC326" s="182"/>
      <c r="BD326" s="185"/>
      <c r="BE326" s="185"/>
      <c r="BF326" s="159"/>
      <c r="BG326" s="191"/>
    </row>
    <row r="327" spans="1:59" x14ac:dyDescent="0.25">
      <c r="A327" s="167"/>
      <c r="B327" s="195"/>
      <c r="C327" s="161" t="s">
        <v>19</v>
      </c>
      <c r="D327" s="160"/>
      <c r="E327" s="149"/>
      <c r="F327" s="163" t="str">
        <f t="shared" si="443"/>
        <v/>
      </c>
      <c r="G327" s="148"/>
      <c r="H327" s="148"/>
      <c r="I327" s="148"/>
      <c r="J327" s="148"/>
      <c r="K327" s="148"/>
      <c r="L327" s="165" t="str">
        <f t="shared" ref="L327" si="547">IFERROR(VLOOKUP(G327, tabla02, 2, 0), "")</f>
        <v/>
      </c>
      <c r="M327" s="165" t="str">
        <f t="shared" ref="M327" si="548">IFERROR(VLOOKUP(H327, tabla02, 2, 0), "")</f>
        <v/>
      </c>
      <c r="N327" s="165" t="str">
        <f t="shared" ref="N327" si="549">IFERROR(VLOOKUP(I327, tabla02, 2, 0), "")</f>
        <v/>
      </c>
      <c r="O327" s="165" t="str">
        <f t="shared" ref="O327" si="550">IFERROR(VLOOKUP(J327, tabla02, 2, 0), "")</f>
        <v/>
      </c>
      <c r="P327" s="165" t="str">
        <f t="shared" ref="P327" si="551">IFERROR(VLOOKUP(K327, tabla02, 2, 0), "")</f>
        <v/>
      </c>
      <c r="Q327" s="165" t="str">
        <f t="shared" ref="Q327" si="552">IF(SUM(L327:P327)=0, "", MAX(L327:P327))</f>
        <v/>
      </c>
      <c r="R327" s="159" t="str">
        <f>IFERROR(VLOOKUP(Q327, tabla04, 3, 0), "")</f>
        <v/>
      </c>
      <c r="S327" s="148"/>
      <c r="T327" s="148"/>
      <c r="U327" s="148"/>
      <c r="V327" s="148"/>
      <c r="W327" s="148"/>
      <c r="X327" s="163" t="str">
        <f>IFERROR(VLOOKUP(CONCATENATE(F327, "-", Q327), cuadrante_sev, 3, 0), "")</f>
        <v/>
      </c>
      <c r="Y327" s="163" t="str">
        <f t="shared" ref="Y327" si="553">IFERROR(IF(X327="Baja", 1, IF(X327="Moderada", 2, IF(X327="Alta", 3, IF(X327="Extrema", 4, "")))), "")</f>
        <v/>
      </c>
      <c r="Z327" s="172"/>
      <c r="AA327" s="188"/>
      <c r="AB327" s="172"/>
      <c r="AC327" s="172"/>
      <c r="AD327" s="175"/>
      <c r="AE327" s="70" t="s">
        <v>113</v>
      </c>
      <c r="AF327" s="135"/>
      <c r="AG327" s="74"/>
      <c r="AH327" s="72"/>
      <c r="AI327" s="72"/>
      <c r="AJ327" s="72"/>
      <c r="AK327" s="72"/>
      <c r="AL327" s="72"/>
      <c r="AM327" s="82" t="str">
        <f>IFERROR((Tablas!$C$1*VLOOKUP(AH327, tipo_control, 2, 0)+Tablas!$E$1*VLOOKUP(AI327, nat_control, 2, 0)+Tablas!$G$1*VLOOKUP(AJ327, ev_control, 2, 0)+Tablas!$I$1*VLOOKUP(AK327, frec_control, 2, 0)+Tablas!$K$1*VLOOKUP(AL327, doc_control, 2, 0))*0.1*peso_dis, "")</f>
        <v/>
      </c>
      <c r="AN327" s="72"/>
      <c r="AO327" s="72"/>
      <c r="AP327" s="72"/>
      <c r="AQ327" s="82" t="str">
        <f>IFERROR((Tablas!$C$9*VLOOKUP(AN327, amb_control, 2, 0)+Tablas!$E$9*VLOOKUP(AO327, ejec_control, 2, 0)+Tablas!$G$9*VLOOKUP(AP327, cub_control, 2, 0))*0.1*peso_ejec, "")</f>
        <v/>
      </c>
      <c r="AR327" s="96" t="str">
        <f t="shared" si="524"/>
        <v/>
      </c>
      <c r="AS327" s="97" t="str">
        <f t="shared" si="459"/>
        <v/>
      </c>
      <c r="AT327" s="87" t="str">
        <f t="shared" si="460"/>
        <v/>
      </c>
      <c r="AU327" s="97" t="str">
        <f>IF(AR327&lt;Tablas!$G$19, 0, IF(AND(AR327&gt;=Tablas!$G$19, AR327&lt;Tablas!$G$20), 1,  IF(AND(AR327&gt;=Tablas!$G$20, AR327&lt;Tablas!$G$21), 2,  IF(AND(AR327&gt;=Tablas!$G$21, AR327&lt;=Tablas!$G$22), 3,  ""))))</f>
        <v/>
      </c>
      <c r="AV327" s="97" t="str">
        <f t="shared" si="525"/>
        <v/>
      </c>
      <c r="AW327" s="103" t="str">
        <f t="shared" si="526"/>
        <v/>
      </c>
      <c r="AX327" s="176" t="str">
        <f t="shared" ref="AX327" si="554">IFERROR(VLOOKUP(AY327, tabla04, 2, 0), "")</f>
        <v/>
      </c>
      <c r="AY327" s="168" t="str">
        <f>IF(F327="", "", IF((F327-MAX(AV327:AV331))&lt;=0, 1, F327-MAX(AV327:AV331)))</f>
        <v/>
      </c>
      <c r="AZ327" s="178" t="str">
        <f t="shared" ref="AZ327" si="555">IFERROR(VLOOKUP(BA327, tabla04, 3, 0), "")</f>
        <v/>
      </c>
      <c r="BA327" s="168" t="str">
        <f>IF(Q327="", "", IF((Q327-MAX(AW327:AW331))&lt;=0, 1, Q327-MAX(AW327:AW331)))</f>
        <v/>
      </c>
      <c r="BB327" s="182"/>
      <c r="BC327" s="182"/>
      <c r="BD327" s="185"/>
      <c r="BE327" s="185"/>
      <c r="BF327" s="158" t="str">
        <f t="shared" ref="BF327:BF329" si="556">IFERROR(VLOOKUP(CONCATENATE(AY327, "-", BA327), cuadrante_sev, 3, 0), "")</f>
        <v/>
      </c>
      <c r="BG327" s="191"/>
    </row>
    <row r="328" spans="1:59" x14ac:dyDescent="0.25">
      <c r="A328" s="167"/>
      <c r="B328" s="195"/>
      <c r="C328" s="161"/>
      <c r="D328" s="160"/>
      <c r="E328" s="161"/>
      <c r="F328" s="164"/>
      <c r="G328" s="167"/>
      <c r="H328" s="167"/>
      <c r="I328" s="167"/>
      <c r="J328" s="167"/>
      <c r="K328" s="167"/>
      <c r="L328" s="166"/>
      <c r="M328" s="166"/>
      <c r="N328" s="166"/>
      <c r="O328" s="166"/>
      <c r="P328" s="166"/>
      <c r="Q328" s="166"/>
      <c r="R328" s="177"/>
      <c r="S328" s="167"/>
      <c r="T328" s="167"/>
      <c r="U328" s="167"/>
      <c r="V328" s="167"/>
      <c r="W328" s="167"/>
      <c r="X328" s="164"/>
      <c r="Y328" s="164"/>
      <c r="Z328" s="172"/>
      <c r="AA328" s="188"/>
      <c r="AB328" s="172"/>
      <c r="AC328" s="172"/>
      <c r="AD328" s="175"/>
      <c r="AE328" s="62" t="s">
        <v>114</v>
      </c>
      <c r="AF328" s="133"/>
      <c r="AG328" s="65"/>
      <c r="AH328" s="64"/>
      <c r="AI328" s="64"/>
      <c r="AJ328" s="64"/>
      <c r="AK328" s="64"/>
      <c r="AL328" s="64"/>
      <c r="AM328" s="80" t="str">
        <f>IFERROR((Tablas!$C$1*VLOOKUP(AH328, tipo_control, 2, 0)+Tablas!$E$1*VLOOKUP(AI328, nat_control, 2, 0)+Tablas!$G$1*VLOOKUP(AJ328, ev_control, 2, 0)+Tablas!$I$1*VLOOKUP(AK328, frec_control, 2, 0)+Tablas!$K$1*VLOOKUP(AL328, doc_control, 2, 0))*0.1*peso_dis, "")</f>
        <v/>
      </c>
      <c r="AN328" s="64"/>
      <c r="AO328" s="64"/>
      <c r="AP328" s="64"/>
      <c r="AQ328" s="80" t="str">
        <f>IFERROR((Tablas!$C$9*VLOOKUP(AN328, amb_control, 2, 0)+Tablas!$E$9*VLOOKUP(AO328, ejec_control, 2, 0)+Tablas!$G$9*VLOOKUP(AP328, cub_control, 2, 0))*0.1*peso_ejec, "")</f>
        <v/>
      </c>
      <c r="AR328" s="91" t="str">
        <f t="shared" si="524"/>
        <v/>
      </c>
      <c r="AS328" s="85" t="str">
        <f t="shared" si="459"/>
        <v/>
      </c>
      <c r="AT328" s="85" t="str">
        <f t="shared" si="460"/>
        <v/>
      </c>
      <c r="AU328" s="85" t="str">
        <f>IF(AR328&lt;Tablas!$G$19, 0, IF(AND(AR328&gt;=Tablas!$G$19, AR328&lt;Tablas!$G$20), 1,  IF(AND(AR328&gt;=Tablas!$G$20, AR328&lt;Tablas!$G$21), 2,  IF(AND(AR328&gt;=Tablas!$G$21, AR328&lt;=Tablas!$G$22), 3,  ""))))</f>
        <v/>
      </c>
      <c r="AV328" s="85" t="str">
        <f t="shared" si="525"/>
        <v/>
      </c>
      <c r="AW328" s="101" t="str">
        <f t="shared" si="526"/>
        <v/>
      </c>
      <c r="AX328" s="177"/>
      <c r="AY328" s="169"/>
      <c r="AZ328" s="158"/>
      <c r="BA328" s="169"/>
      <c r="BB328" s="182"/>
      <c r="BC328" s="182"/>
      <c r="BD328" s="185"/>
      <c r="BE328" s="185"/>
      <c r="BF328" s="158" t="str">
        <f t="shared" si="556"/>
        <v/>
      </c>
      <c r="BG328" s="191"/>
    </row>
    <row r="329" spans="1:59" x14ac:dyDescent="0.25">
      <c r="A329" s="167"/>
      <c r="B329" s="195"/>
      <c r="C329" s="161"/>
      <c r="D329" s="160"/>
      <c r="E329" s="161"/>
      <c r="F329" s="164"/>
      <c r="G329" s="167"/>
      <c r="H329" s="167"/>
      <c r="I329" s="167"/>
      <c r="J329" s="167"/>
      <c r="K329" s="167"/>
      <c r="L329" s="166"/>
      <c r="M329" s="166"/>
      <c r="N329" s="166"/>
      <c r="O329" s="166"/>
      <c r="P329" s="166"/>
      <c r="Q329" s="166"/>
      <c r="R329" s="177"/>
      <c r="S329" s="167"/>
      <c r="T329" s="167"/>
      <c r="U329" s="167"/>
      <c r="V329" s="167"/>
      <c r="W329" s="167"/>
      <c r="X329" s="164"/>
      <c r="Y329" s="164"/>
      <c r="Z329" s="172"/>
      <c r="AA329" s="188"/>
      <c r="AB329" s="172"/>
      <c r="AC329" s="172"/>
      <c r="AD329" s="175"/>
      <c r="AE329" s="62" t="s">
        <v>115</v>
      </c>
      <c r="AF329" s="133"/>
      <c r="AG329" s="65"/>
      <c r="AH329" s="64"/>
      <c r="AI329" s="64"/>
      <c r="AJ329" s="64"/>
      <c r="AK329" s="64"/>
      <c r="AL329" s="64"/>
      <c r="AM329" s="80" t="str">
        <f>IFERROR((Tablas!$C$1*VLOOKUP(AH329, tipo_control, 2, 0)+Tablas!$E$1*VLOOKUP(AI329, nat_control, 2, 0)+Tablas!$G$1*VLOOKUP(AJ329, ev_control, 2, 0)+Tablas!$I$1*VLOOKUP(AK329, frec_control, 2, 0)+Tablas!$K$1*VLOOKUP(AL329, doc_control, 2, 0))*0.1*peso_dis, "")</f>
        <v/>
      </c>
      <c r="AN329" s="64"/>
      <c r="AO329" s="64"/>
      <c r="AP329" s="64"/>
      <c r="AQ329" s="80" t="str">
        <f>IFERROR((Tablas!$C$9*VLOOKUP(AN329, amb_control, 2, 0)+Tablas!$E$9*VLOOKUP(AO329, ejec_control, 2, 0)+Tablas!$G$9*VLOOKUP(AP329, cub_control, 2, 0))*0.1*peso_ejec, "")</f>
        <v/>
      </c>
      <c r="AR329" s="91" t="str">
        <f t="shared" si="524"/>
        <v/>
      </c>
      <c r="AS329" s="85" t="str">
        <f t="shared" si="459"/>
        <v/>
      </c>
      <c r="AT329" s="85" t="str">
        <f t="shared" si="460"/>
        <v/>
      </c>
      <c r="AU329" s="85" t="str">
        <f>IF(AR329&lt;Tablas!$G$19, 0, IF(AND(AR329&gt;=Tablas!$G$19, AR329&lt;Tablas!$G$20), 1,  IF(AND(AR329&gt;=Tablas!$G$20, AR329&lt;Tablas!$G$21), 2,  IF(AND(AR329&gt;=Tablas!$G$21, AR329&lt;=Tablas!$G$22), 3,  ""))))</f>
        <v/>
      </c>
      <c r="AV329" s="85" t="str">
        <f t="shared" si="525"/>
        <v/>
      </c>
      <c r="AW329" s="101" t="str">
        <f t="shared" si="526"/>
        <v/>
      </c>
      <c r="AX329" s="177"/>
      <c r="AY329" s="169"/>
      <c r="AZ329" s="158"/>
      <c r="BA329" s="169"/>
      <c r="BB329" s="182"/>
      <c r="BC329" s="182"/>
      <c r="BD329" s="185"/>
      <c r="BE329" s="185"/>
      <c r="BF329" s="158" t="str">
        <f t="shared" si="556"/>
        <v/>
      </c>
      <c r="BG329" s="191"/>
    </row>
    <row r="330" spans="1:59" x14ac:dyDescent="0.25">
      <c r="A330" s="167"/>
      <c r="B330" s="195"/>
      <c r="C330" s="161"/>
      <c r="D330" s="160"/>
      <c r="E330" s="161"/>
      <c r="F330" s="164"/>
      <c r="G330" s="167"/>
      <c r="H330" s="167"/>
      <c r="I330" s="167"/>
      <c r="J330" s="167"/>
      <c r="K330" s="167"/>
      <c r="L330" s="166"/>
      <c r="M330" s="166"/>
      <c r="N330" s="166"/>
      <c r="O330" s="166"/>
      <c r="P330" s="166"/>
      <c r="Q330" s="166"/>
      <c r="R330" s="177"/>
      <c r="S330" s="167"/>
      <c r="T330" s="167"/>
      <c r="U330" s="167"/>
      <c r="V330" s="167"/>
      <c r="W330" s="167"/>
      <c r="X330" s="164"/>
      <c r="Y330" s="164"/>
      <c r="Z330" s="172"/>
      <c r="AA330" s="188"/>
      <c r="AB330" s="172"/>
      <c r="AC330" s="172"/>
      <c r="AD330" s="175"/>
      <c r="AE330" s="62" t="s">
        <v>153</v>
      </c>
      <c r="AF330" s="133"/>
      <c r="AG330" s="65"/>
      <c r="AH330" s="64"/>
      <c r="AI330" s="64"/>
      <c r="AJ330" s="64"/>
      <c r="AK330" s="64"/>
      <c r="AL330" s="64"/>
      <c r="AM330" s="80" t="str">
        <f>IFERROR((Tablas!$C$1*VLOOKUP(AH330, tipo_control, 2, 0)+Tablas!$E$1*VLOOKUP(AI330, nat_control, 2, 0)+Tablas!$G$1*VLOOKUP(AJ330, ev_control, 2, 0)+Tablas!$I$1*VLOOKUP(AK330, frec_control, 2, 0)+Tablas!$K$1*VLOOKUP(AL330, doc_control, 2, 0))*0.1*peso_dis, "")</f>
        <v/>
      </c>
      <c r="AN330" s="64"/>
      <c r="AO330" s="64"/>
      <c r="AP330" s="64"/>
      <c r="AQ330" s="80" t="str">
        <f>IFERROR((Tablas!$C$9*VLOOKUP(AN330, amb_control, 2, 0)+Tablas!$E$9*VLOOKUP(AO330, ejec_control, 2, 0)+Tablas!$G$9*VLOOKUP(AP330, cub_control, 2, 0))*0.1*peso_ejec, "")</f>
        <v/>
      </c>
      <c r="AR330" s="91" t="str">
        <f t="shared" si="524"/>
        <v/>
      </c>
      <c r="AS330" s="85" t="str">
        <f t="shared" si="459"/>
        <v/>
      </c>
      <c r="AT330" s="85" t="str">
        <f t="shared" si="460"/>
        <v/>
      </c>
      <c r="AU330" s="85" t="str">
        <f>IF(AR330&lt;Tablas!$G$19, 0, IF(AND(AR330&gt;=Tablas!$G$19, AR330&lt;Tablas!$G$20), 1,  IF(AND(AR330&gt;=Tablas!$G$20, AR330&lt;Tablas!$G$21), 2,  IF(AND(AR330&gt;=Tablas!$G$21, AR330&lt;=Tablas!$G$22), 3,  ""))))</f>
        <v/>
      </c>
      <c r="AV330" s="85" t="str">
        <f t="shared" si="525"/>
        <v/>
      </c>
      <c r="AW330" s="101" t="str">
        <f t="shared" si="526"/>
        <v/>
      </c>
      <c r="AX330" s="177"/>
      <c r="AY330" s="169"/>
      <c r="AZ330" s="158"/>
      <c r="BA330" s="169"/>
      <c r="BB330" s="182"/>
      <c r="BC330" s="182"/>
      <c r="BD330" s="185"/>
      <c r="BE330" s="185"/>
      <c r="BF330" s="158"/>
      <c r="BG330" s="191"/>
    </row>
    <row r="331" spans="1:59" ht="15.75" thickBot="1" x14ac:dyDescent="0.3">
      <c r="A331" s="167"/>
      <c r="B331" s="195"/>
      <c r="C331" s="161"/>
      <c r="D331" s="160"/>
      <c r="E331" s="161"/>
      <c r="F331" s="165"/>
      <c r="G331" s="149"/>
      <c r="H331" s="149"/>
      <c r="I331" s="149"/>
      <c r="J331" s="149"/>
      <c r="K331" s="149"/>
      <c r="L331" s="166"/>
      <c r="M331" s="166"/>
      <c r="N331" s="166"/>
      <c r="O331" s="166"/>
      <c r="P331" s="166"/>
      <c r="Q331" s="166"/>
      <c r="R331" s="177"/>
      <c r="S331" s="149"/>
      <c r="T331" s="149"/>
      <c r="U331" s="149"/>
      <c r="V331" s="149"/>
      <c r="W331" s="149"/>
      <c r="X331" s="165"/>
      <c r="Y331" s="165"/>
      <c r="Z331" s="172"/>
      <c r="AA331" s="188"/>
      <c r="AB331" s="172"/>
      <c r="AC331" s="172"/>
      <c r="AD331" s="175"/>
      <c r="AE331" s="66" t="s">
        <v>154</v>
      </c>
      <c r="AF331" s="134"/>
      <c r="AG331" s="67"/>
      <c r="AH331" s="69"/>
      <c r="AI331" s="69"/>
      <c r="AJ331" s="69"/>
      <c r="AK331" s="69"/>
      <c r="AL331" s="69"/>
      <c r="AM331" s="81" t="str">
        <f>IFERROR((Tablas!$C$1*VLOOKUP(AH331, tipo_control, 2, 0)+Tablas!$E$1*VLOOKUP(AI331, nat_control, 2, 0)+Tablas!$G$1*VLOOKUP(AJ331, ev_control, 2, 0)+Tablas!$I$1*VLOOKUP(AK331, frec_control, 2, 0)+Tablas!$K$1*VLOOKUP(AL331, doc_control, 2, 0))*0.1*peso_dis, "")</f>
        <v/>
      </c>
      <c r="AN331" s="69"/>
      <c r="AO331" s="69"/>
      <c r="AP331" s="69"/>
      <c r="AQ331" s="81" t="str">
        <f>IFERROR((Tablas!$C$9*VLOOKUP(AN331, amb_control, 2, 0)+Tablas!$E$9*VLOOKUP(AO331, ejec_control, 2, 0)+Tablas!$G$9*VLOOKUP(AP331, cub_control, 2, 0))*0.1*peso_ejec, "")</f>
        <v/>
      </c>
      <c r="AR331" s="93" t="str">
        <f t="shared" si="524"/>
        <v/>
      </c>
      <c r="AS331" s="94" t="str">
        <f t="shared" si="459"/>
        <v/>
      </c>
      <c r="AT331" s="94" t="str">
        <f t="shared" si="460"/>
        <v/>
      </c>
      <c r="AU331" s="94" t="str">
        <f>IF(AR331&lt;Tablas!$G$19, 0, IF(AND(AR331&gt;=Tablas!$G$19, AR331&lt;Tablas!$G$20), 1,  IF(AND(AR331&gt;=Tablas!$G$20, AR331&lt;Tablas!$G$21), 2,  IF(AND(AR331&gt;=Tablas!$G$21, AR331&lt;=Tablas!$G$22), 3,  ""))))</f>
        <v/>
      </c>
      <c r="AV331" s="94" t="str">
        <f t="shared" si="525"/>
        <v/>
      </c>
      <c r="AW331" s="102" t="str">
        <f t="shared" si="526"/>
        <v/>
      </c>
      <c r="AX331" s="157"/>
      <c r="AY331" s="170"/>
      <c r="AZ331" s="179"/>
      <c r="BA331" s="170"/>
      <c r="BB331" s="182"/>
      <c r="BC331" s="182"/>
      <c r="BD331" s="185"/>
      <c r="BE331" s="185"/>
      <c r="BF331" s="159"/>
      <c r="BG331" s="191"/>
    </row>
    <row r="332" spans="1:59" x14ac:dyDescent="0.25">
      <c r="A332" s="167"/>
      <c r="B332" s="195"/>
      <c r="C332" s="161" t="s">
        <v>20</v>
      </c>
      <c r="D332" s="160"/>
      <c r="E332" s="149"/>
      <c r="F332" s="163" t="str">
        <f t="shared" ref="F332:F392" si="557">IFERROR(VLOOKUP(E332, tabla01, 3, 0), "")</f>
        <v/>
      </c>
      <c r="G332" s="148"/>
      <c r="H332" s="148"/>
      <c r="I332" s="148"/>
      <c r="J332" s="148"/>
      <c r="K332" s="148"/>
      <c r="L332" s="165" t="str">
        <f t="shared" ref="L332" si="558">IFERROR(VLOOKUP(G332, tabla02, 2, 0), "")</f>
        <v/>
      </c>
      <c r="M332" s="165" t="str">
        <f t="shared" ref="M332" si="559">IFERROR(VLOOKUP(H332, tabla02, 2, 0), "")</f>
        <v/>
      </c>
      <c r="N332" s="165" t="str">
        <f t="shared" ref="N332" si="560">IFERROR(VLOOKUP(I332, tabla02, 2, 0), "")</f>
        <v/>
      </c>
      <c r="O332" s="165" t="str">
        <f t="shared" ref="O332" si="561">IFERROR(VLOOKUP(J332, tabla02, 2, 0), "")</f>
        <v/>
      </c>
      <c r="P332" s="165" t="str">
        <f t="shared" ref="P332" si="562">IFERROR(VLOOKUP(K332, tabla02, 2, 0), "")</f>
        <v/>
      </c>
      <c r="Q332" s="165" t="str">
        <f t="shared" ref="Q332" si="563">IF(SUM(L332:P332)=0, "", MAX(L332:P332))</f>
        <v/>
      </c>
      <c r="R332" s="159" t="str">
        <f>IFERROR(VLOOKUP(Q332, tabla04, 3, 0), "")</f>
        <v/>
      </c>
      <c r="S332" s="148"/>
      <c r="T332" s="148"/>
      <c r="U332" s="148"/>
      <c r="V332" s="148"/>
      <c r="W332" s="148"/>
      <c r="X332" s="163" t="str">
        <f>IFERROR(VLOOKUP(CONCATENATE(F332, "-", Q332), cuadrante_sev, 3, 0), "")</f>
        <v/>
      </c>
      <c r="Y332" s="163" t="str">
        <f t="shared" ref="Y332" si="564">IFERROR(IF(X332="Baja", 1, IF(X332="Moderada", 2, IF(X332="Alta", 3, IF(X332="Extrema", 4, "")))), "")</f>
        <v/>
      </c>
      <c r="Z332" s="172"/>
      <c r="AA332" s="188"/>
      <c r="AB332" s="172"/>
      <c r="AC332" s="172"/>
      <c r="AD332" s="175"/>
      <c r="AE332" s="70" t="s">
        <v>113</v>
      </c>
      <c r="AF332" s="135"/>
      <c r="AG332" s="74"/>
      <c r="AH332" s="72"/>
      <c r="AI332" s="72"/>
      <c r="AJ332" s="72"/>
      <c r="AK332" s="72"/>
      <c r="AL332" s="72"/>
      <c r="AM332" s="82" t="str">
        <f>IFERROR((Tablas!$C$1*VLOOKUP(AH332, tipo_control, 2, 0)+Tablas!$E$1*VLOOKUP(AI332, nat_control, 2, 0)+Tablas!$G$1*VLOOKUP(AJ332, ev_control, 2, 0)+Tablas!$I$1*VLOOKUP(AK332, frec_control, 2, 0)+Tablas!$K$1*VLOOKUP(AL332, doc_control, 2, 0))*0.1*peso_dis, "")</f>
        <v/>
      </c>
      <c r="AN332" s="72"/>
      <c r="AO332" s="72"/>
      <c r="AP332" s="72"/>
      <c r="AQ332" s="82" t="str">
        <f>IFERROR((Tablas!$C$9*VLOOKUP(AN332, amb_control, 2, 0)+Tablas!$E$9*VLOOKUP(AO332, ejec_control, 2, 0)+Tablas!$G$9*VLOOKUP(AP332, cub_control, 2, 0))*0.1*peso_ejec, "")</f>
        <v/>
      </c>
      <c r="AR332" s="96" t="str">
        <f t="shared" si="524"/>
        <v/>
      </c>
      <c r="AS332" s="97" t="str">
        <f t="shared" si="459"/>
        <v/>
      </c>
      <c r="AT332" s="87" t="str">
        <f t="shared" si="460"/>
        <v/>
      </c>
      <c r="AU332" s="97" t="str">
        <f>IF(AR332&lt;Tablas!$G$19, 0, IF(AND(AR332&gt;=Tablas!$G$19, AR332&lt;Tablas!$G$20), 1,  IF(AND(AR332&gt;=Tablas!$G$20, AR332&lt;Tablas!$G$21), 2,  IF(AND(AR332&gt;=Tablas!$G$21, AR332&lt;=Tablas!$G$22), 3,  ""))))</f>
        <v/>
      </c>
      <c r="AV332" s="97" t="str">
        <f t="shared" si="525"/>
        <v/>
      </c>
      <c r="AW332" s="103" t="str">
        <f t="shared" si="526"/>
        <v/>
      </c>
      <c r="AX332" s="176" t="str">
        <f t="shared" ref="AX332" si="565">IFERROR(VLOOKUP(AY332, tabla04, 2, 0), "")</f>
        <v/>
      </c>
      <c r="AY332" s="168" t="str">
        <f>IF(F332="", "", IF((F332-MAX(AV332:AV336))&lt;=0, 1, F332-MAX(AV332:AV336)))</f>
        <v/>
      </c>
      <c r="AZ332" s="178" t="str">
        <f t="shared" ref="AZ332" si="566">IFERROR(VLOOKUP(BA332, tabla04, 3, 0), "")</f>
        <v/>
      </c>
      <c r="BA332" s="168" t="str">
        <f>IF(Q332="", "", IF((Q332-MAX(AW332:AW336))&lt;=0, 1, Q332-MAX(AW332:AW336)))</f>
        <v/>
      </c>
      <c r="BB332" s="182"/>
      <c r="BC332" s="182"/>
      <c r="BD332" s="185"/>
      <c r="BE332" s="185"/>
      <c r="BF332" s="158" t="str">
        <f t="shared" ref="BF332:BF334" si="567">IFERROR(VLOOKUP(CONCATENATE(AY332, "-", BA332), cuadrante_sev, 3, 0), "")</f>
        <v/>
      </c>
      <c r="BG332" s="191"/>
    </row>
    <row r="333" spans="1:59" x14ac:dyDescent="0.25">
      <c r="A333" s="167"/>
      <c r="B333" s="195"/>
      <c r="C333" s="161"/>
      <c r="D333" s="160"/>
      <c r="E333" s="161"/>
      <c r="F333" s="164"/>
      <c r="G333" s="167"/>
      <c r="H333" s="167"/>
      <c r="I333" s="167"/>
      <c r="J333" s="167"/>
      <c r="K333" s="167"/>
      <c r="L333" s="166"/>
      <c r="M333" s="166"/>
      <c r="N333" s="166"/>
      <c r="O333" s="166"/>
      <c r="P333" s="166"/>
      <c r="Q333" s="166"/>
      <c r="R333" s="177"/>
      <c r="S333" s="167"/>
      <c r="T333" s="167"/>
      <c r="U333" s="167"/>
      <c r="V333" s="167"/>
      <c r="W333" s="167"/>
      <c r="X333" s="164"/>
      <c r="Y333" s="164"/>
      <c r="Z333" s="172"/>
      <c r="AA333" s="188"/>
      <c r="AB333" s="172"/>
      <c r="AC333" s="172"/>
      <c r="AD333" s="175"/>
      <c r="AE333" s="62" t="s">
        <v>114</v>
      </c>
      <c r="AF333" s="133"/>
      <c r="AG333" s="65"/>
      <c r="AH333" s="64"/>
      <c r="AI333" s="64"/>
      <c r="AJ333" s="64"/>
      <c r="AK333" s="64"/>
      <c r="AL333" s="64"/>
      <c r="AM333" s="80" t="str">
        <f>IFERROR((Tablas!$C$1*VLOOKUP(AH333, tipo_control, 2, 0)+Tablas!$E$1*VLOOKUP(AI333, nat_control, 2, 0)+Tablas!$G$1*VLOOKUP(AJ333, ev_control, 2, 0)+Tablas!$I$1*VLOOKUP(AK333, frec_control, 2, 0)+Tablas!$K$1*VLOOKUP(AL333, doc_control, 2, 0))*0.1*peso_dis, "")</f>
        <v/>
      </c>
      <c r="AN333" s="64"/>
      <c r="AO333" s="64"/>
      <c r="AP333" s="64"/>
      <c r="AQ333" s="80" t="str">
        <f>IFERROR((Tablas!$C$9*VLOOKUP(AN333, amb_control, 2, 0)+Tablas!$E$9*VLOOKUP(AO333, ejec_control, 2, 0)+Tablas!$G$9*VLOOKUP(AP333, cub_control, 2, 0))*0.1*peso_ejec, "")</f>
        <v/>
      </c>
      <c r="AR333" s="91" t="str">
        <f t="shared" si="524"/>
        <v/>
      </c>
      <c r="AS333" s="85" t="str">
        <f t="shared" si="459"/>
        <v/>
      </c>
      <c r="AT333" s="85" t="str">
        <f t="shared" si="460"/>
        <v/>
      </c>
      <c r="AU333" s="85" t="str">
        <f>IF(AR333&lt;Tablas!$G$19, 0, IF(AND(AR333&gt;=Tablas!$G$19, AR333&lt;Tablas!$G$20), 1,  IF(AND(AR333&gt;=Tablas!$G$20, AR333&lt;Tablas!$G$21), 2,  IF(AND(AR333&gt;=Tablas!$G$21, AR333&lt;=Tablas!$G$22), 3,  ""))))</f>
        <v/>
      </c>
      <c r="AV333" s="85" t="str">
        <f t="shared" si="525"/>
        <v/>
      </c>
      <c r="AW333" s="101" t="str">
        <f t="shared" si="526"/>
        <v/>
      </c>
      <c r="AX333" s="177"/>
      <c r="AY333" s="169"/>
      <c r="AZ333" s="158"/>
      <c r="BA333" s="169"/>
      <c r="BB333" s="182"/>
      <c r="BC333" s="182"/>
      <c r="BD333" s="185"/>
      <c r="BE333" s="185"/>
      <c r="BF333" s="158" t="str">
        <f t="shared" si="567"/>
        <v/>
      </c>
      <c r="BG333" s="191"/>
    </row>
    <row r="334" spans="1:59" x14ac:dyDescent="0.25">
      <c r="A334" s="167"/>
      <c r="B334" s="195"/>
      <c r="C334" s="161"/>
      <c r="D334" s="160"/>
      <c r="E334" s="161"/>
      <c r="F334" s="164"/>
      <c r="G334" s="167"/>
      <c r="H334" s="167"/>
      <c r="I334" s="167"/>
      <c r="J334" s="167"/>
      <c r="K334" s="167"/>
      <c r="L334" s="166"/>
      <c r="M334" s="166"/>
      <c r="N334" s="166"/>
      <c r="O334" s="166"/>
      <c r="P334" s="166"/>
      <c r="Q334" s="166"/>
      <c r="R334" s="177"/>
      <c r="S334" s="167"/>
      <c r="T334" s="167"/>
      <c r="U334" s="167"/>
      <c r="V334" s="167"/>
      <c r="W334" s="167"/>
      <c r="X334" s="164"/>
      <c r="Y334" s="164"/>
      <c r="Z334" s="172"/>
      <c r="AA334" s="188"/>
      <c r="AB334" s="172"/>
      <c r="AC334" s="172"/>
      <c r="AD334" s="175"/>
      <c r="AE334" s="62" t="s">
        <v>115</v>
      </c>
      <c r="AF334" s="133"/>
      <c r="AG334" s="65"/>
      <c r="AH334" s="64"/>
      <c r="AI334" s="64"/>
      <c r="AJ334" s="64"/>
      <c r="AK334" s="64"/>
      <c r="AL334" s="64"/>
      <c r="AM334" s="80" t="str">
        <f>IFERROR((Tablas!$C$1*VLOOKUP(AH334, tipo_control, 2, 0)+Tablas!$E$1*VLOOKUP(AI334, nat_control, 2, 0)+Tablas!$G$1*VLOOKUP(AJ334, ev_control, 2, 0)+Tablas!$I$1*VLOOKUP(AK334, frec_control, 2, 0)+Tablas!$K$1*VLOOKUP(AL334, doc_control, 2, 0))*0.1*peso_dis, "")</f>
        <v/>
      </c>
      <c r="AN334" s="64"/>
      <c r="AO334" s="64"/>
      <c r="AP334" s="64"/>
      <c r="AQ334" s="80" t="str">
        <f>IFERROR((Tablas!$C$9*VLOOKUP(AN334, amb_control, 2, 0)+Tablas!$E$9*VLOOKUP(AO334, ejec_control, 2, 0)+Tablas!$G$9*VLOOKUP(AP334, cub_control, 2, 0))*0.1*peso_ejec, "")</f>
        <v/>
      </c>
      <c r="AR334" s="91" t="str">
        <f t="shared" si="524"/>
        <v/>
      </c>
      <c r="AS334" s="85" t="str">
        <f t="shared" si="459"/>
        <v/>
      </c>
      <c r="AT334" s="85" t="str">
        <f t="shared" si="460"/>
        <v/>
      </c>
      <c r="AU334" s="85" t="str">
        <f>IF(AR334&lt;Tablas!$G$19, 0, IF(AND(AR334&gt;=Tablas!$G$19, AR334&lt;Tablas!$G$20), 1,  IF(AND(AR334&gt;=Tablas!$G$20, AR334&lt;Tablas!$G$21), 2,  IF(AND(AR334&gt;=Tablas!$G$21, AR334&lt;=Tablas!$G$22), 3,  ""))))</f>
        <v/>
      </c>
      <c r="AV334" s="85" t="str">
        <f t="shared" si="525"/>
        <v/>
      </c>
      <c r="AW334" s="101" t="str">
        <f t="shared" si="526"/>
        <v/>
      </c>
      <c r="AX334" s="177"/>
      <c r="AY334" s="169"/>
      <c r="AZ334" s="158"/>
      <c r="BA334" s="169"/>
      <c r="BB334" s="182"/>
      <c r="BC334" s="182"/>
      <c r="BD334" s="185"/>
      <c r="BE334" s="185"/>
      <c r="BF334" s="158" t="str">
        <f t="shared" si="567"/>
        <v/>
      </c>
      <c r="BG334" s="191"/>
    </row>
    <row r="335" spans="1:59" x14ac:dyDescent="0.25">
      <c r="A335" s="167"/>
      <c r="B335" s="195"/>
      <c r="C335" s="161"/>
      <c r="D335" s="160"/>
      <c r="E335" s="161"/>
      <c r="F335" s="164"/>
      <c r="G335" s="167"/>
      <c r="H335" s="167"/>
      <c r="I335" s="167"/>
      <c r="J335" s="167"/>
      <c r="K335" s="167"/>
      <c r="L335" s="166"/>
      <c r="M335" s="166"/>
      <c r="N335" s="166"/>
      <c r="O335" s="166"/>
      <c r="P335" s="166"/>
      <c r="Q335" s="166"/>
      <c r="R335" s="177"/>
      <c r="S335" s="167"/>
      <c r="T335" s="167"/>
      <c r="U335" s="167"/>
      <c r="V335" s="167"/>
      <c r="W335" s="167"/>
      <c r="X335" s="164"/>
      <c r="Y335" s="164"/>
      <c r="Z335" s="172"/>
      <c r="AA335" s="188"/>
      <c r="AB335" s="172"/>
      <c r="AC335" s="172"/>
      <c r="AD335" s="175"/>
      <c r="AE335" s="62" t="s">
        <v>153</v>
      </c>
      <c r="AF335" s="133"/>
      <c r="AG335" s="65"/>
      <c r="AH335" s="64"/>
      <c r="AI335" s="64"/>
      <c r="AJ335" s="64"/>
      <c r="AK335" s="64"/>
      <c r="AL335" s="64"/>
      <c r="AM335" s="80" t="str">
        <f>IFERROR((Tablas!$C$1*VLOOKUP(AH335, tipo_control, 2, 0)+Tablas!$E$1*VLOOKUP(AI335, nat_control, 2, 0)+Tablas!$G$1*VLOOKUP(AJ335, ev_control, 2, 0)+Tablas!$I$1*VLOOKUP(AK335, frec_control, 2, 0)+Tablas!$K$1*VLOOKUP(AL335, doc_control, 2, 0))*0.1*peso_dis, "")</f>
        <v/>
      </c>
      <c r="AN335" s="64"/>
      <c r="AO335" s="64"/>
      <c r="AP335" s="64"/>
      <c r="AQ335" s="80" t="str">
        <f>IFERROR((Tablas!$C$9*VLOOKUP(AN335, amb_control, 2, 0)+Tablas!$E$9*VLOOKUP(AO335, ejec_control, 2, 0)+Tablas!$G$9*VLOOKUP(AP335, cub_control, 2, 0))*0.1*peso_ejec, "")</f>
        <v/>
      </c>
      <c r="AR335" s="91" t="str">
        <f t="shared" si="524"/>
        <v/>
      </c>
      <c r="AS335" s="85" t="str">
        <f t="shared" si="459"/>
        <v/>
      </c>
      <c r="AT335" s="85" t="str">
        <f t="shared" si="460"/>
        <v/>
      </c>
      <c r="AU335" s="85" t="str">
        <f>IF(AR335&lt;Tablas!$G$19, 0, IF(AND(AR335&gt;=Tablas!$G$19, AR335&lt;Tablas!$G$20), 1,  IF(AND(AR335&gt;=Tablas!$G$20, AR335&lt;Tablas!$G$21), 2,  IF(AND(AR335&gt;=Tablas!$G$21, AR335&lt;=Tablas!$G$22), 3,  ""))))</f>
        <v/>
      </c>
      <c r="AV335" s="85" t="str">
        <f t="shared" si="525"/>
        <v/>
      </c>
      <c r="AW335" s="101" t="str">
        <f t="shared" si="526"/>
        <v/>
      </c>
      <c r="AX335" s="177"/>
      <c r="AY335" s="169"/>
      <c r="AZ335" s="158"/>
      <c r="BA335" s="169"/>
      <c r="BB335" s="182"/>
      <c r="BC335" s="182"/>
      <c r="BD335" s="185"/>
      <c r="BE335" s="185"/>
      <c r="BF335" s="158"/>
      <c r="BG335" s="191"/>
    </row>
    <row r="336" spans="1:59" ht="15.75" thickBot="1" x14ac:dyDescent="0.3">
      <c r="A336" s="167"/>
      <c r="B336" s="195"/>
      <c r="C336" s="161"/>
      <c r="D336" s="160"/>
      <c r="E336" s="161"/>
      <c r="F336" s="165"/>
      <c r="G336" s="149"/>
      <c r="H336" s="149"/>
      <c r="I336" s="149"/>
      <c r="J336" s="149"/>
      <c r="K336" s="149"/>
      <c r="L336" s="166"/>
      <c r="M336" s="166"/>
      <c r="N336" s="166"/>
      <c r="O336" s="166"/>
      <c r="P336" s="166"/>
      <c r="Q336" s="166"/>
      <c r="R336" s="177"/>
      <c r="S336" s="149"/>
      <c r="T336" s="149"/>
      <c r="U336" s="149"/>
      <c r="V336" s="149"/>
      <c r="W336" s="149"/>
      <c r="X336" s="165"/>
      <c r="Y336" s="165"/>
      <c r="Z336" s="172"/>
      <c r="AA336" s="188"/>
      <c r="AB336" s="172"/>
      <c r="AC336" s="172"/>
      <c r="AD336" s="175"/>
      <c r="AE336" s="66" t="s">
        <v>154</v>
      </c>
      <c r="AF336" s="134"/>
      <c r="AG336" s="67"/>
      <c r="AH336" s="69"/>
      <c r="AI336" s="69"/>
      <c r="AJ336" s="69"/>
      <c r="AK336" s="69"/>
      <c r="AL336" s="69"/>
      <c r="AM336" s="81" t="str">
        <f>IFERROR((Tablas!$C$1*VLOOKUP(AH336, tipo_control, 2, 0)+Tablas!$E$1*VLOOKUP(AI336, nat_control, 2, 0)+Tablas!$G$1*VLOOKUP(AJ336, ev_control, 2, 0)+Tablas!$I$1*VLOOKUP(AK336, frec_control, 2, 0)+Tablas!$K$1*VLOOKUP(AL336, doc_control, 2, 0))*0.1*peso_dis, "")</f>
        <v/>
      </c>
      <c r="AN336" s="69"/>
      <c r="AO336" s="69"/>
      <c r="AP336" s="69"/>
      <c r="AQ336" s="81" t="str">
        <f>IFERROR((Tablas!$C$9*VLOOKUP(AN336, amb_control, 2, 0)+Tablas!$E$9*VLOOKUP(AO336, ejec_control, 2, 0)+Tablas!$G$9*VLOOKUP(AP336, cub_control, 2, 0))*0.1*peso_ejec, "")</f>
        <v/>
      </c>
      <c r="AR336" s="93" t="str">
        <f t="shared" si="524"/>
        <v/>
      </c>
      <c r="AS336" s="94" t="str">
        <f t="shared" si="459"/>
        <v/>
      </c>
      <c r="AT336" s="94" t="str">
        <f t="shared" si="460"/>
        <v/>
      </c>
      <c r="AU336" s="94" t="str">
        <f>IF(AR336&lt;Tablas!$G$19, 0, IF(AND(AR336&gt;=Tablas!$G$19, AR336&lt;Tablas!$G$20), 1,  IF(AND(AR336&gt;=Tablas!$G$20, AR336&lt;Tablas!$G$21), 2,  IF(AND(AR336&gt;=Tablas!$G$21, AR336&lt;=Tablas!$G$22), 3,  ""))))</f>
        <v/>
      </c>
      <c r="AV336" s="94" t="str">
        <f t="shared" si="525"/>
        <v/>
      </c>
      <c r="AW336" s="102" t="str">
        <f t="shared" si="526"/>
        <v/>
      </c>
      <c r="AX336" s="157"/>
      <c r="AY336" s="170"/>
      <c r="AZ336" s="179"/>
      <c r="BA336" s="170"/>
      <c r="BB336" s="182"/>
      <c r="BC336" s="182"/>
      <c r="BD336" s="185"/>
      <c r="BE336" s="185"/>
      <c r="BF336" s="159"/>
      <c r="BG336" s="191"/>
    </row>
    <row r="337" spans="1:59" x14ac:dyDescent="0.25">
      <c r="A337" s="167"/>
      <c r="B337" s="195"/>
      <c r="C337" s="161" t="s">
        <v>180</v>
      </c>
      <c r="D337" s="160"/>
      <c r="E337" s="149"/>
      <c r="F337" s="163" t="str">
        <f t="shared" si="557"/>
        <v/>
      </c>
      <c r="G337" s="148"/>
      <c r="H337" s="148"/>
      <c r="I337" s="148"/>
      <c r="J337" s="148"/>
      <c r="K337" s="148"/>
      <c r="L337" s="165" t="str">
        <f t="shared" ref="L337" si="568">IFERROR(VLOOKUP(G337, tabla02, 2, 0), "")</f>
        <v/>
      </c>
      <c r="M337" s="165" t="str">
        <f t="shared" ref="M337" si="569">IFERROR(VLOOKUP(H337, tabla02, 2, 0), "")</f>
        <v/>
      </c>
      <c r="N337" s="165" t="str">
        <f t="shared" ref="N337" si="570">IFERROR(VLOOKUP(I337, tabla02, 2, 0), "")</f>
        <v/>
      </c>
      <c r="O337" s="165" t="str">
        <f t="shared" ref="O337" si="571">IFERROR(VLOOKUP(J337, tabla02, 2, 0), "")</f>
        <v/>
      </c>
      <c r="P337" s="165" t="str">
        <f t="shared" ref="P337" si="572">IFERROR(VLOOKUP(K337, tabla02, 2, 0), "")</f>
        <v/>
      </c>
      <c r="Q337" s="165" t="str">
        <f t="shared" ref="Q337" si="573">IF(SUM(L337:P337)=0, "", MAX(L337:P337))</f>
        <v/>
      </c>
      <c r="R337" s="159" t="str">
        <f>IFERROR(VLOOKUP(Q337, tabla04, 3, 0), "")</f>
        <v/>
      </c>
      <c r="S337" s="148"/>
      <c r="T337" s="148"/>
      <c r="U337" s="148"/>
      <c r="V337" s="148"/>
      <c r="W337" s="148"/>
      <c r="X337" s="163" t="str">
        <f>IFERROR(VLOOKUP(CONCATENATE(F337, "-", Q337), cuadrante_sev, 3, 0), "")</f>
        <v/>
      </c>
      <c r="Y337" s="163" t="str">
        <f t="shared" ref="Y337" si="574">IFERROR(IF(X337="Baja", 1, IF(X337="Moderada", 2, IF(X337="Alta", 3, IF(X337="Extrema", 4, "")))), "")</f>
        <v/>
      </c>
      <c r="Z337" s="172"/>
      <c r="AA337" s="188"/>
      <c r="AB337" s="172"/>
      <c r="AC337" s="172"/>
      <c r="AD337" s="175"/>
      <c r="AE337" s="70" t="s">
        <v>113</v>
      </c>
      <c r="AF337" s="135"/>
      <c r="AG337" s="74"/>
      <c r="AH337" s="72"/>
      <c r="AI337" s="72"/>
      <c r="AJ337" s="72"/>
      <c r="AK337" s="72"/>
      <c r="AL337" s="72"/>
      <c r="AM337" s="82" t="str">
        <f>IFERROR((Tablas!$C$1*VLOOKUP(AH337, tipo_control, 2, 0)+Tablas!$E$1*VLOOKUP(AI337, nat_control, 2, 0)+Tablas!$G$1*VLOOKUP(AJ337, ev_control, 2, 0)+Tablas!$I$1*VLOOKUP(AK337, frec_control, 2, 0)+Tablas!$K$1*VLOOKUP(AL337, doc_control, 2, 0))*0.1*peso_dis, "")</f>
        <v/>
      </c>
      <c r="AN337" s="72"/>
      <c r="AO337" s="72"/>
      <c r="AP337" s="72"/>
      <c r="AQ337" s="82" t="str">
        <f>IFERROR((Tablas!$C$9*VLOOKUP(AN337, amb_control, 2, 0)+Tablas!$E$9*VLOOKUP(AO337, ejec_control, 2, 0)+Tablas!$G$9*VLOOKUP(AP337, cub_control, 2, 0))*0.1*peso_ejec, "")</f>
        <v/>
      </c>
      <c r="AR337" s="96" t="str">
        <f t="shared" si="524"/>
        <v/>
      </c>
      <c r="AS337" s="97" t="str">
        <f t="shared" si="459"/>
        <v/>
      </c>
      <c r="AT337" s="87" t="str">
        <f t="shared" si="460"/>
        <v/>
      </c>
      <c r="AU337" s="97" t="str">
        <f>IF(AR337&lt;Tablas!$G$19, 0, IF(AND(AR337&gt;=Tablas!$G$19, AR337&lt;Tablas!$G$20), 1,  IF(AND(AR337&gt;=Tablas!$G$20, AR337&lt;Tablas!$G$21), 2,  IF(AND(AR337&gt;=Tablas!$G$21, AR337&lt;=Tablas!$G$22), 3,  ""))))</f>
        <v/>
      </c>
      <c r="AV337" s="97" t="str">
        <f t="shared" si="525"/>
        <v/>
      </c>
      <c r="AW337" s="103" t="str">
        <f t="shared" si="526"/>
        <v/>
      </c>
      <c r="AX337" s="176" t="str">
        <f t="shared" ref="AX337" si="575">IFERROR(VLOOKUP(AY337, tabla04, 2, 0), "")</f>
        <v/>
      </c>
      <c r="AY337" s="168" t="str">
        <f>IF(F337="", "", IF((F337-MAX(AV337:AV341))&lt;=0, 1, F337-MAX(AV337:AV341)))</f>
        <v/>
      </c>
      <c r="AZ337" s="178" t="str">
        <f t="shared" ref="AZ337" si="576">IFERROR(VLOOKUP(BA337, tabla04, 3, 0), "")</f>
        <v/>
      </c>
      <c r="BA337" s="168" t="str">
        <f>IF(Q337="", "", IF((Q337-MAX(AW337:AW341))&lt;=0, 1, Q337-MAX(AW337:AW341)))</f>
        <v/>
      </c>
      <c r="BB337" s="182"/>
      <c r="BC337" s="182"/>
      <c r="BD337" s="185"/>
      <c r="BE337" s="185"/>
      <c r="BF337" s="158" t="str">
        <f t="shared" ref="BF337:BF339" si="577">IFERROR(VLOOKUP(CONCATENATE(AY337, "-", BA337), cuadrante_sev, 3, 0), "")</f>
        <v/>
      </c>
      <c r="BG337" s="191"/>
    </row>
    <row r="338" spans="1:59" x14ac:dyDescent="0.25">
      <c r="A338" s="167"/>
      <c r="B338" s="195"/>
      <c r="C338" s="161"/>
      <c r="D338" s="160"/>
      <c r="E338" s="161"/>
      <c r="F338" s="164"/>
      <c r="G338" s="167"/>
      <c r="H338" s="167"/>
      <c r="I338" s="167"/>
      <c r="J338" s="167"/>
      <c r="K338" s="167"/>
      <c r="L338" s="166"/>
      <c r="M338" s="166"/>
      <c r="N338" s="166"/>
      <c r="O338" s="166"/>
      <c r="P338" s="166"/>
      <c r="Q338" s="166"/>
      <c r="R338" s="177"/>
      <c r="S338" s="167"/>
      <c r="T338" s="167"/>
      <c r="U338" s="167"/>
      <c r="V338" s="167"/>
      <c r="W338" s="167"/>
      <c r="X338" s="164"/>
      <c r="Y338" s="164"/>
      <c r="Z338" s="172"/>
      <c r="AA338" s="188"/>
      <c r="AB338" s="172"/>
      <c r="AC338" s="172"/>
      <c r="AD338" s="175"/>
      <c r="AE338" s="62" t="s">
        <v>114</v>
      </c>
      <c r="AF338" s="133"/>
      <c r="AG338" s="65"/>
      <c r="AH338" s="64"/>
      <c r="AI338" s="64"/>
      <c r="AJ338" s="64"/>
      <c r="AK338" s="64"/>
      <c r="AL338" s="64"/>
      <c r="AM338" s="80" t="str">
        <f>IFERROR((Tablas!$C$1*VLOOKUP(AH338, tipo_control, 2, 0)+Tablas!$E$1*VLOOKUP(AI338, nat_control, 2, 0)+Tablas!$G$1*VLOOKUP(AJ338, ev_control, 2, 0)+Tablas!$I$1*VLOOKUP(AK338, frec_control, 2, 0)+Tablas!$K$1*VLOOKUP(AL338, doc_control, 2, 0))*0.1*peso_dis, "")</f>
        <v/>
      </c>
      <c r="AN338" s="64"/>
      <c r="AO338" s="64"/>
      <c r="AP338" s="64"/>
      <c r="AQ338" s="80" t="str">
        <f>IFERROR((Tablas!$C$9*VLOOKUP(AN338, amb_control, 2, 0)+Tablas!$E$9*VLOOKUP(AO338, ejec_control, 2, 0)+Tablas!$G$9*VLOOKUP(AP338, cub_control, 2, 0))*0.1*peso_ejec, "")</f>
        <v/>
      </c>
      <c r="AR338" s="91" t="str">
        <f t="shared" si="524"/>
        <v/>
      </c>
      <c r="AS338" s="85" t="str">
        <f t="shared" ref="AS338:AS401" si="578">IFERROR(VLOOKUP(AH338, tabla03, 12, 0), "")</f>
        <v/>
      </c>
      <c r="AT338" s="85" t="str">
        <f t="shared" ref="AT338:AT401" si="579">IFERROR(VLOOKUP(AH338, tabla03, 13, 0), "")</f>
        <v/>
      </c>
      <c r="AU338" s="85" t="str">
        <f>IF(AR338&lt;Tablas!$G$19, 0, IF(AND(AR338&gt;=Tablas!$G$19, AR338&lt;Tablas!$G$20), 1,  IF(AND(AR338&gt;=Tablas!$G$20, AR338&lt;Tablas!$G$21), 2,  IF(AND(AR338&gt;=Tablas!$G$21, AR338&lt;=Tablas!$G$22), 3,  ""))))</f>
        <v/>
      </c>
      <c r="AV338" s="85" t="str">
        <f t="shared" si="525"/>
        <v/>
      </c>
      <c r="AW338" s="101" t="str">
        <f t="shared" si="526"/>
        <v/>
      </c>
      <c r="AX338" s="177"/>
      <c r="AY338" s="169"/>
      <c r="AZ338" s="158"/>
      <c r="BA338" s="169"/>
      <c r="BB338" s="182"/>
      <c r="BC338" s="182"/>
      <c r="BD338" s="185"/>
      <c r="BE338" s="185"/>
      <c r="BF338" s="158" t="str">
        <f t="shared" si="577"/>
        <v/>
      </c>
      <c r="BG338" s="191"/>
    </row>
    <row r="339" spans="1:59" x14ac:dyDescent="0.25">
      <c r="A339" s="167"/>
      <c r="B339" s="195"/>
      <c r="C339" s="161"/>
      <c r="D339" s="160"/>
      <c r="E339" s="161"/>
      <c r="F339" s="164"/>
      <c r="G339" s="167"/>
      <c r="H339" s="167"/>
      <c r="I339" s="167"/>
      <c r="J339" s="167"/>
      <c r="K339" s="167"/>
      <c r="L339" s="166"/>
      <c r="M339" s="166"/>
      <c r="N339" s="166"/>
      <c r="O339" s="166"/>
      <c r="P339" s="166"/>
      <c r="Q339" s="166"/>
      <c r="R339" s="177"/>
      <c r="S339" s="167"/>
      <c r="T339" s="167"/>
      <c r="U339" s="167"/>
      <c r="V339" s="167"/>
      <c r="W339" s="167"/>
      <c r="X339" s="164"/>
      <c r="Y339" s="164"/>
      <c r="Z339" s="172"/>
      <c r="AA339" s="188"/>
      <c r="AB339" s="172"/>
      <c r="AC339" s="172"/>
      <c r="AD339" s="175"/>
      <c r="AE339" s="62" t="s">
        <v>115</v>
      </c>
      <c r="AF339" s="133"/>
      <c r="AG339" s="65"/>
      <c r="AH339" s="64"/>
      <c r="AI339" s="64"/>
      <c r="AJ339" s="64"/>
      <c r="AK339" s="64"/>
      <c r="AL339" s="64"/>
      <c r="AM339" s="80" t="str">
        <f>IFERROR((Tablas!$C$1*VLOOKUP(AH339, tipo_control, 2, 0)+Tablas!$E$1*VLOOKUP(AI339, nat_control, 2, 0)+Tablas!$G$1*VLOOKUP(AJ339, ev_control, 2, 0)+Tablas!$I$1*VLOOKUP(AK339, frec_control, 2, 0)+Tablas!$K$1*VLOOKUP(AL339, doc_control, 2, 0))*0.1*peso_dis, "")</f>
        <v/>
      </c>
      <c r="AN339" s="64"/>
      <c r="AO339" s="64"/>
      <c r="AP339" s="64"/>
      <c r="AQ339" s="80" t="str">
        <f>IFERROR((Tablas!$C$9*VLOOKUP(AN339, amb_control, 2, 0)+Tablas!$E$9*VLOOKUP(AO339, ejec_control, 2, 0)+Tablas!$G$9*VLOOKUP(AP339, cub_control, 2, 0))*0.1*peso_ejec, "")</f>
        <v/>
      </c>
      <c r="AR339" s="91" t="str">
        <f t="shared" si="524"/>
        <v/>
      </c>
      <c r="AS339" s="85" t="str">
        <f t="shared" si="578"/>
        <v/>
      </c>
      <c r="AT339" s="85" t="str">
        <f t="shared" si="579"/>
        <v/>
      </c>
      <c r="AU339" s="85" t="str">
        <f>IF(AR339&lt;Tablas!$G$19, 0, IF(AND(AR339&gt;=Tablas!$G$19, AR339&lt;Tablas!$G$20), 1,  IF(AND(AR339&gt;=Tablas!$G$20, AR339&lt;Tablas!$G$21), 2,  IF(AND(AR339&gt;=Tablas!$G$21, AR339&lt;=Tablas!$G$22), 3,  ""))))</f>
        <v/>
      </c>
      <c r="AV339" s="85" t="str">
        <f t="shared" si="525"/>
        <v/>
      </c>
      <c r="AW339" s="101" t="str">
        <f t="shared" si="526"/>
        <v/>
      </c>
      <c r="AX339" s="177"/>
      <c r="AY339" s="169"/>
      <c r="AZ339" s="158"/>
      <c r="BA339" s="169"/>
      <c r="BB339" s="182"/>
      <c r="BC339" s="182"/>
      <c r="BD339" s="185"/>
      <c r="BE339" s="185"/>
      <c r="BF339" s="158" t="str">
        <f t="shared" si="577"/>
        <v/>
      </c>
      <c r="BG339" s="191"/>
    </row>
    <row r="340" spans="1:59" x14ac:dyDescent="0.25">
      <c r="A340" s="167"/>
      <c r="B340" s="195"/>
      <c r="C340" s="161"/>
      <c r="D340" s="160"/>
      <c r="E340" s="161"/>
      <c r="F340" s="164"/>
      <c r="G340" s="167"/>
      <c r="H340" s="167"/>
      <c r="I340" s="167"/>
      <c r="J340" s="167"/>
      <c r="K340" s="167"/>
      <c r="L340" s="166"/>
      <c r="M340" s="166"/>
      <c r="N340" s="166"/>
      <c r="O340" s="166"/>
      <c r="P340" s="166"/>
      <c r="Q340" s="166"/>
      <c r="R340" s="177"/>
      <c r="S340" s="167"/>
      <c r="T340" s="167"/>
      <c r="U340" s="167"/>
      <c r="V340" s="167"/>
      <c r="W340" s="167"/>
      <c r="X340" s="164"/>
      <c r="Y340" s="164"/>
      <c r="Z340" s="172"/>
      <c r="AA340" s="188"/>
      <c r="AB340" s="172"/>
      <c r="AC340" s="172"/>
      <c r="AD340" s="175"/>
      <c r="AE340" s="62" t="s">
        <v>153</v>
      </c>
      <c r="AF340" s="133"/>
      <c r="AG340" s="65"/>
      <c r="AH340" s="64"/>
      <c r="AI340" s="64"/>
      <c r="AJ340" s="64"/>
      <c r="AK340" s="64"/>
      <c r="AL340" s="64"/>
      <c r="AM340" s="80" t="str">
        <f>IFERROR((Tablas!$C$1*VLOOKUP(AH340, tipo_control, 2, 0)+Tablas!$E$1*VLOOKUP(AI340, nat_control, 2, 0)+Tablas!$G$1*VLOOKUP(AJ340, ev_control, 2, 0)+Tablas!$I$1*VLOOKUP(AK340, frec_control, 2, 0)+Tablas!$K$1*VLOOKUP(AL340, doc_control, 2, 0))*0.1*peso_dis, "")</f>
        <v/>
      </c>
      <c r="AN340" s="64"/>
      <c r="AO340" s="64"/>
      <c r="AP340" s="64"/>
      <c r="AQ340" s="80" t="str">
        <f>IFERROR((Tablas!$C$9*VLOOKUP(AN340, amb_control, 2, 0)+Tablas!$E$9*VLOOKUP(AO340, ejec_control, 2, 0)+Tablas!$G$9*VLOOKUP(AP340, cub_control, 2, 0))*0.1*peso_ejec, "")</f>
        <v/>
      </c>
      <c r="AR340" s="91" t="str">
        <f t="shared" si="524"/>
        <v/>
      </c>
      <c r="AS340" s="85" t="str">
        <f t="shared" si="578"/>
        <v/>
      </c>
      <c r="AT340" s="85" t="str">
        <f t="shared" si="579"/>
        <v/>
      </c>
      <c r="AU340" s="85" t="str">
        <f>IF(AR340&lt;Tablas!$G$19, 0, IF(AND(AR340&gt;=Tablas!$G$19, AR340&lt;Tablas!$G$20), 1,  IF(AND(AR340&gt;=Tablas!$G$20, AR340&lt;Tablas!$G$21), 2,  IF(AND(AR340&gt;=Tablas!$G$21, AR340&lt;=Tablas!$G$22), 3,  ""))))</f>
        <v/>
      </c>
      <c r="AV340" s="85" t="str">
        <f t="shared" si="525"/>
        <v/>
      </c>
      <c r="AW340" s="101" t="str">
        <f t="shared" si="526"/>
        <v/>
      </c>
      <c r="AX340" s="177"/>
      <c r="AY340" s="169"/>
      <c r="AZ340" s="158"/>
      <c r="BA340" s="169"/>
      <c r="BB340" s="182"/>
      <c r="BC340" s="182"/>
      <c r="BD340" s="185"/>
      <c r="BE340" s="185"/>
      <c r="BF340" s="158"/>
      <c r="BG340" s="191"/>
    </row>
    <row r="341" spans="1:59" ht="15.75" thickBot="1" x14ac:dyDescent="0.3">
      <c r="A341" s="167"/>
      <c r="B341" s="195"/>
      <c r="C341" s="161"/>
      <c r="D341" s="160"/>
      <c r="E341" s="161"/>
      <c r="F341" s="165"/>
      <c r="G341" s="149"/>
      <c r="H341" s="149"/>
      <c r="I341" s="149"/>
      <c r="J341" s="149"/>
      <c r="K341" s="149"/>
      <c r="L341" s="166"/>
      <c r="M341" s="166"/>
      <c r="N341" s="166"/>
      <c r="O341" s="166"/>
      <c r="P341" s="166"/>
      <c r="Q341" s="166"/>
      <c r="R341" s="177"/>
      <c r="S341" s="149"/>
      <c r="T341" s="149"/>
      <c r="U341" s="149"/>
      <c r="V341" s="149"/>
      <c r="W341" s="149"/>
      <c r="X341" s="165"/>
      <c r="Y341" s="165"/>
      <c r="Z341" s="172"/>
      <c r="AA341" s="188"/>
      <c r="AB341" s="172"/>
      <c r="AC341" s="172"/>
      <c r="AD341" s="175"/>
      <c r="AE341" s="66" t="s">
        <v>154</v>
      </c>
      <c r="AF341" s="134"/>
      <c r="AG341" s="67"/>
      <c r="AH341" s="69"/>
      <c r="AI341" s="69"/>
      <c r="AJ341" s="69"/>
      <c r="AK341" s="69"/>
      <c r="AL341" s="69"/>
      <c r="AM341" s="81" t="str">
        <f>IFERROR((Tablas!$C$1*VLOOKUP(AH341, tipo_control, 2, 0)+Tablas!$E$1*VLOOKUP(AI341, nat_control, 2, 0)+Tablas!$G$1*VLOOKUP(AJ341, ev_control, 2, 0)+Tablas!$I$1*VLOOKUP(AK341, frec_control, 2, 0)+Tablas!$K$1*VLOOKUP(AL341, doc_control, 2, 0))*0.1*peso_dis, "")</f>
        <v/>
      </c>
      <c r="AN341" s="69"/>
      <c r="AO341" s="69"/>
      <c r="AP341" s="69"/>
      <c r="AQ341" s="81" t="str">
        <f>IFERROR((Tablas!$C$9*VLOOKUP(AN341, amb_control, 2, 0)+Tablas!$E$9*VLOOKUP(AO341, ejec_control, 2, 0)+Tablas!$G$9*VLOOKUP(AP341, cub_control, 2, 0))*0.1*peso_ejec, "")</f>
        <v/>
      </c>
      <c r="AR341" s="93" t="str">
        <f t="shared" si="524"/>
        <v/>
      </c>
      <c r="AS341" s="94" t="str">
        <f t="shared" si="578"/>
        <v/>
      </c>
      <c r="AT341" s="94" t="str">
        <f t="shared" si="579"/>
        <v/>
      </c>
      <c r="AU341" s="94" t="str">
        <f>IF(AR341&lt;Tablas!$G$19, 0, IF(AND(AR341&gt;=Tablas!$G$19, AR341&lt;Tablas!$G$20), 1,  IF(AND(AR341&gt;=Tablas!$G$20, AR341&lt;Tablas!$G$21), 2,  IF(AND(AR341&gt;=Tablas!$G$21, AR341&lt;=Tablas!$G$22), 3,  ""))))</f>
        <v/>
      </c>
      <c r="AV341" s="94" t="str">
        <f t="shared" si="525"/>
        <v/>
      </c>
      <c r="AW341" s="102" t="str">
        <f t="shared" si="526"/>
        <v/>
      </c>
      <c r="AX341" s="157"/>
      <c r="AY341" s="170"/>
      <c r="AZ341" s="179"/>
      <c r="BA341" s="170"/>
      <c r="BB341" s="182"/>
      <c r="BC341" s="182"/>
      <c r="BD341" s="185"/>
      <c r="BE341" s="185"/>
      <c r="BF341" s="159"/>
      <c r="BG341" s="191"/>
    </row>
    <row r="342" spans="1:59" ht="15" customHeight="1" x14ac:dyDescent="0.25">
      <c r="A342" s="167"/>
      <c r="B342" s="195"/>
      <c r="C342" s="161" t="s">
        <v>181</v>
      </c>
      <c r="D342" s="160"/>
      <c r="E342" s="149"/>
      <c r="F342" s="163" t="str">
        <f t="shared" si="557"/>
        <v/>
      </c>
      <c r="G342" s="148"/>
      <c r="H342" s="148"/>
      <c r="I342" s="148"/>
      <c r="J342" s="148"/>
      <c r="K342" s="148"/>
      <c r="L342" s="165" t="str">
        <f t="shared" ref="L342" si="580">IFERROR(VLOOKUP(G342, tabla02, 2, 0), "")</f>
        <v/>
      </c>
      <c r="M342" s="165" t="str">
        <f t="shared" ref="M342" si="581">IFERROR(VLOOKUP(H342, tabla02, 2, 0), "")</f>
        <v/>
      </c>
      <c r="N342" s="165" t="str">
        <f t="shared" ref="N342" si="582">IFERROR(VLOOKUP(I342, tabla02, 2, 0), "")</f>
        <v/>
      </c>
      <c r="O342" s="165" t="str">
        <f t="shared" ref="O342" si="583">IFERROR(VLOOKUP(J342, tabla02, 2, 0), "")</f>
        <v/>
      </c>
      <c r="P342" s="165" t="str">
        <f t="shared" ref="P342" si="584">IFERROR(VLOOKUP(K342, tabla02, 2, 0), "")</f>
        <v/>
      </c>
      <c r="Q342" s="165" t="str">
        <f t="shared" ref="Q342" si="585">IF(SUM(L342:P342)=0, "", MAX(L342:P342))</f>
        <v/>
      </c>
      <c r="R342" s="159" t="str">
        <f>IFERROR(VLOOKUP(Q342, tabla04, 3, 0), "")</f>
        <v/>
      </c>
      <c r="S342" s="148"/>
      <c r="T342" s="148"/>
      <c r="U342" s="148"/>
      <c r="V342" s="148"/>
      <c r="W342" s="148"/>
      <c r="X342" s="163" t="str">
        <f>IFERROR(VLOOKUP(CONCATENATE(F342, "-", Q342), cuadrante_sev, 3, 0), "")</f>
        <v/>
      </c>
      <c r="Y342" s="163" t="str">
        <f t="shared" ref="Y342" si="586">IFERROR(IF(X342="Baja", 1, IF(X342="Moderada", 2, IF(X342="Alta", 3, IF(X342="Extrema", 4, "")))), "")</f>
        <v/>
      </c>
      <c r="Z342" s="172"/>
      <c r="AA342" s="188"/>
      <c r="AB342" s="172"/>
      <c r="AC342" s="172"/>
      <c r="AD342" s="175"/>
      <c r="AE342" s="70" t="s">
        <v>113</v>
      </c>
      <c r="AF342" s="135"/>
      <c r="AG342" s="74"/>
      <c r="AH342" s="72"/>
      <c r="AI342" s="72"/>
      <c r="AJ342" s="72"/>
      <c r="AK342" s="72"/>
      <c r="AL342" s="72"/>
      <c r="AM342" s="82" t="str">
        <f>IFERROR((Tablas!$C$1*VLOOKUP(AH342, tipo_control, 2, 0)+Tablas!$E$1*VLOOKUP(AI342, nat_control, 2, 0)+Tablas!$G$1*VLOOKUP(AJ342, ev_control, 2, 0)+Tablas!$I$1*VLOOKUP(AK342, frec_control, 2, 0)+Tablas!$K$1*VLOOKUP(AL342, doc_control, 2, 0))*0.1*peso_dis, "")</f>
        <v/>
      </c>
      <c r="AN342" s="72"/>
      <c r="AO342" s="72"/>
      <c r="AP342" s="72"/>
      <c r="AQ342" s="82" t="str">
        <f>IFERROR((Tablas!$C$9*VLOOKUP(AN342, amb_control, 2, 0)+Tablas!$E$9*VLOOKUP(AO342, ejec_control, 2, 0)+Tablas!$G$9*VLOOKUP(AP342, cub_control, 2, 0))*0.1*peso_ejec, "")</f>
        <v/>
      </c>
      <c r="AR342" s="96" t="str">
        <f t="shared" si="524"/>
        <v/>
      </c>
      <c r="AS342" s="97" t="str">
        <f t="shared" si="578"/>
        <v/>
      </c>
      <c r="AT342" s="87" t="str">
        <f t="shared" si="579"/>
        <v/>
      </c>
      <c r="AU342" s="97" t="str">
        <f>IF(AR342&lt;Tablas!$G$19, 0, IF(AND(AR342&gt;=Tablas!$G$19, AR342&lt;Tablas!$G$20), 1,  IF(AND(AR342&gt;=Tablas!$G$20, AR342&lt;Tablas!$G$21), 2,  IF(AND(AR342&gt;=Tablas!$G$21, AR342&lt;=Tablas!$G$22), 3,  ""))))</f>
        <v/>
      </c>
      <c r="AV342" s="97" t="str">
        <f t="shared" si="525"/>
        <v/>
      </c>
      <c r="AW342" s="103" t="str">
        <f t="shared" si="526"/>
        <v/>
      </c>
      <c r="AX342" s="176" t="str">
        <f t="shared" ref="AX342" si="587">IFERROR(VLOOKUP(AY342, tabla04, 2, 0), "")</f>
        <v/>
      </c>
      <c r="AY342" s="168" t="str">
        <f>IF(F342="", "", IF((F342-MAX(AV342:AV346))&lt;=0, 1, F342-MAX(AV342:AV346)))</f>
        <v/>
      </c>
      <c r="AZ342" s="178" t="str">
        <f t="shared" ref="AZ342" si="588">IFERROR(VLOOKUP(BA342, tabla04, 3, 0), "")</f>
        <v/>
      </c>
      <c r="BA342" s="168" t="str">
        <f>IF(Q342="", "", IF((Q342-MAX(AW342:AW346))&lt;=0, 1, Q342-MAX(AW342:AW346)))</f>
        <v/>
      </c>
      <c r="BB342" s="182"/>
      <c r="BC342" s="182"/>
      <c r="BD342" s="185"/>
      <c r="BE342" s="185"/>
      <c r="BF342" s="158" t="str">
        <f t="shared" ref="BF342:BF344" si="589">IFERROR(VLOOKUP(CONCATENATE(AY342, "-", BA342), cuadrante_sev, 3, 0), "")</f>
        <v/>
      </c>
      <c r="BG342" s="191"/>
    </row>
    <row r="343" spans="1:59" ht="15" customHeight="1" x14ac:dyDescent="0.25">
      <c r="A343" s="167"/>
      <c r="B343" s="195"/>
      <c r="C343" s="161"/>
      <c r="D343" s="160"/>
      <c r="E343" s="161"/>
      <c r="F343" s="164"/>
      <c r="G343" s="167"/>
      <c r="H343" s="167"/>
      <c r="I343" s="167"/>
      <c r="J343" s="167"/>
      <c r="K343" s="167"/>
      <c r="L343" s="166"/>
      <c r="M343" s="166"/>
      <c r="N343" s="166"/>
      <c r="O343" s="166"/>
      <c r="P343" s="166"/>
      <c r="Q343" s="166"/>
      <c r="R343" s="177"/>
      <c r="S343" s="167"/>
      <c r="T343" s="167"/>
      <c r="U343" s="167"/>
      <c r="V343" s="167"/>
      <c r="W343" s="167"/>
      <c r="X343" s="164"/>
      <c r="Y343" s="164"/>
      <c r="Z343" s="172"/>
      <c r="AA343" s="188"/>
      <c r="AB343" s="172"/>
      <c r="AC343" s="172"/>
      <c r="AD343" s="175"/>
      <c r="AE343" s="62" t="s">
        <v>114</v>
      </c>
      <c r="AF343" s="133"/>
      <c r="AG343" s="65"/>
      <c r="AH343" s="64"/>
      <c r="AI343" s="64"/>
      <c r="AJ343" s="64"/>
      <c r="AK343" s="64"/>
      <c r="AL343" s="64"/>
      <c r="AM343" s="80" t="str">
        <f>IFERROR((Tablas!$C$1*VLOOKUP(AH343, tipo_control, 2, 0)+Tablas!$E$1*VLOOKUP(AI343, nat_control, 2, 0)+Tablas!$G$1*VLOOKUP(AJ343, ev_control, 2, 0)+Tablas!$I$1*VLOOKUP(AK343, frec_control, 2, 0)+Tablas!$K$1*VLOOKUP(AL343, doc_control, 2, 0))*0.1*peso_dis, "")</f>
        <v/>
      </c>
      <c r="AN343" s="64"/>
      <c r="AO343" s="64"/>
      <c r="AP343" s="64"/>
      <c r="AQ343" s="80" t="str">
        <f>IFERROR((Tablas!$C$9*VLOOKUP(AN343, amb_control, 2, 0)+Tablas!$E$9*VLOOKUP(AO343, ejec_control, 2, 0)+Tablas!$G$9*VLOOKUP(AP343, cub_control, 2, 0))*0.1*peso_ejec, "")</f>
        <v/>
      </c>
      <c r="AR343" s="91" t="str">
        <f t="shared" si="524"/>
        <v/>
      </c>
      <c r="AS343" s="85" t="str">
        <f t="shared" si="578"/>
        <v/>
      </c>
      <c r="AT343" s="85" t="str">
        <f t="shared" si="579"/>
        <v/>
      </c>
      <c r="AU343" s="85" t="str">
        <f>IF(AR343&lt;Tablas!$G$19, 0, IF(AND(AR343&gt;=Tablas!$G$19, AR343&lt;Tablas!$G$20), 1,  IF(AND(AR343&gt;=Tablas!$G$20, AR343&lt;Tablas!$G$21), 2,  IF(AND(AR343&gt;=Tablas!$G$21, AR343&lt;=Tablas!$G$22), 3,  ""))))</f>
        <v/>
      </c>
      <c r="AV343" s="85" t="str">
        <f t="shared" si="525"/>
        <v/>
      </c>
      <c r="AW343" s="101" t="str">
        <f t="shared" si="526"/>
        <v/>
      </c>
      <c r="AX343" s="177"/>
      <c r="AY343" s="169"/>
      <c r="AZ343" s="158"/>
      <c r="BA343" s="169"/>
      <c r="BB343" s="182"/>
      <c r="BC343" s="182"/>
      <c r="BD343" s="185"/>
      <c r="BE343" s="185"/>
      <c r="BF343" s="158" t="str">
        <f t="shared" si="589"/>
        <v/>
      </c>
      <c r="BG343" s="191"/>
    </row>
    <row r="344" spans="1:59" ht="15" customHeight="1" x14ac:dyDescent="0.25">
      <c r="A344" s="167"/>
      <c r="B344" s="195"/>
      <c r="C344" s="161"/>
      <c r="D344" s="160"/>
      <c r="E344" s="161"/>
      <c r="F344" s="164"/>
      <c r="G344" s="167"/>
      <c r="H344" s="167"/>
      <c r="I344" s="167"/>
      <c r="J344" s="167"/>
      <c r="K344" s="167"/>
      <c r="L344" s="166"/>
      <c r="M344" s="166"/>
      <c r="N344" s="166"/>
      <c r="O344" s="166"/>
      <c r="P344" s="166"/>
      <c r="Q344" s="166"/>
      <c r="R344" s="177"/>
      <c r="S344" s="167"/>
      <c r="T344" s="167"/>
      <c r="U344" s="167"/>
      <c r="V344" s="167"/>
      <c r="W344" s="167"/>
      <c r="X344" s="164"/>
      <c r="Y344" s="164"/>
      <c r="Z344" s="172"/>
      <c r="AA344" s="188"/>
      <c r="AB344" s="172"/>
      <c r="AC344" s="172"/>
      <c r="AD344" s="175"/>
      <c r="AE344" s="62" t="s">
        <v>115</v>
      </c>
      <c r="AF344" s="133"/>
      <c r="AG344" s="65"/>
      <c r="AH344" s="64"/>
      <c r="AI344" s="64"/>
      <c r="AJ344" s="64"/>
      <c r="AK344" s="64"/>
      <c r="AL344" s="64"/>
      <c r="AM344" s="80" t="str">
        <f>IFERROR((Tablas!$C$1*VLOOKUP(AH344, tipo_control, 2, 0)+Tablas!$E$1*VLOOKUP(AI344, nat_control, 2, 0)+Tablas!$G$1*VLOOKUP(AJ344, ev_control, 2, 0)+Tablas!$I$1*VLOOKUP(AK344, frec_control, 2, 0)+Tablas!$K$1*VLOOKUP(AL344, doc_control, 2, 0))*0.1*peso_dis, "")</f>
        <v/>
      </c>
      <c r="AN344" s="64"/>
      <c r="AO344" s="64"/>
      <c r="AP344" s="64"/>
      <c r="AQ344" s="80" t="str">
        <f>IFERROR((Tablas!$C$9*VLOOKUP(AN344, amb_control, 2, 0)+Tablas!$E$9*VLOOKUP(AO344, ejec_control, 2, 0)+Tablas!$G$9*VLOOKUP(AP344, cub_control, 2, 0))*0.1*peso_ejec, "")</f>
        <v/>
      </c>
      <c r="AR344" s="91" t="str">
        <f t="shared" si="524"/>
        <v/>
      </c>
      <c r="AS344" s="85" t="str">
        <f t="shared" si="578"/>
        <v/>
      </c>
      <c r="AT344" s="85" t="str">
        <f t="shared" si="579"/>
        <v/>
      </c>
      <c r="AU344" s="85" t="str">
        <f>IF(AR344&lt;Tablas!$G$19, 0, IF(AND(AR344&gt;=Tablas!$G$19, AR344&lt;Tablas!$G$20), 1,  IF(AND(AR344&gt;=Tablas!$G$20, AR344&lt;Tablas!$G$21), 2,  IF(AND(AR344&gt;=Tablas!$G$21, AR344&lt;=Tablas!$G$22), 3,  ""))))</f>
        <v/>
      </c>
      <c r="AV344" s="85" t="str">
        <f t="shared" si="525"/>
        <v/>
      </c>
      <c r="AW344" s="101" t="str">
        <f t="shared" si="526"/>
        <v/>
      </c>
      <c r="AX344" s="177"/>
      <c r="AY344" s="169"/>
      <c r="AZ344" s="158"/>
      <c r="BA344" s="169"/>
      <c r="BB344" s="182"/>
      <c r="BC344" s="182"/>
      <c r="BD344" s="185"/>
      <c r="BE344" s="185"/>
      <c r="BF344" s="158" t="str">
        <f t="shared" si="589"/>
        <v/>
      </c>
      <c r="BG344" s="191"/>
    </row>
    <row r="345" spans="1:59" ht="15" customHeight="1" x14ac:dyDescent="0.25">
      <c r="A345" s="167"/>
      <c r="B345" s="195"/>
      <c r="C345" s="161"/>
      <c r="D345" s="160"/>
      <c r="E345" s="161"/>
      <c r="F345" s="164"/>
      <c r="G345" s="167"/>
      <c r="H345" s="167"/>
      <c r="I345" s="167"/>
      <c r="J345" s="167"/>
      <c r="K345" s="167"/>
      <c r="L345" s="166"/>
      <c r="M345" s="166"/>
      <c r="N345" s="166"/>
      <c r="O345" s="166"/>
      <c r="P345" s="166"/>
      <c r="Q345" s="166"/>
      <c r="R345" s="177"/>
      <c r="S345" s="167"/>
      <c r="T345" s="167"/>
      <c r="U345" s="167"/>
      <c r="V345" s="167"/>
      <c r="W345" s="167"/>
      <c r="X345" s="164"/>
      <c r="Y345" s="164"/>
      <c r="Z345" s="172"/>
      <c r="AA345" s="188"/>
      <c r="AB345" s="172"/>
      <c r="AC345" s="172"/>
      <c r="AD345" s="175"/>
      <c r="AE345" s="62" t="s">
        <v>153</v>
      </c>
      <c r="AF345" s="133"/>
      <c r="AG345" s="65"/>
      <c r="AH345" s="64"/>
      <c r="AI345" s="64"/>
      <c r="AJ345" s="64"/>
      <c r="AK345" s="64"/>
      <c r="AL345" s="64"/>
      <c r="AM345" s="80" t="str">
        <f>IFERROR((Tablas!$C$1*VLOOKUP(AH345, tipo_control, 2, 0)+Tablas!$E$1*VLOOKUP(AI345, nat_control, 2, 0)+Tablas!$G$1*VLOOKUP(AJ345, ev_control, 2, 0)+Tablas!$I$1*VLOOKUP(AK345, frec_control, 2, 0)+Tablas!$K$1*VLOOKUP(AL345, doc_control, 2, 0))*0.1*peso_dis, "")</f>
        <v/>
      </c>
      <c r="AN345" s="64"/>
      <c r="AO345" s="64"/>
      <c r="AP345" s="64"/>
      <c r="AQ345" s="80" t="str">
        <f>IFERROR((Tablas!$C$9*VLOOKUP(AN345, amb_control, 2, 0)+Tablas!$E$9*VLOOKUP(AO345, ejec_control, 2, 0)+Tablas!$G$9*VLOOKUP(AP345, cub_control, 2, 0))*0.1*peso_ejec, "")</f>
        <v/>
      </c>
      <c r="AR345" s="91" t="str">
        <f t="shared" si="524"/>
        <v/>
      </c>
      <c r="AS345" s="85" t="str">
        <f t="shared" si="578"/>
        <v/>
      </c>
      <c r="AT345" s="85" t="str">
        <f t="shared" si="579"/>
        <v/>
      </c>
      <c r="AU345" s="85" t="str">
        <f>IF(AR345&lt;Tablas!$G$19, 0, IF(AND(AR345&gt;=Tablas!$G$19, AR345&lt;Tablas!$G$20), 1,  IF(AND(AR345&gt;=Tablas!$G$20, AR345&lt;Tablas!$G$21), 2,  IF(AND(AR345&gt;=Tablas!$G$21, AR345&lt;=Tablas!$G$22), 3,  ""))))</f>
        <v/>
      </c>
      <c r="AV345" s="85" t="str">
        <f t="shared" si="525"/>
        <v/>
      </c>
      <c r="AW345" s="101" t="str">
        <f t="shared" si="526"/>
        <v/>
      </c>
      <c r="AX345" s="177"/>
      <c r="AY345" s="169"/>
      <c r="AZ345" s="158"/>
      <c r="BA345" s="169"/>
      <c r="BB345" s="182"/>
      <c r="BC345" s="182"/>
      <c r="BD345" s="185"/>
      <c r="BE345" s="185"/>
      <c r="BF345" s="158"/>
      <c r="BG345" s="191"/>
    </row>
    <row r="346" spans="1:59" ht="15.75" customHeight="1" thickBot="1" x14ac:dyDescent="0.3">
      <c r="A346" s="167"/>
      <c r="B346" s="195"/>
      <c r="C346" s="161"/>
      <c r="D346" s="160"/>
      <c r="E346" s="161"/>
      <c r="F346" s="165"/>
      <c r="G346" s="149"/>
      <c r="H346" s="149"/>
      <c r="I346" s="149"/>
      <c r="J346" s="149"/>
      <c r="K346" s="149"/>
      <c r="L346" s="166"/>
      <c r="M346" s="166"/>
      <c r="N346" s="166"/>
      <c r="O346" s="166"/>
      <c r="P346" s="166"/>
      <c r="Q346" s="166"/>
      <c r="R346" s="177"/>
      <c r="S346" s="149"/>
      <c r="T346" s="149"/>
      <c r="U346" s="149"/>
      <c r="V346" s="149"/>
      <c r="W346" s="149"/>
      <c r="X346" s="165"/>
      <c r="Y346" s="165"/>
      <c r="Z346" s="172"/>
      <c r="AA346" s="188"/>
      <c r="AB346" s="172"/>
      <c r="AC346" s="172"/>
      <c r="AD346" s="175"/>
      <c r="AE346" s="66" t="s">
        <v>154</v>
      </c>
      <c r="AF346" s="134"/>
      <c r="AG346" s="67"/>
      <c r="AH346" s="69"/>
      <c r="AI346" s="69"/>
      <c r="AJ346" s="69"/>
      <c r="AK346" s="69"/>
      <c r="AL346" s="69"/>
      <c r="AM346" s="81" t="str">
        <f>IFERROR((Tablas!$C$1*VLOOKUP(AH346, tipo_control, 2, 0)+Tablas!$E$1*VLOOKUP(AI346, nat_control, 2, 0)+Tablas!$G$1*VLOOKUP(AJ346, ev_control, 2, 0)+Tablas!$I$1*VLOOKUP(AK346, frec_control, 2, 0)+Tablas!$K$1*VLOOKUP(AL346, doc_control, 2, 0))*0.1*peso_dis, "")</f>
        <v/>
      </c>
      <c r="AN346" s="69"/>
      <c r="AO346" s="69"/>
      <c r="AP346" s="69"/>
      <c r="AQ346" s="81" t="str">
        <f>IFERROR((Tablas!$C$9*VLOOKUP(AN346, amb_control, 2, 0)+Tablas!$E$9*VLOOKUP(AO346, ejec_control, 2, 0)+Tablas!$G$9*VLOOKUP(AP346, cub_control, 2, 0))*0.1*peso_ejec, "")</f>
        <v/>
      </c>
      <c r="AR346" s="93" t="str">
        <f t="shared" si="524"/>
        <v/>
      </c>
      <c r="AS346" s="94" t="str">
        <f t="shared" si="578"/>
        <v/>
      </c>
      <c r="AT346" s="94" t="str">
        <f t="shared" si="579"/>
        <v/>
      </c>
      <c r="AU346" s="94" t="str">
        <f>IF(AR346&lt;Tablas!$G$19, 0, IF(AND(AR346&gt;=Tablas!$G$19, AR346&lt;Tablas!$G$20), 1,  IF(AND(AR346&gt;=Tablas!$G$20, AR346&lt;Tablas!$G$21), 2,  IF(AND(AR346&gt;=Tablas!$G$21, AR346&lt;=Tablas!$G$22), 3,  ""))))</f>
        <v/>
      </c>
      <c r="AV346" s="94" t="str">
        <f t="shared" si="525"/>
        <v/>
      </c>
      <c r="AW346" s="102" t="str">
        <f t="shared" si="526"/>
        <v/>
      </c>
      <c r="AX346" s="157"/>
      <c r="AY346" s="170"/>
      <c r="AZ346" s="179"/>
      <c r="BA346" s="170"/>
      <c r="BB346" s="182"/>
      <c r="BC346" s="182"/>
      <c r="BD346" s="185"/>
      <c r="BE346" s="185"/>
      <c r="BF346" s="159"/>
      <c r="BG346" s="191"/>
    </row>
    <row r="347" spans="1:59" ht="15" customHeight="1" x14ac:dyDescent="0.25">
      <c r="A347" s="167"/>
      <c r="B347" s="195"/>
      <c r="C347" s="161" t="s">
        <v>182</v>
      </c>
      <c r="D347" s="160"/>
      <c r="E347" s="149"/>
      <c r="F347" s="163" t="str">
        <f t="shared" si="557"/>
        <v/>
      </c>
      <c r="G347" s="148"/>
      <c r="H347" s="148"/>
      <c r="I347" s="148"/>
      <c r="J347" s="148"/>
      <c r="K347" s="148"/>
      <c r="L347" s="165" t="str">
        <f t="shared" ref="L347" si="590">IFERROR(VLOOKUP(G347, tabla02, 2, 0), "")</f>
        <v/>
      </c>
      <c r="M347" s="165" t="str">
        <f t="shared" ref="M347" si="591">IFERROR(VLOOKUP(H347, tabla02, 2, 0), "")</f>
        <v/>
      </c>
      <c r="N347" s="165" t="str">
        <f t="shared" ref="N347" si="592">IFERROR(VLOOKUP(I347, tabla02, 2, 0), "")</f>
        <v/>
      </c>
      <c r="O347" s="165" t="str">
        <f t="shared" ref="O347" si="593">IFERROR(VLOOKUP(J347, tabla02, 2, 0), "")</f>
        <v/>
      </c>
      <c r="P347" s="165" t="str">
        <f t="shared" ref="P347" si="594">IFERROR(VLOOKUP(K347, tabla02, 2, 0), "")</f>
        <v/>
      </c>
      <c r="Q347" s="165" t="str">
        <f t="shared" ref="Q347" si="595">IF(SUM(L347:P347)=0, "", MAX(L347:P347))</f>
        <v/>
      </c>
      <c r="R347" s="159" t="str">
        <f>IFERROR(VLOOKUP(Q347, tabla04, 3, 0), "")</f>
        <v/>
      </c>
      <c r="S347" s="148"/>
      <c r="T347" s="148"/>
      <c r="U347" s="148"/>
      <c r="V347" s="148"/>
      <c r="W347" s="148"/>
      <c r="X347" s="163" t="str">
        <f>IFERROR(VLOOKUP(CONCATENATE(F347, "-", Q347), cuadrante_sev, 3, 0), "")</f>
        <v/>
      </c>
      <c r="Y347" s="163" t="str">
        <f t="shared" ref="Y347" si="596">IFERROR(IF(X347="Baja", 1, IF(X347="Moderada", 2, IF(X347="Alta", 3, IF(X347="Extrema", 4, "")))), "")</f>
        <v/>
      </c>
      <c r="Z347" s="172"/>
      <c r="AA347" s="188"/>
      <c r="AB347" s="172"/>
      <c r="AC347" s="172"/>
      <c r="AD347" s="175"/>
      <c r="AE347" s="70" t="s">
        <v>113</v>
      </c>
      <c r="AF347" s="135"/>
      <c r="AG347" s="74"/>
      <c r="AH347" s="72"/>
      <c r="AI347" s="72"/>
      <c r="AJ347" s="72"/>
      <c r="AK347" s="72"/>
      <c r="AL347" s="72"/>
      <c r="AM347" s="82" t="str">
        <f>IFERROR((Tablas!$C$1*VLOOKUP(AH347, tipo_control, 2, 0)+Tablas!$E$1*VLOOKUP(AI347, nat_control, 2, 0)+Tablas!$G$1*VLOOKUP(AJ347, ev_control, 2, 0)+Tablas!$I$1*VLOOKUP(AK347, frec_control, 2, 0)+Tablas!$K$1*VLOOKUP(AL347, doc_control, 2, 0))*0.1*peso_dis, "")</f>
        <v/>
      </c>
      <c r="AN347" s="72"/>
      <c r="AO347" s="72"/>
      <c r="AP347" s="72"/>
      <c r="AQ347" s="82" t="str">
        <f>IFERROR((Tablas!$C$9*VLOOKUP(AN347, amb_control, 2, 0)+Tablas!$E$9*VLOOKUP(AO347, ejec_control, 2, 0)+Tablas!$G$9*VLOOKUP(AP347, cub_control, 2, 0))*0.1*peso_ejec, "")</f>
        <v/>
      </c>
      <c r="AR347" s="96" t="str">
        <f t="shared" si="524"/>
        <v/>
      </c>
      <c r="AS347" s="97" t="str">
        <f t="shared" si="578"/>
        <v/>
      </c>
      <c r="AT347" s="87" t="str">
        <f t="shared" si="579"/>
        <v/>
      </c>
      <c r="AU347" s="97" t="str">
        <f>IF(AR347&lt;Tablas!$G$19, 0, IF(AND(AR347&gt;=Tablas!$G$19, AR347&lt;Tablas!$G$20), 1,  IF(AND(AR347&gt;=Tablas!$G$20, AR347&lt;Tablas!$G$21), 2,  IF(AND(AR347&gt;=Tablas!$G$21, AR347&lt;=Tablas!$G$22), 3,  ""))))</f>
        <v/>
      </c>
      <c r="AV347" s="97" t="str">
        <f t="shared" si="525"/>
        <v/>
      </c>
      <c r="AW347" s="103" t="str">
        <f t="shared" si="526"/>
        <v/>
      </c>
      <c r="AX347" s="176" t="str">
        <f t="shared" ref="AX347" si="597">IFERROR(VLOOKUP(AY347, tabla04, 2, 0), "")</f>
        <v/>
      </c>
      <c r="AY347" s="168" t="str">
        <f>IF(F347="", "", IF((F347-MAX(AV347:AV351))&lt;=0, 1, F347-MAX(AV347:AV351)))</f>
        <v/>
      </c>
      <c r="AZ347" s="178" t="str">
        <f t="shared" ref="AZ347" si="598">IFERROR(VLOOKUP(BA347, tabla04, 3, 0), "")</f>
        <v/>
      </c>
      <c r="BA347" s="168" t="str">
        <f>IF(Q347="", "", IF((Q347-MAX(AW347:AW351))&lt;=0, 1, Q347-MAX(AW347:AW351)))</f>
        <v/>
      </c>
      <c r="BB347" s="182"/>
      <c r="BC347" s="182"/>
      <c r="BD347" s="185"/>
      <c r="BE347" s="185"/>
      <c r="BF347" s="158" t="str">
        <f t="shared" ref="BF347:BF349" si="599">IFERROR(VLOOKUP(CONCATENATE(AY347, "-", BA347), cuadrante_sev, 3, 0), "")</f>
        <v/>
      </c>
      <c r="BG347" s="191"/>
    </row>
    <row r="348" spans="1:59" ht="15" customHeight="1" x14ac:dyDescent="0.25">
      <c r="A348" s="167"/>
      <c r="B348" s="195"/>
      <c r="C348" s="161"/>
      <c r="D348" s="160"/>
      <c r="E348" s="161"/>
      <c r="F348" s="164"/>
      <c r="G348" s="167"/>
      <c r="H348" s="167"/>
      <c r="I348" s="167"/>
      <c r="J348" s="167"/>
      <c r="K348" s="167"/>
      <c r="L348" s="166"/>
      <c r="M348" s="166"/>
      <c r="N348" s="166"/>
      <c r="O348" s="166"/>
      <c r="P348" s="166"/>
      <c r="Q348" s="166"/>
      <c r="R348" s="177"/>
      <c r="S348" s="167"/>
      <c r="T348" s="167"/>
      <c r="U348" s="167"/>
      <c r="V348" s="167"/>
      <c r="W348" s="167"/>
      <c r="X348" s="164"/>
      <c r="Y348" s="164"/>
      <c r="Z348" s="172"/>
      <c r="AA348" s="188"/>
      <c r="AB348" s="172"/>
      <c r="AC348" s="172"/>
      <c r="AD348" s="175"/>
      <c r="AE348" s="62" t="s">
        <v>114</v>
      </c>
      <c r="AF348" s="133"/>
      <c r="AG348" s="65"/>
      <c r="AH348" s="64"/>
      <c r="AI348" s="64"/>
      <c r="AJ348" s="64"/>
      <c r="AK348" s="64"/>
      <c r="AL348" s="64"/>
      <c r="AM348" s="80" t="str">
        <f>IFERROR((Tablas!$C$1*VLOOKUP(AH348, tipo_control, 2, 0)+Tablas!$E$1*VLOOKUP(AI348, nat_control, 2, 0)+Tablas!$G$1*VLOOKUP(AJ348, ev_control, 2, 0)+Tablas!$I$1*VLOOKUP(AK348, frec_control, 2, 0)+Tablas!$K$1*VLOOKUP(AL348, doc_control, 2, 0))*0.1*peso_dis, "")</f>
        <v/>
      </c>
      <c r="AN348" s="64"/>
      <c r="AO348" s="64"/>
      <c r="AP348" s="64"/>
      <c r="AQ348" s="80" t="str">
        <f>IFERROR((Tablas!$C$9*VLOOKUP(AN348, amb_control, 2, 0)+Tablas!$E$9*VLOOKUP(AO348, ejec_control, 2, 0)+Tablas!$G$9*VLOOKUP(AP348, cub_control, 2, 0))*0.1*peso_ejec, "")</f>
        <v/>
      </c>
      <c r="AR348" s="91" t="str">
        <f t="shared" si="524"/>
        <v/>
      </c>
      <c r="AS348" s="85" t="str">
        <f t="shared" si="578"/>
        <v/>
      </c>
      <c r="AT348" s="85" t="str">
        <f t="shared" si="579"/>
        <v/>
      </c>
      <c r="AU348" s="85" t="str">
        <f>IF(AR348&lt;Tablas!$G$19, 0, IF(AND(AR348&gt;=Tablas!$G$19, AR348&lt;Tablas!$G$20), 1,  IF(AND(AR348&gt;=Tablas!$G$20, AR348&lt;Tablas!$G$21), 2,  IF(AND(AR348&gt;=Tablas!$G$21, AR348&lt;=Tablas!$G$22), 3,  ""))))</f>
        <v/>
      </c>
      <c r="AV348" s="85" t="str">
        <f t="shared" si="525"/>
        <v/>
      </c>
      <c r="AW348" s="101" t="str">
        <f t="shared" si="526"/>
        <v/>
      </c>
      <c r="AX348" s="177"/>
      <c r="AY348" s="169"/>
      <c r="AZ348" s="158"/>
      <c r="BA348" s="169"/>
      <c r="BB348" s="182"/>
      <c r="BC348" s="182"/>
      <c r="BD348" s="185"/>
      <c r="BE348" s="185"/>
      <c r="BF348" s="158" t="str">
        <f t="shared" si="599"/>
        <v/>
      </c>
      <c r="BG348" s="191"/>
    </row>
    <row r="349" spans="1:59" ht="15" customHeight="1" x14ac:dyDescent="0.25">
      <c r="A349" s="167"/>
      <c r="B349" s="195"/>
      <c r="C349" s="161"/>
      <c r="D349" s="160"/>
      <c r="E349" s="161"/>
      <c r="F349" s="164"/>
      <c r="G349" s="167"/>
      <c r="H349" s="167"/>
      <c r="I349" s="167"/>
      <c r="J349" s="167"/>
      <c r="K349" s="167"/>
      <c r="L349" s="166"/>
      <c r="M349" s="166"/>
      <c r="N349" s="166"/>
      <c r="O349" s="166"/>
      <c r="P349" s="166"/>
      <c r="Q349" s="166"/>
      <c r="R349" s="177"/>
      <c r="S349" s="167"/>
      <c r="T349" s="167"/>
      <c r="U349" s="167"/>
      <c r="V349" s="167"/>
      <c r="W349" s="167"/>
      <c r="X349" s="164"/>
      <c r="Y349" s="164"/>
      <c r="Z349" s="172"/>
      <c r="AA349" s="188"/>
      <c r="AB349" s="172"/>
      <c r="AC349" s="172"/>
      <c r="AD349" s="175"/>
      <c r="AE349" s="62" t="s">
        <v>115</v>
      </c>
      <c r="AF349" s="133"/>
      <c r="AG349" s="65"/>
      <c r="AH349" s="64"/>
      <c r="AI349" s="64"/>
      <c r="AJ349" s="64"/>
      <c r="AK349" s="64"/>
      <c r="AL349" s="64"/>
      <c r="AM349" s="80" t="str">
        <f>IFERROR((Tablas!$C$1*VLOOKUP(AH349, tipo_control, 2, 0)+Tablas!$E$1*VLOOKUP(AI349, nat_control, 2, 0)+Tablas!$G$1*VLOOKUP(AJ349, ev_control, 2, 0)+Tablas!$I$1*VLOOKUP(AK349, frec_control, 2, 0)+Tablas!$K$1*VLOOKUP(AL349, doc_control, 2, 0))*0.1*peso_dis, "")</f>
        <v/>
      </c>
      <c r="AN349" s="64"/>
      <c r="AO349" s="64"/>
      <c r="AP349" s="64"/>
      <c r="AQ349" s="80" t="str">
        <f>IFERROR((Tablas!$C$9*VLOOKUP(AN349, amb_control, 2, 0)+Tablas!$E$9*VLOOKUP(AO349, ejec_control, 2, 0)+Tablas!$G$9*VLOOKUP(AP349, cub_control, 2, 0))*0.1*peso_ejec, "")</f>
        <v/>
      </c>
      <c r="AR349" s="91" t="str">
        <f t="shared" si="524"/>
        <v/>
      </c>
      <c r="AS349" s="85" t="str">
        <f t="shared" si="578"/>
        <v/>
      </c>
      <c r="AT349" s="85" t="str">
        <f t="shared" si="579"/>
        <v/>
      </c>
      <c r="AU349" s="85" t="str">
        <f>IF(AR349&lt;Tablas!$G$19, 0, IF(AND(AR349&gt;=Tablas!$G$19, AR349&lt;Tablas!$G$20), 1,  IF(AND(AR349&gt;=Tablas!$G$20, AR349&lt;Tablas!$G$21), 2,  IF(AND(AR349&gt;=Tablas!$G$21, AR349&lt;=Tablas!$G$22), 3,  ""))))</f>
        <v/>
      </c>
      <c r="AV349" s="85" t="str">
        <f t="shared" si="525"/>
        <v/>
      </c>
      <c r="AW349" s="101" t="str">
        <f t="shared" si="526"/>
        <v/>
      </c>
      <c r="AX349" s="177"/>
      <c r="AY349" s="169"/>
      <c r="AZ349" s="158"/>
      <c r="BA349" s="169"/>
      <c r="BB349" s="182"/>
      <c r="BC349" s="182"/>
      <c r="BD349" s="185"/>
      <c r="BE349" s="185"/>
      <c r="BF349" s="158" t="str">
        <f t="shared" si="599"/>
        <v/>
      </c>
      <c r="BG349" s="191"/>
    </row>
    <row r="350" spans="1:59" ht="15" customHeight="1" x14ac:dyDescent="0.25">
      <c r="A350" s="167"/>
      <c r="B350" s="195"/>
      <c r="C350" s="161"/>
      <c r="D350" s="160"/>
      <c r="E350" s="161"/>
      <c r="F350" s="164"/>
      <c r="G350" s="167"/>
      <c r="H350" s="167"/>
      <c r="I350" s="167"/>
      <c r="J350" s="167"/>
      <c r="K350" s="167"/>
      <c r="L350" s="166"/>
      <c r="M350" s="166"/>
      <c r="N350" s="166"/>
      <c r="O350" s="166"/>
      <c r="P350" s="166"/>
      <c r="Q350" s="166"/>
      <c r="R350" s="177"/>
      <c r="S350" s="167"/>
      <c r="T350" s="167"/>
      <c r="U350" s="167"/>
      <c r="V350" s="167"/>
      <c r="W350" s="167"/>
      <c r="X350" s="164"/>
      <c r="Y350" s="164"/>
      <c r="Z350" s="172"/>
      <c r="AA350" s="188"/>
      <c r="AB350" s="172"/>
      <c r="AC350" s="172"/>
      <c r="AD350" s="175"/>
      <c r="AE350" s="62" t="s">
        <v>153</v>
      </c>
      <c r="AF350" s="133"/>
      <c r="AG350" s="65"/>
      <c r="AH350" s="64"/>
      <c r="AI350" s="64"/>
      <c r="AJ350" s="64"/>
      <c r="AK350" s="64"/>
      <c r="AL350" s="64"/>
      <c r="AM350" s="80" t="str">
        <f>IFERROR((Tablas!$C$1*VLOOKUP(AH350, tipo_control, 2, 0)+Tablas!$E$1*VLOOKUP(AI350, nat_control, 2, 0)+Tablas!$G$1*VLOOKUP(AJ350, ev_control, 2, 0)+Tablas!$I$1*VLOOKUP(AK350, frec_control, 2, 0)+Tablas!$K$1*VLOOKUP(AL350, doc_control, 2, 0))*0.1*peso_dis, "")</f>
        <v/>
      </c>
      <c r="AN350" s="64"/>
      <c r="AO350" s="64"/>
      <c r="AP350" s="64"/>
      <c r="AQ350" s="80" t="str">
        <f>IFERROR((Tablas!$C$9*VLOOKUP(AN350, amb_control, 2, 0)+Tablas!$E$9*VLOOKUP(AO350, ejec_control, 2, 0)+Tablas!$G$9*VLOOKUP(AP350, cub_control, 2, 0))*0.1*peso_ejec, "")</f>
        <v/>
      </c>
      <c r="AR350" s="91" t="str">
        <f t="shared" si="524"/>
        <v/>
      </c>
      <c r="AS350" s="85" t="str">
        <f t="shared" si="578"/>
        <v/>
      </c>
      <c r="AT350" s="85" t="str">
        <f t="shared" si="579"/>
        <v/>
      </c>
      <c r="AU350" s="85" t="str">
        <f>IF(AR350&lt;Tablas!$G$19, 0, IF(AND(AR350&gt;=Tablas!$G$19, AR350&lt;Tablas!$G$20), 1,  IF(AND(AR350&gt;=Tablas!$G$20, AR350&lt;Tablas!$G$21), 2,  IF(AND(AR350&gt;=Tablas!$G$21, AR350&lt;=Tablas!$G$22), 3,  ""))))</f>
        <v/>
      </c>
      <c r="AV350" s="85" t="str">
        <f t="shared" si="525"/>
        <v/>
      </c>
      <c r="AW350" s="101" t="str">
        <f t="shared" si="526"/>
        <v/>
      </c>
      <c r="AX350" s="177"/>
      <c r="AY350" s="169"/>
      <c r="AZ350" s="158"/>
      <c r="BA350" s="169"/>
      <c r="BB350" s="182"/>
      <c r="BC350" s="182"/>
      <c r="BD350" s="185"/>
      <c r="BE350" s="185"/>
      <c r="BF350" s="158"/>
      <c r="BG350" s="191"/>
    </row>
    <row r="351" spans="1:59" ht="15.75" customHeight="1" thickBot="1" x14ac:dyDescent="0.3">
      <c r="A351" s="167"/>
      <c r="B351" s="195"/>
      <c r="C351" s="161"/>
      <c r="D351" s="160"/>
      <c r="E351" s="161"/>
      <c r="F351" s="165"/>
      <c r="G351" s="149"/>
      <c r="H351" s="149"/>
      <c r="I351" s="149"/>
      <c r="J351" s="149"/>
      <c r="K351" s="149"/>
      <c r="L351" s="166"/>
      <c r="M351" s="166"/>
      <c r="N351" s="166"/>
      <c r="O351" s="166"/>
      <c r="P351" s="166"/>
      <c r="Q351" s="166"/>
      <c r="R351" s="177"/>
      <c r="S351" s="149"/>
      <c r="T351" s="149"/>
      <c r="U351" s="149"/>
      <c r="V351" s="149"/>
      <c r="W351" s="149"/>
      <c r="X351" s="165"/>
      <c r="Y351" s="165"/>
      <c r="Z351" s="172"/>
      <c r="AA351" s="188"/>
      <c r="AB351" s="172"/>
      <c r="AC351" s="172"/>
      <c r="AD351" s="175"/>
      <c r="AE351" s="66" t="s">
        <v>154</v>
      </c>
      <c r="AF351" s="134"/>
      <c r="AG351" s="67"/>
      <c r="AH351" s="69"/>
      <c r="AI351" s="69"/>
      <c r="AJ351" s="69"/>
      <c r="AK351" s="69"/>
      <c r="AL351" s="69"/>
      <c r="AM351" s="81" t="str">
        <f>IFERROR((Tablas!$C$1*VLOOKUP(AH351, tipo_control, 2, 0)+Tablas!$E$1*VLOOKUP(AI351, nat_control, 2, 0)+Tablas!$G$1*VLOOKUP(AJ351, ev_control, 2, 0)+Tablas!$I$1*VLOOKUP(AK351, frec_control, 2, 0)+Tablas!$K$1*VLOOKUP(AL351, doc_control, 2, 0))*0.1*peso_dis, "")</f>
        <v/>
      </c>
      <c r="AN351" s="69"/>
      <c r="AO351" s="69"/>
      <c r="AP351" s="69"/>
      <c r="AQ351" s="81" t="str">
        <f>IFERROR((Tablas!$C$9*VLOOKUP(AN351, amb_control, 2, 0)+Tablas!$E$9*VLOOKUP(AO351, ejec_control, 2, 0)+Tablas!$G$9*VLOOKUP(AP351, cub_control, 2, 0))*0.1*peso_ejec, "")</f>
        <v/>
      </c>
      <c r="AR351" s="93" t="str">
        <f t="shared" si="524"/>
        <v/>
      </c>
      <c r="AS351" s="94" t="str">
        <f t="shared" si="578"/>
        <v/>
      </c>
      <c r="AT351" s="94" t="str">
        <f t="shared" si="579"/>
        <v/>
      </c>
      <c r="AU351" s="94" t="str">
        <f>IF(AR351&lt;Tablas!$G$19, 0, IF(AND(AR351&gt;=Tablas!$G$19, AR351&lt;Tablas!$G$20), 1,  IF(AND(AR351&gt;=Tablas!$G$20, AR351&lt;Tablas!$G$21), 2,  IF(AND(AR351&gt;=Tablas!$G$21, AR351&lt;=Tablas!$G$22), 3,  ""))))</f>
        <v/>
      </c>
      <c r="AV351" s="94" t="str">
        <f t="shared" si="525"/>
        <v/>
      </c>
      <c r="AW351" s="102" t="str">
        <f t="shared" si="526"/>
        <v/>
      </c>
      <c r="AX351" s="157"/>
      <c r="AY351" s="170"/>
      <c r="AZ351" s="179"/>
      <c r="BA351" s="170"/>
      <c r="BB351" s="182"/>
      <c r="BC351" s="182"/>
      <c r="BD351" s="185"/>
      <c r="BE351" s="185"/>
      <c r="BF351" s="159"/>
      <c r="BG351" s="191"/>
    </row>
    <row r="352" spans="1:59" ht="15" customHeight="1" x14ac:dyDescent="0.25">
      <c r="A352" s="167"/>
      <c r="B352" s="195"/>
      <c r="C352" s="161" t="s">
        <v>183</v>
      </c>
      <c r="D352" s="160"/>
      <c r="E352" s="149"/>
      <c r="F352" s="163" t="str">
        <f t="shared" si="557"/>
        <v/>
      </c>
      <c r="G352" s="148"/>
      <c r="H352" s="148"/>
      <c r="I352" s="148"/>
      <c r="J352" s="148"/>
      <c r="K352" s="148"/>
      <c r="L352" s="165" t="str">
        <f t="shared" ref="L352" si="600">IFERROR(VLOOKUP(G352, tabla02, 2, 0), "")</f>
        <v/>
      </c>
      <c r="M352" s="165" t="str">
        <f t="shared" ref="M352" si="601">IFERROR(VLOOKUP(H352, tabla02, 2, 0), "")</f>
        <v/>
      </c>
      <c r="N352" s="165" t="str">
        <f t="shared" ref="N352" si="602">IFERROR(VLOOKUP(I352, tabla02, 2, 0), "")</f>
        <v/>
      </c>
      <c r="O352" s="165" t="str">
        <f t="shared" ref="O352" si="603">IFERROR(VLOOKUP(J352, tabla02, 2, 0), "")</f>
        <v/>
      </c>
      <c r="P352" s="165" t="str">
        <f t="shared" ref="P352" si="604">IFERROR(VLOOKUP(K352, tabla02, 2, 0), "")</f>
        <v/>
      </c>
      <c r="Q352" s="165" t="str">
        <f t="shared" ref="Q352" si="605">IF(SUM(L352:P352)=0, "", MAX(L352:P352))</f>
        <v/>
      </c>
      <c r="R352" s="159" t="str">
        <f>IFERROR(VLOOKUP(Q352, tabla04, 3, 0), "")</f>
        <v/>
      </c>
      <c r="S352" s="148"/>
      <c r="T352" s="148"/>
      <c r="U352" s="148"/>
      <c r="V352" s="148"/>
      <c r="W352" s="148"/>
      <c r="X352" s="163" t="str">
        <f>IFERROR(VLOOKUP(CONCATENATE(F352, "-", Q352), cuadrante_sev, 3, 0), "")</f>
        <v/>
      </c>
      <c r="Y352" s="163" t="str">
        <f t="shared" ref="Y352" si="606">IFERROR(IF(X352="Baja", 1, IF(X352="Moderada", 2, IF(X352="Alta", 3, IF(X352="Extrema", 4, "")))), "")</f>
        <v/>
      </c>
      <c r="Z352" s="172"/>
      <c r="AA352" s="188"/>
      <c r="AB352" s="172"/>
      <c r="AC352" s="172"/>
      <c r="AD352" s="175"/>
      <c r="AE352" s="70" t="s">
        <v>113</v>
      </c>
      <c r="AF352" s="135"/>
      <c r="AG352" s="74"/>
      <c r="AH352" s="72"/>
      <c r="AI352" s="72"/>
      <c r="AJ352" s="72"/>
      <c r="AK352" s="72"/>
      <c r="AL352" s="72"/>
      <c r="AM352" s="82" t="str">
        <f>IFERROR((Tablas!$C$1*VLOOKUP(AH352, tipo_control, 2, 0)+Tablas!$E$1*VLOOKUP(AI352, nat_control, 2, 0)+Tablas!$G$1*VLOOKUP(AJ352, ev_control, 2, 0)+Tablas!$I$1*VLOOKUP(AK352, frec_control, 2, 0)+Tablas!$K$1*VLOOKUP(AL352, doc_control, 2, 0))*0.1*peso_dis, "")</f>
        <v/>
      </c>
      <c r="AN352" s="72"/>
      <c r="AO352" s="72"/>
      <c r="AP352" s="72"/>
      <c r="AQ352" s="82" t="str">
        <f>IFERROR((Tablas!$C$9*VLOOKUP(AN352, amb_control, 2, 0)+Tablas!$E$9*VLOOKUP(AO352, ejec_control, 2, 0)+Tablas!$G$9*VLOOKUP(AP352, cub_control, 2, 0))*0.1*peso_ejec, "")</f>
        <v/>
      </c>
      <c r="AR352" s="96" t="str">
        <f t="shared" si="524"/>
        <v/>
      </c>
      <c r="AS352" s="97" t="str">
        <f t="shared" si="578"/>
        <v/>
      </c>
      <c r="AT352" s="87" t="str">
        <f t="shared" si="579"/>
        <v/>
      </c>
      <c r="AU352" s="97" t="str">
        <f>IF(AR352&lt;Tablas!$G$19, 0, IF(AND(AR352&gt;=Tablas!$G$19, AR352&lt;Tablas!$G$20), 1,  IF(AND(AR352&gt;=Tablas!$G$20, AR352&lt;Tablas!$G$21), 2,  IF(AND(AR352&gt;=Tablas!$G$21, AR352&lt;=Tablas!$G$22), 3,  ""))))</f>
        <v/>
      </c>
      <c r="AV352" s="97" t="str">
        <f t="shared" si="525"/>
        <v/>
      </c>
      <c r="AW352" s="103" t="str">
        <f t="shared" si="526"/>
        <v/>
      </c>
      <c r="AX352" s="176" t="str">
        <f t="shared" ref="AX352" si="607">IFERROR(VLOOKUP(AY352, tabla04, 2, 0), "")</f>
        <v/>
      </c>
      <c r="AY352" s="168" t="str">
        <f>IF(F352="", "", IF((F352-MAX(AV352:AV356))&lt;=0, 1, F352-MAX(AV352:AV356)))</f>
        <v/>
      </c>
      <c r="AZ352" s="178" t="str">
        <f t="shared" ref="AZ352" si="608">IFERROR(VLOOKUP(BA352, tabla04, 3, 0), "")</f>
        <v/>
      </c>
      <c r="BA352" s="168" t="str">
        <f>IF(Q352="", "", IF((Q352-MAX(AW352:AW356))&lt;=0, 1, Q352-MAX(AW352:AW356)))</f>
        <v/>
      </c>
      <c r="BB352" s="182"/>
      <c r="BC352" s="182"/>
      <c r="BD352" s="185"/>
      <c r="BE352" s="185"/>
      <c r="BF352" s="158" t="str">
        <f t="shared" ref="BF352:BF354" si="609">IFERROR(VLOOKUP(CONCATENATE(AY352, "-", BA352), cuadrante_sev, 3, 0), "")</f>
        <v/>
      </c>
      <c r="BG352" s="191"/>
    </row>
    <row r="353" spans="1:59" ht="15" customHeight="1" x14ac:dyDescent="0.25">
      <c r="A353" s="167"/>
      <c r="B353" s="195"/>
      <c r="C353" s="161"/>
      <c r="D353" s="160"/>
      <c r="E353" s="161"/>
      <c r="F353" s="164"/>
      <c r="G353" s="167"/>
      <c r="H353" s="167"/>
      <c r="I353" s="167"/>
      <c r="J353" s="167"/>
      <c r="K353" s="167"/>
      <c r="L353" s="166"/>
      <c r="M353" s="166"/>
      <c r="N353" s="166"/>
      <c r="O353" s="166"/>
      <c r="P353" s="166"/>
      <c r="Q353" s="166"/>
      <c r="R353" s="177"/>
      <c r="S353" s="167"/>
      <c r="T353" s="167"/>
      <c r="U353" s="167"/>
      <c r="V353" s="167"/>
      <c r="W353" s="167"/>
      <c r="X353" s="164"/>
      <c r="Y353" s="164"/>
      <c r="Z353" s="172"/>
      <c r="AA353" s="188"/>
      <c r="AB353" s="172"/>
      <c r="AC353" s="172"/>
      <c r="AD353" s="175"/>
      <c r="AE353" s="62" t="s">
        <v>114</v>
      </c>
      <c r="AF353" s="133"/>
      <c r="AG353" s="65"/>
      <c r="AH353" s="64"/>
      <c r="AI353" s="64"/>
      <c r="AJ353" s="64"/>
      <c r="AK353" s="64"/>
      <c r="AL353" s="64"/>
      <c r="AM353" s="80" t="str">
        <f>IFERROR((Tablas!$C$1*VLOOKUP(AH353, tipo_control, 2, 0)+Tablas!$E$1*VLOOKUP(AI353, nat_control, 2, 0)+Tablas!$G$1*VLOOKUP(AJ353, ev_control, 2, 0)+Tablas!$I$1*VLOOKUP(AK353, frec_control, 2, 0)+Tablas!$K$1*VLOOKUP(AL353, doc_control, 2, 0))*0.1*peso_dis, "")</f>
        <v/>
      </c>
      <c r="AN353" s="64"/>
      <c r="AO353" s="64"/>
      <c r="AP353" s="64"/>
      <c r="AQ353" s="80" t="str">
        <f>IFERROR((Tablas!$C$9*VLOOKUP(AN353, amb_control, 2, 0)+Tablas!$E$9*VLOOKUP(AO353, ejec_control, 2, 0)+Tablas!$G$9*VLOOKUP(AP353, cub_control, 2, 0))*0.1*peso_ejec, "")</f>
        <v/>
      </c>
      <c r="AR353" s="91" t="str">
        <f t="shared" si="524"/>
        <v/>
      </c>
      <c r="AS353" s="85" t="str">
        <f t="shared" si="578"/>
        <v/>
      </c>
      <c r="AT353" s="85" t="str">
        <f t="shared" si="579"/>
        <v/>
      </c>
      <c r="AU353" s="85" t="str">
        <f>IF(AR353&lt;Tablas!$G$19, 0, IF(AND(AR353&gt;=Tablas!$G$19, AR353&lt;Tablas!$G$20), 1,  IF(AND(AR353&gt;=Tablas!$G$20, AR353&lt;Tablas!$G$21), 2,  IF(AND(AR353&gt;=Tablas!$G$21, AR353&lt;=Tablas!$G$22), 3,  ""))))</f>
        <v/>
      </c>
      <c r="AV353" s="85" t="str">
        <f t="shared" si="525"/>
        <v/>
      </c>
      <c r="AW353" s="101" t="str">
        <f t="shared" si="526"/>
        <v/>
      </c>
      <c r="AX353" s="177"/>
      <c r="AY353" s="169"/>
      <c r="AZ353" s="158"/>
      <c r="BA353" s="169"/>
      <c r="BB353" s="182"/>
      <c r="BC353" s="182"/>
      <c r="BD353" s="185"/>
      <c r="BE353" s="185"/>
      <c r="BF353" s="158" t="str">
        <f t="shared" si="609"/>
        <v/>
      </c>
      <c r="BG353" s="191"/>
    </row>
    <row r="354" spans="1:59" ht="15" customHeight="1" x14ac:dyDescent="0.25">
      <c r="A354" s="167"/>
      <c r="B354" s="195"/>
      <c r="C354" s="161"/>
      <c r="D354" s="160"/>
      <c r="E354" s="161"/>
      <c r="F354" s="164"/>
      <c r="G354" s="167"/>
      <c r="H354" s="167"/>
      <c r="I354" s="167"/>
      <c r="J354" s="167"/>
      <c r="K354" s="167"/>
      <c r="L354" s="166"/>
      <c r="M354" s="166"/>
      <c r="N354" s="166"/>
      <c r="O354" s="166"/>
      <c r="P354" s="166"/>
      <c r="Q354" s="166"/>
      <c r="R354" s="177"/>
      <c r="S354" s="167"/>
      <c r="T354" s="167"/>
      <c r="U354" s="167"/>
      <c r="V354" s="167"/>
      <c r="W354" s="167"/>
      <c r="X354" s="164"/>
      <c r="Y354" s="164"/>
      <c r="Z354" s="172"/>
      <c r="AA354" s="188"/>
      <c r="AB354" s="172"/>
      <c r="AC354" s="172"/>
      <c r="AD354" s="175"/>
      <c r="AE354" s="62" t="s">
        <v>115</v>
      </c>
      <c r="AF354" s="133"/>
      <c r="AG354" s="65"/>
      <c r="AH354" s="64"/>
      <c r="AI354" s="64"/>
      <c r="AJ354" s="64"/>
      <c r="AK354" s="64"/>
      <c r="AL354" s="64"/>
      <c r="AM354" s="80" t="str">
        <f>IFERROR((Tablas!$C$1*VLOOKUP(AH354, tipo_control, 2, 0)+Tablas!$E$1*VLOOKUP(AI354, nat_control, 2, 0)+Tablas!$G$1*VLOOKUP(AJ354, ev_control, 2, 0)+Tablas!$I$1*VLOOKUP(AK354, frec_control, 2, 0)+Tablas!$K$1*VLOOKUP(AL354, doc_control, 2, 0))*0.1*peso_dis, "")</f>
        <v/>
      </c>
      <c r="AN354" s="64"/>
      <c r="AO354" s="64"/>
      <c r="AP354" s="64"/>
      <c r="AQ354" s="80" t="str">
        <f>IFERROR((Tablas!$C$9*VLOOKUP(AN354, amb_control, 2, 0)+Tablas!$E$9*VLOOKUP(AO354, ejec_control, 2, 0)+Tablas!$G$9*VLOOKUP(AP354, cub_control, 2, 0))*0.1*peso_ejec, "")</f>
        <v/>
      </c>
      <c r="AR354" s="91" t="str">
        <f t="shared" si="524"/>
        <v/>
      </c>
      <c r="AS354" s="85" t="str">
        <f t="shared" si="578"/>
        <v/>
      </c>
      <c r="AT354" s="85" t="str">
        <f t="shared" si="579"/>
        <v/>
      </c>
      <c r="AU354" s="85" t="str">
        <f>IF(AR354&lt;Tablas!$G$19, 0, IF(AND(AR354&gt;=Tablas!$G$19, AR354&lt;Tablas!$G$20), 1,  IF(AND(AR354&gt;=Tablas!$G$20, AR354&lt;Tablas!$G$21), 2,  IF(AND(AR354&gt;=Tablas!$G$21, AR354&lt;=Tablas!$G$22), 3,  ""))))</f>
        <v/>
      </c>
      <c r="AV354" s="85" t="str">
        <f t="shared" si="525"/>
        <v/>
      </c>
      <c r="AW354" s="101" t="str">
        <f t="shared" si="526"/>
        <v/>
      </c>
      <c r="AX354" s="177"/>
      <c r="AY354" s="169"/>
      <c r="AZ354" s="158"/>
      <c r="BA354" s="169"/>
      <c r="BB354" s="182"/>
      <c r="BC354" s="182"/>
      <c r="BD354" s="185"/>
      <c r="BE354" s="185"/>
      <c r="BF354" s="158" t="str">
        <f t="shared" si="609"/>
        <v/>
      </c>
      <c r="BG354" s="191"/>
    </row>
    <row r="355" spans="1:59" ht="15" customHeight="1" x14ac:dyDescent="0.25">
      <c r="A355" s="167"/>
      <c r="B355" s="195"/>
      <c r="C355" s="161"/>
      <c r="D355" s="160"/>
      <c r="E355" s="161"/>
      <c r="F355" s="164"/>
      <c r="G355" s="167"/>
      <c r="H355" s="167"/>
      <c r="I355" s="167"/>
      <c r="J355" s="167"/>
      <c r="K355" s="167"/>
      <c r="L355" s="166"/>
      <c r="M355" s="166"/>
      <c r="N355" s="166"/>
      <c r="O355" s="166"/>
      <c r="P355" s="166"/>
      <c r="Q355" s="166"/>
      <c r="R355" s="177"/>
      <c r="S355" s="167"/>
      <c r="T355" s="167"/>
      <c r="U355" s="167"/>
      <c r="V355" s="167"/>
      <c r="W355" s="167"/>
      <c r="X355" s="164"/>
      <c r="Y355" s="164"/>
      <c r="Z355" s="172"/>
      <c r="AA355" s="188"/>
      <c r="AB355" s="172"/>
      <c r="AC355" s="172"/>
      <c r="AD355" s="175"/>
      <c r="AE355" s="62" t="s">
        <v>153</v>
      </c>
      <c r="AF355" s="133"/>
      <c r="AG355" s="65"/>
      <c r="AH355" s="64"/>
      <c r="AI355" s="64"/>
      <c r="AJ355" s="64"/>
      <c r="AK355" s="64"/>
      <c r="AL355" s="64"/>
      <c r="AM355" s="80" t="str">
        <f>IFERROR((Tablas!$C$1*VLOOKUP(AH355, tipo_control, 2, 0)+Tablas!$E$1*VLOOKUP(AI355, nat_control, 2, 0)+Tablas!$G$1*VLOOKUP(AJ355, ev_control, 2, 0)+Tablas!$I$1*VLOOKUP(AK355, frec_control, 2, 0)+Tablas!$K$1*VLOOKUP(AL355, doc_control, 2, 0))*0.1*peso_dis, "")</f>
        <v/>
      </c>
      <c r="AN355" s="64"/>
      <c r="AO355" s="64"/>
      <c r="AP355" s="64"/>
      <c r="AQ355" s="80" t="str">
        <f>IFERROR((Tablas!$C$9*VLOOKUP(AN355, amb_control, 2, 0)+Tablas!$E$9*VLOOKUP(AO355, ejec_control, 2, 0)+Tablas!$G$9*VLOOKUP(AP355, cub_control, 2, 0))*0.1*peso_ejec, "")</f>
        <v/>
      </c>
      <c r="AR355" s="91" t="str">
        <f t="shared" si="524"/>
        <v/>
      </c>
      <c r="AS355" s="85" t="str">
        <f t="shared" si="578"/>
        <v/>
      </c>
      <c r="AT355" s="85" t="str">
        <f t="shared" si="579"/>
        <v/>
      </c>
      <c r="AU355" s="85" t="str">
        <f>IF(AR355&lt;Tablas!$G$19, 0, IF(AND(AR355&gt;=Tablas!$G$19, AR355&lt;Tablas!$G$20), 1,  IF(AND(AR355&gt;=Tablas!$G$20, AR355&lt;Tablas!$G$21), 2,  IF(AND(AR355&gt;=Tablas!$G$21, AR355&lt;=Tablas!$G$22), 3,  ""))))</f>
        <v/>
      </c>
      <c r="AV355" s="85" t="str">
        <f t="shared" si="525"/>
        <v/>
      </c>
      <c r="AW355" s="101" t="str">
        <f t="shared" si="526"/>
        <v/>
      </c>
      <c r="AX355" s="177"/>
      <c r="AY355" s="169"/>
      <c r="AZ355" s="158"/>
      <c r="BA355" s="169"/>
      <c r="BB355" s="182"/>
      <c r="BC355" s="182"/>
      <c r="BD355" s="185"/>
      <c r="BE355" s="185"/>
      <c r="BF355" s="158"/>
      <c r="BG355" s="191"/>
    </row>
    <row r="356" spans="1:59" ht="15.75" customHeight="1" thickBot="1" x14ac:dyDescent="0.3">
      <c r="A356" s="149"/>
      <c r="B356" s="196"/>
      <c r="C356" s="161"/>
      <c r="D356" s="160"/>
      <c r="E356" s="161"/>
      <c r="F356" s="165"/>
      <c r="G356" s="149"/>
      <c r="H356" s="149"/>
      <c r="I356" s="149"/>
      <c r="J356" s="149"/>
      <c r="K356" s="149"/>
      <c r="L356" s="166"/>
      <c r="M356" s="166"/>
      <c r="N356" s="166"/>
      <c r="O356" s="166"/>
      <c r="P356" s="166"/>
      <c r="Q356" s="166"/>
      <c r="R356" s="177"/>
      <c r="S356" s="149"/>
      <c r="T356" s="149"/>
      <c r="U356" s="149"/>
      <c r="V356" s="149"/>
      <c r="W356" s="149"/>
      <c r="X356" s="165"/>
      <c r="Y356" s="165"/>
      <c r="Z356" s="173"/>
      <c r="AA356" s="189"/>
      <c r="AB356" s="173"/>
      <c r="AC356" s="173"/>
      <c r="AD356" s="175"/>
      <c r="AE356" s="75" t="s">
        <v>154</v>
      </c>
      <c r="AF356" s="136"/>
      <c r="AG356" s="68"/>
      <c r="AH356" s="76"/>
      <c r="AI356" s="76"/>
      <c r="AJ356" s="76"/>
      <c r="AK356" s="76"/>
      <c r="AL356" s="76"/>
      <c r="AM356" s="83" t="str">
        <f>IFERROR((Tablas!$C$1*VLOOKUP(AH356, tipo_control, 2, 0)+Tablas!$E$1*VLOOKUP(AI356, nat_control, 2, 0)+Tablas!$G$1*VLOOKUP(AJ356, ev_control, 2, 0)+Tablas!$I$1*VLOOKUP(AK356, frec_control, 2, 0)+Tablas!$K$1*VLOOKUP(AL356, doc_control, 2, 0))*0.1*peso_dis, "")</f>
        <v/>
      </c>
      <c r="AN356" s="76"/>
      <c r="AO356" s="76"/>
      <c r="AP356" s="76"/>
      <c r="AQ356" s="83" t="str">
        <f>IFERROR((Tablas!$C$9*VLOOKUP(AN356, amb_control, 2, 0)+Tablas!$E$9*VLOOKUP(AO356, ejec_control, 2, 0)+Tablas!$G$9*VLOOKUP(AP356, cub_control, 2, 0))*0.1*peso_ejec, "")</f>
        <v/>
      </c>
      <c r="AR356" s="99" t="str">
        <f t="shared" si="524"/>
        <v/>
      </c>
      <c r="AS356" s="86" t="str">
        <f t="shared" si="578"/>
        <v/>
      </c>
      <c r="AT356" s="86" t="str">
        <f t="shared" si="579"/>
        <v/>
      </c>
      <c r="AU356" s="86" t="str">
        <f>IF(AR356&lt;Tablas!$G$19, 0, IF(AND(AR356&gt;=Tablas!$G$19, AR356&lt;Tablas!$G$20), 1,  IF(AND(AR356&gt;=Tablas!$G$20, AR356&lt;Tablas!$G$21), 2,  IF(AND(AR356&gt;=Tablas!$G$21, AR356&lt;=Tablas!$G$22), 3,  ""))))</f>
        <v/>
      </c>
      <c r="AV356" s="86" t="str">
        <f t="shared" si="525"/>
        <v/>
      </c>
      <c r="AW356" s="84" t="str">
        <f t="shared" si="526"/>
        <v/>
      </c>
      <c r="AX356" s="157"/>
      <c r="AY356" s="170"/>
      <c r="AZ356" s="179"/>
      <c r="BA356" s="170"/>
      <c r="BB356" s="183"/>
      <c r="BC356" s="183"/>
      <c r="BD356" s="186"/>
      <c r="BE356" s="186"/>
      <c r="BF356" s="159"/>
      <c r="BG356" s="191"/>
    </row>
    <row r="357" spans="1:59" ht="15" customHeight="1" x14ac:dyDescent="0.25">
      <c r="A357" s="148" t="s">
        <v>190</v>
      </c>
      <c r="B357" s="194" t="s">
        <v>227</v>
      </c>
      <c r="C357" s="161" t="s">
        <v>14</v>
      </c>
      <c r="D357" s="160"/>
      <c r="E357" s="149"/>
      <c r="F357" s="163" t="str">
        <f t="shared" si="557"/>
        <v/>
      </c>
      <c r="G357" s="148"/>
      <c r="H357" s="148"/>
      <c r="I357" s="148"/>
      <c r="J357" s="148"/>
      <c r="K357" s="148"/>
      <c r="L357" s="165" t="str">
        <f>IFERROR(VLOOKUP(G357, tabla02, 2, 0), "")</f>
        <v/>
      </c>
      <c r="M357" s="165" t="str">
        <f>IFERROR(VLOOKUP(H357, tabla02, 2, 0), "")</f>
        <v/>
      </c>
      <c r="N357" s="165" t="str">
        <f>IFERROR(VLOOKUP(I357, tabla02, 2, 0), "")</f>
        <v/>
      </c>
      <c r="O357" s="165" t="str">
        <f>IFERROR(VLOOKUP(J357, tabla02, 2, 0), "")</f>
        <v/>
      </c>
      <c r="P357" s="165" t="str">
        <f>IFERROR(VLOOKUP(K357, tabla02, 2, 0), "")</f>
        <v/>
      </c>
      <c r="Q357" s="165" t="str">
        <f t="shared" ref="Q357" si="610">IF(SUM(L357:P357)=0, "", MAX(L357:P357))</f>
        <v/>
      </c>
      <c r="R357" s="159" t="str">
        <f>IFERROR(VLOOKUP(Q357, tabla04, 3, 0), "")</f>
        <v/>
      </c>
      <c r="S357" s="148"/>
      <c r="T357" s="148"/>
      <c r="U357" s="148"/>
      <c r="V357" s="148"/>
      <c r="W357" s="148"/>
      <c r="X357" s="164" t="str">
        <f>IFERROR(VLOOKUP(CONCATENATE(F357, "-", Q357), cuadrante_sev, 3, 0), "")</f>
        <v/>
      </c>
      <c r="Y357" s="163" t="str">
        <f>IFERROR(IF(X357="Baja", 1, IF(X357="Moderada", 2, IF(X357="Alta", 3, IF(X357="Extrema", 4, "")))), "")</f>
        <v/>
      </c>
      <c r="Z357" s="171">
        <f t="shared" ref="Z357" si="611">MAX(F357:F406)</f>
        <v>0</v>
      </c>
      <c r="AA357" s="187">
        <f t="shared" ref="AA357" si="612">MAX(Q357:Q406)</f>
        <v>0</v>
      </c>
      <c r="AB357" s="171" t="str">
        <f>IFERROR(VLOOKUP(Z357, tabla04, 2, 0), "")</f>
        <v/>
      </c>
      <c r="AC357" s="171" t="str">
        <f>IFERROR(VLOOKUP(AA357, tabla04, 3, 0), "")</f>
        <v/>
      </c>
      <c r="AD357" s="174" t="str">
        <f>IFERROR(VLOOKUP(CONCATENATE(Z357, "-", AA357), cuadrante_sev, 3, 0), "")</f>
        <v/>
      </c>
      <c r="AE357" s="59" t="s">
        <v>113</v>
      </c>
      <c r="AF357" s="132"/>
      <c r="AG357" s="77"/>
      <c r="AH357" s="61"/>
      <c r="AI357" s="61"/>
      <c r="AJ357" s="61"/>
      <c r="AK357" s="61"/>
      <c r="AL357" s="61"/>
      <c r="AM357" s="79" t="str">
        <f>IFERROR((Tablas!$C$1*VLOOKUP(AH357, tipo_control, 2, 0)+Tablas!$E$1*VLOOKUP(AI357, nat_control, 2, 0)+Tablas!$G$1*VLOOKUP(AJ357, ev_control, 2, 0)+Tablas!$I$1*VLOOKUP(AK357, frec_control, 2, 0)+Tablas!$K$1*VLOOKUP(AL357, doc_control, 2, 0))*0.1*peso_dis, "")</f>
        <v/>
      </c>
      <c r="AN357" s="61"/>
      <c r="AO357" s="61"/>
      <c r="AP357" s="61"/>
      <c r="AQ357" s="79" t="str">
        <f>IFERROR((Tablas!$C$9*VLOOKUP(AN357, amb_control, 2, 0)+Tablas!$E$9*VLOOKUP(AO357, ejec_control, 2, 0)+Tablas!$G$9*VLOOKUP(AP357, cub_control, 2, 0))*0.1*peso_ejec, "")</f>
        <v/>
      </c>
      <c r="AR357" s="89" t="str">
        <f>IFERROR(AM357+AQ357, "")</f>
        <v/>
      </c>
      <c r="AS357" s="87" t="str">
        <f t="shared" si="578"/>
        <v/>
      </c>
      <c r="AT357" s="87" t="str">
        <f t="shared" si="579"/>
        <v/>
      </c>
      <c r="AU357" s="87" t="str">
        <f>IF(AR357&lt;Tablas!$G$19, 0, IF(AND(AR357&gt;=Tablas!$G$19, AR357&lt;Tablas!$G$20), 1,  IF(AND(AR357&gt;=Tablas!$G$20, AR357&lt;Tablas!$G$21), 2,  IF(AND(AR357&gt;=Tablas!$G$21, AR357&lt;=Tablas!$G$22), 3,  ""))))</f>
        <v/>
      </c>
      <c r="AV357" s="87" t="str">
        <f>IF(AS357="Sí",AU357,"")</f>
        <v/>
      </c>
      <c r="AW357" s="100" t="str">
        <f>IF(AT357="Sí",AU357,"")</f>
        <v/>
      </c>
      <c r="AX357" s="176" t="str">
        <f>IFERROR(VLOOKUP(AY357, tabla04, 2, 0), "")</f>
        <v/>
      </c>
      <c r="AY357" s="168" t="str">
        <f>IF(F357="", "", IF((F357-MAX(AV357:AV361))&lt;=0, 1, F357-MAX(AV357:AV361)))</f>
        <v/>
      </c>
      <c r="AZ357" s="178" t="str">
        <f>IFERROR(VLOOKUP(BA357, tabla04, 3, 0), "")</f>
        <v/>
      </c>
      <c r="BA357" s="168" t="str">
        <f>IF(Q357="", "", IF((Q357-MAX(AW357:AW361))&lt;=0, 1, Q357-MAX(AW357:AW361)))</f>
        <v/>
      </c>
      <c r="BB357" s="170">
        <f>IFERROR(MAX(AY357:AY406), "")</f>
        <v>0</v>
      </c>
      <c r="BC357" s="170">
        <f>IFERROR(MAX(BA357:BA406), "")</f>
        <v>0</v>
      </c>
      <c r="BD357" s="184" t="str">
        <f>IFERROR(VLOOKUP(BB357, tabla04, 2, 0), "")</f>
        <v/>
      </c>
      <c r="BE357" s="184" t="str">
        <f>IFERROR(VLOOKUP(BC357, tabla04, 3, 0), "")</f>
        <v/>
      </c>
      <c r="BF357" s="158" t="str">
        <f>IFERROR(VLOOKUP(CONCATENATE(AY357, "-", BA357), cuadrante_sev, 3, 0), "")</f>
        <v/>
      </c>
      <c r="BG357" s="190" t="str">
        <f>IFERROR(VLOOKUP(CONCATENATE(BB357, "-", BC357), cuadrante_sev, 3, 0), "")</f>
        <v/>
      </c>
    </row>
    <row r="358" spans="1:59" x14ac:dyDescent="0.25">
      <c r="A358" s="167"/>
      <c r="B358" s="195"/>
      <c r="C358" s="161"/>
      <c r="D358" s="160"/>
      <c r="E358" s="161"/>
      <c r="F358" s="164"/>
      <c r="G358" s="167"/>
      <c r="H358" s="167"/>
      <c r="I358" s="167"/>
      <c r="J358" s="167"/>
      <c r="K358" s="167"/>
      <c r="L358" s="166"/>
      <c r="M358" s="166"/>
      <c r="N358" s="166"/>
      <c r="O358" s="166"/>
      <c r="P358" s="166"/>
      <c r="Q358" s="166"/>
      <c r="R358" s="177"/>
      <c r="S358" s="167"/>
      <c r="T358" s="167"/>
      <c r="U358" s="167"/>
      <c r="V358" s="167"/>
      <c r="W358" s="167"/>
      <c r="X358" s="164"/>
      <c r="Y358" s="164"/>
      <c r="Z358" s="172"/>
      <c r="AA358" s="188"/>
      <c r="AB358" s="172"/>
      <c r="AC358" s="172"/>
      <c r="AD358" s="175"/>
      <c r="AE358" s="62" t="s">
        <v>114</v>
      </c>
      <c r="AF358" s="133"/>
      <c r="AG358" s="65"/>
      <c r="AH358" s="64"/>
      <c r="AI358" s="64"/>
      <c r="AJ358" s="64"/>
      <c r="AK358" s="64"/>
      <c r="AL358" s="64"/>
      <c r="AM358" s="80" t="str">
        <f>IFERROR((Tablas!$C$1*VLOOKUP(AH358, tipo_control, 2, 0)+Tablas!$E$1*VLOOKUP(AI358, nat_control, 2, 0)+Tablas!$G$1*VLOOKUP(AJ358, ev_control, 2, 0)+Tablas!$I$1*VLOOKUP(AK358, frec_control, 2, 0)+Tablas!$K$1*VLOOKUP(AL358, doc_control, 2, 0))*0.1*peso_dis, "")</f>
        <v/>
      </c>
      <c r="AN358" s="64"/>
      <c r="AO358" s="64"/>
      <c r="AP358" s="64"/>
      <c r="AQ358" s="80" t="str">
        <f>IFERROR((Tablas!$C$9*VLOOKUP(AN358, amb_control, 2, 0)+Tablas!$E$9*VLOOKUP(AO358, ejec_control, 2, 0)+Tablas!$G$9*VLOOKUP(AP358, cub_control, 2, 0))*0.1*peso_ejec, "")</f>
        <v/>
      </c>
      <c r="AR358" s="91" t="str">
        <f t="shared" ref="AR358:AR406" si="613">IFERROR(AM358+AQ358, "")</f>
        <v/>
      </c>
      <c r="AS358" s="87" t="str">
        <f t="shared" si="578"/>
        <v/>
      </c>
      <c r="AT358" s="85" t="str">
        <f t="shared" si="579"/>
        <v/>
      </c>
      <c r="AU358" s="85" t="str">
        <f>IF(AR358&lt;Tablas!$G$19, 0, IF(AND(AR358&gt;=Tablas!$G$19, AR358&lt;Tablas!$G$20), 1,  IF(AND(AR358&gt;=Tablas!$G$20, AR358&lt;Tablas!$G$21), 2,  IF(AND(AR358&gt;=Tablas!$G$21, AR358&lt;=Tablas!$G$22), 3,  ""))))</f>
        <v/>
      </c>
      <c r="AV358" s="85" t="str">
        <f t="shared" ref="AV358:AV406" si="614">IF(AS358="Sí",AU358,"")</f>
        <v/>
      </c>
      <c r="AW358" s="101" t="str">
        <f t="shared" ref="AW358:AW406" si="615">IF(AT358="Sí",AU358,"")</f>
        <v/>
      </c>
      <c r="AX358" s="177"/>
      <c r="AY358" s="169"/>
      <c r="AZ358" s="158"/>
      <c r="BA358" s="169"/>
      <c r="BB358" s="182"/>
      <c r="BC358" s="182"/>
      <c r="BD358" s="185"/>
      <c r="BE358" s="185"/>
      <c r="BF358" s="158"/>
      <c r="BG358" s="191"/>
    </row>
    <row r="359" spans="1:59" x14ac:dyDescent="0.25">
      <c r="A359" s="167"/>
      <c r="B359" s="195"/>
      <c r="C359" s="161"/>
      <c r="D359" s="160"/>
      <c r="E359" s="161"/>
      <c r="F359" s="164"/>
      <c r="G359" s="167"/>
      <c r="H359" s="167"/>
      <c r="I359" s="167"/>
      <c r="J359" s="167"/>
      <c r="K359" s="167"/>
      <c r="L359" s="166"/>
      <c r="M359" s="166"/>
      <c r="N359" s="166"/>
      <c r="O359" s="166"/>
      <c r="P359" s="166"/>
      <c r="Q359" s="166"/>
      <c r="R359" s="177"/>
      <c r="S359" s="167"/>
      <c r="T359" s="167"/>
      <c r="U359" s="167"/>
      <c r="V359" s="167"/>
      <c r="W359" s="167"/>
      <c r="X359" s="164"/>
      <c r="Y359" s="164"/>
      <c r="Z359" s="172"/>
      <c r="AA359" s="188"/>
      <c r="AB359" s="172"/>
      <c r="AC359" s="172"/>
      <c r="AD359" s="175"/>
      <c r="AE359" s="62" t="s">
        <v>115</v>
      </c>
      <c r="AF359" s="133"/>
      <c r="AG359" s="65"/>
      <c r="AH359" s="64"/>
      <c r="AI359" s="64"/>
      <c r="AJ359" s="64"/>
      <c r="AK359" s="64"/>
      <c r="AL359" s="64"/>
      <c r="AM359" s="80" t="str">
        <f>IFERROR((Tablas!$C$1*VLOOKUP(AH359, tipo_control, 2, 0)+Tablas!$E$1*VLOOKUP(AI359, nat_control, 2, 0)+Tablas!$G$1*VLOOKUP(AJ359, ev_control, 2, 0)+Tablas!$I$1*VLOOKUP(AK359, frec_control, 2, 0)+Tablas!$K$1*VLOOKUP(AL359, doc_control, 2, 0))*0.1*peso_dis, "")</f>
        <v/>
      </c>
      <c r="AN359" s="64"/>
      <c r="AO359" s="64"/>
      <c r="AP359" s="64"/>
      <c r="AQ359" s="80" t="str">
        <f>IFERROR((Tablas!$C$9*VLOOKUP(AN359, amb_control, 2, 0)+Tablas!$E$9*VLOOKUP(AO359, ejec_control, 2, 0)+Tablas!$G$9*VLOOKUP(AP359, cub_control, 2, 0))*0.1*peso_ejec, "")</f>
        <v/>
      </c>
      <c r="AR359" s="91" t="str">
        <f t="shared" si="613"/>
        <v/>
      </c>
      <c r="AS359" s="87" t="str">
        <f t="shared" si="578"/>
        <v/>
      </c>
      <c r="AT359" s="85" t="str">
        <f t="shared" si="579"/>
        <v/>
      </c>
      <c r="AU359" s="85" t="str">
        <f>IF(AR359&lt;Tablas!$G$19, 0, IF(AND(AR359&gt;=Tablas!$G$19, AR359&lt;Tablas!$G$20), 1,  IF(AND(AR359&gt;=Tablas!$G$20, AR359&lt;Tablas!$G$21), 2,  IF(AND(AR359&gt;=Tablas!$G$21, AR359&lt;=Tablas!$G$22), 3,  ""))))</f>
        <v/>
      </c>
      <c r="AV359" s="85" t="str">
        <f t="shared" si="614"/>
        <v/>
      </c>
      <c r="AW359" s="101" t="str">
        <f t="shared" si="615"/>
        <v/>
      </c>
      <c r="AX359" s="177"/>
      <c r="AY359" s="169"/>
      <c r="AZ359" s="158"/>
      <c r="BA359" s="169"/>
      <c r="BB359" s="182"/>
      <c r="BC359" s="182"/>
      <c r="BD359" s="185"/>
      <c r="BE359" s="185"/>
      <c r="BF359" s="158"/>
      <c r="BG359" s="191"/>
    </row>
    <row r="360" spans="1:59" x14ac:dyDescent="0.25">
      <c r="A360" s="167"/>
      <c r="B360" s="195"/>
      <c r="C360" s="161"/>
      <c r="D360" s="160"/>
      <c r="E360" s="161"/>
      <c r="F360" s="164"/>
      <c r="G360" s="167"/>
      <c r="H360" s="167"/>
      <c r="I360" s="167"/>
      <c r="J360" s="167"/>
      <c r="K360" s="167"/>
      <c r="L360" s="166"/>
      <c r="M360" s="166"/>
      <c r="N360" s="166"/>
      <c r="O360" s="166"/>
      <c r="P360" s="166"/>
      <c r="Q360" s="166"/>
      <c r="R360" s="177"/>
      <c r="S360" s="167"/>
      <c r="T360" s="167"/>
      <c r="U360" s="167"/>
      <c r="V360" s="167"/>
      <c r="W360" s="167"/>
      <c r="X360" s="164"/>
      <c r="Y360" s="164"/>
      <c r="Z360" s="172"/>
      <c r="AA360" s="188"/>
      <c r="AB360" s="172"/>
      <c r="AC360" s="172"/>
      <c r="AD360" s="175"/>
      <c r="AE360" s="62" t="s">
        <v>153</v>
      </c>
      <c r="AF360" s="133"/>
      <c r="AG360" s="65"/>
      <c r="AH360" s="64"/>
      <c r="AI360" s="64"/>
      <c r="AJ360" s="64"/>
      <c r="AK360" s="64"/>
      <c r="AL360" s="64"/>
      <c r="AM360" s="80" t="str">
        <f>IFERROR((Tablas!$C$1*VLOOKUP(AH360, tipo_control, 2, 0)+Tablas!$E$1*VLOOKUP(AI360, nat_control, 2, 0)+Tablas!$G$1*VLOOKUP(AJ360, ev_control, 2, 0)+Tablas!$I$1*VLOOKUP(AK360, frec_control, 2, 0)+Tablas!$K$1*VLOOKUP(AL360, doc_control, 2, 0))*0.1*peso_dis, "")</f>
        <v/>
      </c>
      <c r="AN360" s="64"/>
      <c r="AO360" s="64"/>
      <c r="AP360" s="64"/>
      <c r="AQ360" s="80" t="str">
        <f>IFERROR((Tablas!$C$9*VLOOKUP(AN360, amb_control, 2, 0)+Tablas!$E$9*VLOOKUP(AO360, ejec_control, 2, 0)+Tablas!$G$9*VLOOKUP(AP360, cub_control, 2, 0))*0.1*peso_ejec, "")</f>
        <v/>
      </c>
      <c r="AR360" s="91" t="str">
        <f t="shared" si="613"/>
        <v/>
      </c>
      <c r="AS360" s="87" t="str">
        <f t="shared" si="578"/>
        <v/>
      </c>
      <c r="AT360" s="85" t="str">
        <f t="shared" si="579"/>
        <v/>
      </c>
      <c r="AU360" s="85" t="str">
        <f>IF(AR360&lt;Tablas!$G$19, 0, IF(AND(AR360&gt;=Tablas!$G$19, AR360&lt;Tablas!$G$20), 1,  IF(AND(AR360&gt;=Tablas!$G$20, AR360&lt;Tablas!$G$21), 2,  IF(AND(AR360&gt;=Tablas!$G$21, AR360&lt;=Tablas!$G$22), 3,  ""))))</f>
        <v/>
      </c>
      <c r="AV360" s="85" t="str">
        <f t="shared" si="614"/>
        <v/>
      </c>
      <c r="AW360" s="101" t="str">
        <f t="shared" si="615"/>
        <v/>
      </c>
      <c r="AX360" s="177"/>
      <c r="AY360" s="169"/>
      <c r="AZ360" s="158"/>
      <c r="BA360" s="169"/>
      <c r="BB360" s="182"/>
      <c r="BC360" s="182"/>
      <c r="BD360" s="185"/>
      <c r="BE360" s="185"/>
      <c r="BF360" s="158"/>
      <c r="BG360" s="191"/>
    </row>
    <row r="361" spans="1:59" ht="15.75" thickBot="1" x14ac:dyDescent="0.3">
      <c r="A361" s="167"/>
      <c r="B361" s="195"/>
      <c r="C361" s="161"/>
      <c r="D361" s="160"/>
      <c r="E361" s="161"/>
      <c r="F361" s="165"/>
      <c r="G361" s="149"/>
      <c r="H361" s="149"/>
      <c r="I361" s="149"/>
      <c r="J361" s="149"/>
      <c r="K361" s="149"/>
      <c r="L361" s="166"/>
      <c r="M361" s="166"/>
      <c r="N361" s="166"/>
      <c r="O361" s="166"/>
      <c r="P361" s="166"/>
      <c r="Q361" s="166"/>
      <c r="R361" s="177"/>
      <c r="S361" s="149"/>
      <c r="T361" s="149"/>
      <c r="U361" s="149"/>
      <c r="V361" s="149"/>
      <c r="W361" s="149"/>
      <c r="X361" s="165"/>
      <c r="Y361" s="165"/>
      <c r="Z361" s="172"/>
      <c r="AA361" s="188"/>
      <c r="AB361" s="172"/>
      <c r="AC361" s="172"/>
      <c r="AD361" s="175"/>
      <c r="AE361" s="66" t="s">
        <v>154</v>
      </c>
      <c r="AF361" s="134"/>
      <c r="AG361" s="67"/>
      <c r="AH361" s="69"/>
      <c r="AI361" s="69"/>
      <c r="AJ361" s="69"/>
      <c r="AK361" s="69"/>
      <c r="AL361" s="69"/>
      <c r="AM361" s="81" t="str">
        <f>IFERROR((Tablas!$C$1*VLOOKUP(AH361, tipo_control, 2, 0)+Tablas!$E$1*VLOOKUP(AI361, nat_control, 2, 0)+Tablas!$G$1*VLOOKUP(AJ361, ev_control, 2, 0)+Tablas!$I$1*VLOOKUP(AK361, frec_control, 2, 0)+Tablas!$K$1*VLOOKUP(AL361, doc_control, 2, 0))*0.1*peso_dis, "")</f>
        <v/>
      </c>
      <c r="AN361" s="69"/>
      <c r="AO361" s="69"/>
      <c r="AP361" s="69"/>
      <c r="AQ361" s="81" t="str">
        <f>IFERROR((Tablas!$C$9*VLOOKUP(AN361, amb_control, 2, 0)+Tablas!$E$9*VLOOKUP(AO361, ejec_control, 2, 0)+Tablas!$G$9*VLOOKUP(AP361, cub_control, 2, 0))*0.1*peso_ejec, "")</f>
        <v/>
      </c>
      <c r="AR361" s="93" t="str">
        <f t="shared" si="613"/>
        <v/>
      </c>
      <c r="AS361" s="87" t="str">
        <f t="shared" si="578"/>
        <v/>
      </c>
      <c r="AT361" s="94" t="str">
        <f t="shared" si="579"/>
        <v/>
      </c>
      <c r="AU361" s="94" t="str">
        <f>IF(AR361&lt;Tablas!$G$19, 0, IF(AND(AR361&gt;=Tablas!$G$19, AR361&lt;Tablas!$G$20), 1,  IF(AND(AR361&gt;=Tablas!$G$20, AR361&lt;Tablas!$G$21), 2,  IF(AND(AR361&gt;=Tablas!$G$21, AR361&lt;=Tablas!$G$22), 3,  ""))))</f>
        <v/>
      </c>
      <c r="AV361" s="94" t="str">
        <f t="shared" si="614"/>
        <v/>
      </c>
      <c r="AW361" s="102" t="str">
        <f t="shared" si="615"/>
        <v/>
      </c>
      <c r="AX361" s="157"/>
      <c r="AY361" s="170"/>
      <c r="AZ361" s="179"/>
      <c r="BA361" s="170"/>
      <c r="BB361" s="182"/>
      <c r="BC361" s="182"/>
      <c r="BD361" s="185"/>
      <c r="BE361" s="185"/>
      <c r="BF361" s="159"/>
      <c r="BG361" s="191"/>
    </row>
    <row r="362" spans="1:59" x14ac:dyDescent="0.25">
      <c r="A362" s="167"/>
      <c r="B362" s="195"/>
      <c r="C362" s="161" t="s">
        <v>15</v>
      </c>
      <c r="D362" s="160"/>
      <c r="E362" s="149"/>
      <c r="F362" s="163" t="str">
        <f t="shared" si="557"/>
        <v/>
      </c>
      <c r="G362" s="148"/>
      <c r="H362" s="148"/>
      <c r="I362" s="148"/>
      <c r="J362" s="148"/>
      <c r="K362" s="148"/>
      <c r="L362" s="165" t="str">
        <f>IFERROR(VLOOKUP(G362, tabla02, 2, 0), "")</f>
        <v/>
      </c>
      <c r="M362" s="165" t="str">
        <f>IFERROR(VLOOKUP(H362, tabla02, 2, 0), "")</f>
        <v/>
      </c>
      <c r="N362" s="165" t="str">
        <f>IFERROR(VLOOKUP(I362, tabla02, 2, 0), "")</f>
        <v/>
      </c>
      <c r="O362" s="165" t="str">
        <f>IFERROR(VLOOKUP(J362, tabla02, 2, 0), "")</f>
        <v/>
      </c>
      <c r="P362" s="165" t="str">
        <f>IFERROR(VLOOKUP(K362, tabla02, 2, 0), "")</f>
        <v/>
      </c>
      <c r="Q362" s="165" t="str">
        <f t="shared" ref="Q362" si="616">IF(SUM(L362:P362)=0, "", MAX(L362:P362))</f>
        <v/>
      </c>
      <c r="R362" s="159" t="str">
        <f>IFERROR(VLOOKUP(Q362, tabla04, 3, 0), "")</f>
        <v/>
      </c>
      <c r="S362" s="148"/>
      <c r="T362" s="148"/>
      <c r="U362" s="148"/>
      <c r="V362" s="148"/>
      <c r="W362" s="148"/>
      <c r="X362" s="163" t="str">
        <f>IFERROR(VLOOKUP(CONCATENATE(F362, "-", Q362), cuadrante_sev, 3, 0), "")</f>
        <v/>
      </c>
      <c r="Y362" s="163" t="str">
        <f t="shared" ref="Y362" si="617">IFERROR(IF(X362="Baja", 1, IF(X362="Moderada", 2, IF(X362="Alta", 3, IF(X362="Extrema", 4, "")))), "")</f>
        <v/>
      </c>
      <c r="Z362" s="172"/>
      <c r="AA362" s="188"/>
      <c r="AB362" s="172"/>
      <c r="AC362" s="172"/>
      <c r="AD362" s="175"/>
      <c r="AE362" s="70" t="s">
        <v>113</v>
      </c>
      <c r="AF362" s="135"/>
      <c r="AG362" s="74"/>
      <c r="AH362" s="72"/>
      <c r="AI362" s="72"/>
      <c r="AJ362" s="72"/>
      <c r="AK362" s="72"/>
      <c r="AL362" s="72"/>
      <c r="AM362" s="82" t="str">
        <f>IFERROR((Tablas!$C$1*VLOOKUP(AH362, tipo_control, 2, 0)+Tablas!$E$1*VLOOKUP(AI362, nat_control, 2, 0)+Tablas!$G$1*VLOOKUP(AJ362, ev_control, 2, 0)+Tablas!$I$1*VLOOKUP(AK362, frec_control, 2, 0)+Tablas!$K$1*VLOOKUP(AL362, doc_control, 2, 0))*0.1*peso_dis, "")</f>
        <v/>
      </c>
      <c r="AN362" s="72"/>
      <c r="AO362" s="72"/>
      <c r="AP362" s="72"/>
      <c r="AQ362" s="82" t="str">
        <f>IFERROR((Tablas!$C$9*VLOOKUP(AN362, amb_control, 2, 0)+Tablas!$E$9*VLOOKUP(AO362, ejec_control, 2, 0)+Tablas!$G$9*VLOOKUP(AP362, cub_control, 2, 0))*0.1*peso_ejec, "")</f>
        <v/>
      </c>
      <c r="AR362" s="96" t="str">
        <f t="shared" si="613"/>
        <v/>
      </c>
      <c r="AS362" s="97" t="str">
        <f t="shared" si="578"/>
        <v/>
      </c>
      <c r="AT362" s="87" t="str">
        <f t="shared" si="579"/>
        <v/>
      </c>
      <c r="AU362" s="97" t="str">
        <f>IF(AR362&lt;Tablas!$G$19, 0, IF(AND(AR362&gt;=Tablas!$G$19, AR362&lt;Tablas!$G$20), 1,  IF(AND(AR362&gt;=Tablas!$G$20, AR362&lt;Tablas!$G$21), 2,  IF(AND(AR362&gt;=Tablas!$G$21, AR362&lt;=Tablas!$G$22), 3,  ""))))</f>
        <v/>
      </c>
      <c r="AV362" s="97" t="str">
        <f t="shared" si="614"/>
        <v/>
      </c>
      <c r="AW362" s="103" t="str">
        <f t="shared" si="615"/>
        <v/>
      </c>
      <c r="AX362" s="176" t="str">
        <f t="shared" ref="AX362" si="618">IFERROR(VLOOKUP(AY362, tabla04, 2, 0), "")</f>
        <v/>
      </c>
      <c r="AY362" s="168" t="str">
        <f>IF(F362="", "", IF((F362-MAX(AV362:AV366))&lt;=0, 1, F362-MAX(AV362:AV366)))</f>
        <v/>
      </c>
      <c r="AZ362" s="178" t="str">
        <f t="shared" ref="AZ362" si="619">IFERROR(VLOOKUP(BA362, tabla04, 3, 0), "")</f>
        <v/>
      </c>
      <c r="BA362" s="168" t="str">
        <f>IF(Q362="", "", IF((Q362-MAX(AW362:AW366))&lt;=0, 1, Q362-MAX(AW362:AW366)))</f>
        <v/>
      </c>
      <c r="BB362" s="182"/>
      <c r="BC362" s="182"/>
      <c r="BD362" s="185"/>
      <c r="BE362" s="185"/>
      <c r="BF362" s="158" t="str">
        <f t="shared" ref="BF362:BF364" si="620">IFERROR(VLOOKUP(CONCATENATE(AY362, "-", BA362), cuadrante_sev, 3, 0), "")</f>
        <v/>
      </c>
      <c r="BG362" s="191"/>
    </row>
    <row r="363" spans="1:59" x14ac:dyDescent="0.25">
      <c r="A363" s="167"/>
      <c r="B363" s="195"/>
      <c r="C363" s="161"/>
      <c r="D363" s="160"/>
      <c r="E363" s="161"/>
      <c r="F363" s="164"/>
      <c r="G363" s="167"/>
      <c r="H363" s="167"/>
      <c r="I363" s="167"/>
      <c r="J363" s="167"/>
      <c r="K363" s="167"/>
      <c r="L363" s="166"/>
      <c r="M363" s="166"/>
      <c r="N363" s="166"/>
      <c r="O363" s="166"/>
      <c r="P363" s="166"/>
      <c r="Q363" s="166"/>
      <c r="R363" s="177"/>
      <c r="S363" s="167"/>
      <c r="T363" s="167"/>
      <c r="U363" s="167"/>
      <c r="V363" s="167"/>
      <c r="W363" s="167"/>
      <c r="X363" s="164"/>
      <c r="Y363" s="164"/>
      <c r="Z363" s="172"/>
      <c r="AA363" s="188"/>
      <c r="AB363" s="172"/>
      <c r="AC363" s="172"/>
      <c r="AD363" s="175"/>
      <c r="AE363" s="62" t="s">
        <v>114</v>
      </c>
      <c r="AF363" s="133"/>
      <c r="AG363" s="65"/>
      <c r="AH363" s="64"/>
      <c r="AI363" s="64"/>
      <c r="AJ363" s="64"/>
      <c r="AK363" s="64"/>
      <c r="AL363" s="64"/>
      <c r="AM363" s="80" t="str">
        <f>IFERROR((Tablas!$C$1*VLOOKUP(AH363, tipo_control, 2, 0)+Tablas!$E$1*VLOOKUP(AI363, nat_control, 2, 0)+Tablas!$G$1*VLOOKUP(AJ363, ev_control, 2, 0)+Tablas!$I$1*VLOOKUP(AK363, frec_control, 2, 0)+Tablas!$K$1*VLOOKUP(AL363, doc_control, 2, 0))*0.1*peso_dis, "")</f>
        <v/>
      </c>
      <c r="AN363" s="64"/>
      <c r="AO363" s="64"/>
      <c r="AP363" s="64"/>
      <c r="AQ363" s="80" t="str">
        <f>IFERROR((Tablas!$C$9*VLOOKUP(AN363, amb_control, 2, 0)+Tablas!$E$9*VLOOKUP(AO363, ejec_control, 2, 0)+Tablas!$G$9*VLOOKUP(AP363, cub_control, 2, 0))*0.1*peso_ejec, "")</f>
        <v/>
      </c>
      <c r="AR363" s="91" t="str">
        <f t="shared" si="613"/>
        <v/>
      </c>
      <c r="AS363" s="85" t="str">
        <f t="shared" si="578"/>
        <v/>
      </c>
      <c r="AT363" s="85" t="str">
        <f t="shared" si="579"/>
        <v/>
      </c>
      <c r="AU363" s="85" t="str">
        <f>IF(AR363&lt;Tablas!$G$19, 0, IF(AND(AR363&gt;=Tablas!$G$19, AR363&lt;Tablas!$G$20), 1,  IF(AND(AR363&gt;=Tablas!$G$20, AR363&lt;Tablas!$G$21), 2,  IF(AND(AR363&gt;=Tablas!$G$21, AR363&lt;=Tablas!$G$22), 3,  ""))))</f>
        <v/>
      </c>
      <c r="AV363" s="85" t="str">
        <f t="shared" si="614"/>
        <v/>
      </c>
      <c r="AW363" s="101" t="str">
        <f t="shared" si="615"/>
        <v/>
      </c>
      <c r="AX363" s="177"/>
      <c r="AY363" s="169"/>
      <c r="AZ363" s="158"/>
      <c r="BA363" s="169"/>
      <c r="BB363" s="182"/>
      <c r="BC363" s="182"/>
      <c r="BD363" s="185"/>
      <c r="BE363" s="185"/>
      <c r="BF363" s="158" t="str">
        <f t="shared" si="620"/>
        <v/>
      </c>
      <c r="BG363" s="191"/>
    </row>
    <row r="364" spans="1:59" x14ac:dyDescent="0.25">
      <c r="A364" s="167"/>
      <c r="B364" s="195"/>
      <c r="C364" s="161"/>
      <c r="D364" s="160"/>
      <c r="E364" s="161"/>
      <c r="F364" s="164"/>
      <c r="G364" s="167"/>
      <c r="H364" s="167"/>
      <c r="I364" s="167"/>
      <c r="J364" s="167"/>
      <c r="K364" s="167"/>
      <c r="L364" s="166"/>
      <c r="M364" s="166"/>
      <c r="N364" s="166"/>
      <c r="O364" s="166"/>
      <c r="P364" s="166"/>
      <c r="Q364" s="166"/>
      <c r="R364" s="177"/>
      <c r="S364" s="167"/>
      <c r="T364" s="167"/>
      <c r="U364" s="167"/>
      <c r="V364" s="167"/>
      <c r="W364" s="167"/>
      <c r="X364" s="164"/>
      <c r="Y364" s="164"/>
      <c r="Z364" s="172"/>
      <c r="AA364" s="188"/>
      <c r="AB364" s="172"/>
      <c r="AC364" s="172"/>
      <c r="AD364" s="175"/>
      <c r="AE364" s="62" t="s">
        <v>115</v>
      </c>
      <c r="AF364" s="133"/>
      <c r="AG364" s="65"/>
      <c r="AH364" s="64"/>
      <c r="AI364" s="64"/>
      <c r="AJ364" s="64"/>
      <c r="AK364" s="64"/>
      <c r="AL364" s="64"/>
      <c r="AM364" s="80" t="str">
        <f>IFERROR((Tablas!$C$1*VLOOKUP(AH364, tipo_control, 2, 0)+Tablas!$E$1*VLOOKUP(AI364, nat_control, 2, 0)+Tablas!$G$1*VLOOKUP(AJ364, ev_control, 2, 0)+Tablas!$I$1*VLOOKUP(AK364, frec_control, 2, 0)+Tablas!$K$1*VLOOKUP(AL364, doc_control, 2, 0))*0.1*peso_dis, "")</f>
        <v/>
      </c>
      <c r="AN364" s="64"/>
      <c r="AO364" s="64"/>
      <c r="AP364" s="64"/>
      <c r="AQ364" s="80" t="str">
        <f>IFERROR((Tablas!$C$9*VLOOKUP(AN364, amb_control, 2, 0)+Tablas!$E$9*VLOOKUP(AO364, ejec_control, 2, 0)+Tablas!$G$9*VLOOKUP(AP364, cub_control, 2, 0))*0.1*peso_ejec, "")</f>
        <v/>
      </c>
      <c r="AR364" s="91" t="str">
        <f t="shared" si="613"/>
        <v/>
      </c>
      <c r="AS364" s="85" t="str">
        <f t="shared" si="578"/>
        <v/>
      </c>
      <c r="AT364" s="85" t="str">
        <f t="shared" si="579"/>
        <v/>
      </c>
      <c r="AU364" s="85" t="str">
        <f>IF(AR364&lt;Tablas!$G$19, 0, IF(AND(AR364&gt;=Tablas!$G$19, AR364&lt;Tablas!$G$20), 1,  IF(AND(AR364&gt;=Tablas!$G$20, AR364&lt;Tablas!$G$21), 2,  IF(AND(AR364&gt;=Tablas!$G$21, AR364&lt;=Tablas!$G$22), 3,  ""))))</f>
        <v/>
      </c>
      <c r="AV364" s="85" t="str">
        <f t="shared" si="614"/>
        <v/>
      </c>
      <c r="AW364" s="101" t="str">
        <f t="shared" si="615"/>
        <v/>
      </c>
      <c r="AX364" s="177"/>
      <c r="AY364" s="169"/>
      <c r="AZ364" s="158"/>
      <c r="BA364" s="169"/>
      <c r="BB364" s="182"/>
      <c r="BC364" s="182"/>
      <c r="BD364" s="185"/>
      <c r="BE364" s="185"/>
      <c r="BF364" s="158" t="str">
        <f t="shared" si="620"/>
        <v/>
      </c>
      <c r="BG364" s="191"/>
    </row>
    <row r="365" spans="1:59" x14ac:dyDescent="0.25">
      <c r="A365" s="167"/>
      <c r="B365" s="195"/>
      <c r="C365" s="161"/>
      <c r="D365" s="160"/>
      <c r="E365" s="161"/>
      <c r="F365" s="164"/>
      <c r="G365" s="167"/>
      <c r="H365" s="167"/>
      <c r="I365" s="167"/>
      <c r="J365" s="167"/>
      <c r="K365" s="167"/>
      <c r="L365" s="166"/>
      <c r="M365" s="166"/>
      <c r="N365" s="166"/>
      <c r="O365" s="166"/>
      <c r="P365" s="166"/>
      <c r="Q365" s="166"/>
      <c r="R365" s="177"/>
      <c r="S365" s="167"/>
      <c r="T365" s="167"/>
      <c r="U365" s="167"/>
      <c r="V365" s="167"/>
      <c r="W365" s="167"/>
      <c r="X365" s="164"/>
      <c r="Y365" s="164"/>
      <c r="Z365" s="172"/>
      <c r="AA365" s="188"/>
      <c r="AB365" s="172"/>
      <c r="AC365" s="172"/>
      <c r="AD365" s="175"/>
      <c r="AE365" s="62" t="s">
        <v>153</v>
      </c>
      <c r="AF365" s="133"/>
      <c r="AG365" s="65"/>
      <c r="AH365" s="64"/>
      <c r="AI365" s="64"/>
      <c r="AJ365" s="64"/>
      <c r="AK365" s="64"/>
      <c r="AL365" s="64"/>
      <c r="AM365" s="80" t="str">
        <f>IFERROR((Tablas!$C$1*VLOOKUP(AH365, tipo_control, 2, 0)+Tablas!$E$1*VLOOKUP(AI365, nat_control, 2, 0)+Tablas!$G$1*VLOOKUP(AJ365, ev_control, 2, 0)+Tablas!$I$1*VLOOKUP(AK365, frec_control, 2, 0)+Tablas!$K$1*VLOOKUP(AL365, doc_control, 2, 0))*0.1*peso_dis, "")</f>
        <v/>
      </c>
      <c r="AN365" s="64"/>
      <c r="AO365" s="64"/>
      <c r="AP365" s="64"/>
      <c r="AQ365" s="80" t="str">
        <f>IFERROR((Tablas!$C$9*VLOOKUP(AN365, amb_control, 2, 0)+Tablas!$E$9*VLOOKUP(AO365, ejec_control, 2, 0)+Tablas!$G$9*VLOOKUP(AP365, cub_control, 2, 0))*0.1*peso_ejec, "")</f>
        <v/>
      </c>
      <c r="AR365" s="91" t="str">
        <f t="shared" si="613"/>
        <v/>
      </c>
      <c r="AS365" s="85" t="str">
        <f t="shared" si="578"/>
        <v/>
      </c>
      <c r="AT365" s="85" t="str">
        <f t="shared" si="579"/>
        <v/>
      </c>
      <c r="AU365" s="85" t="str">
        <f>IF(AR365&lt;Tablas!$G$19, 0, IF(AND(AR365&gt;=Tablas!$G$19, AR365&lt;Tablas!$G$20), 1,  IF(AND(AR365&gt;=Tablas!$G$20, AR365&lt;Tablas!$G$21), 2,  IF(AND(AR365&gt;=Tablas!$G$21, AR365&lt;=Tablas!$G$22), 3,  ""))))</f>
        <v/>
      </c>
      <c r="AV365" s="85" t="str">
        <f t="shared" si="614"/>
        <v/>
      </c>
      <c r="AW365" s="101" t="str">
        <f t="shared" si="615"/>
        <v/>
      </c>
      <c r="AX365" s="177"/>
      <c r="AY365" s="169"/>
      <c r="AZ365" s="158"/>
      <c r="BA365" s="169"/>
      <c r="BB365" s="182"/>
      <c r="BC365" s="182"/>
      <c r="BD365" s="185"/>
      <c r="BE365" s="185"/>
      <c r="BF365" s="158"/>
      <c r="BG365" s="191"/>
    </row>
    <row r="366" spans="1:59" ht="15.75" thickBot="1" x14ac:dyDescent="0.3">
      <c r="A366" s="167"/>
      <c r="B366" s="195"/>
      <c r="C366" s="161"/>
      <c r="D366" s="160"/>
      <c r="E366" s="161"/>
      <c r="F366" s="165"/>
      <c r="G366" s="149"/>
      <c r="H366" s="149"/>
      <c r="I366" s="149"/>
      <c r="J366" s="149"/>
      <c r="K366" s="149"/>
      <c r="L366" s="166"/>
      <c r="M366" s="166"/>
      <c r="N366" s="166"/>
      <c r="O366" s="166"/>
      <c r="P366" s="166"/>
      <c r="Q366" s="166"/>
      <c r="R366" s="177"/>
      <c r="S366" s="149"/>
      <c r="T366" s="149"/>
      <c r="U366" s="149"/>
      <c r="V366" s="149"/>
      <c r="W366" s="149"/>
      <c r="X366" s="165"/>
      <c r="Y366" s="165"/>
      <c r="Z366" s="172"/>
      <c r="AA366" s="188"/>
      <c r="AB366" s="172"/>
      <c r="AC366" s="172"/>
      <c r="AD366" s="175"/>
      <c r="AE366" s="66" t="s">
        <v>154</v>
      </c>
      <c r="AF366" s="134"/>
      <c r="AG366" s="67"/>
      <c r="AH366" s="69"/>
      <c r="AI366" s="69"/>
      <c r="AJ366" s="69"/>
      <c r="AK366" s="69"/>
      <c r="AL366" s="69"/>
      <c r="AM366" s="81" t="str">
        <f>IFERROR((Tablas!$C$1*VLOOKUP(AH366, tipo_control, 2, 0)+Tablas!$E$1*VLOOKUP(AI366, nat_control, 2, 0)+Tablas!$G$1*VLOOKUP(AJ366, ev_control, 2, 0)+Tablas!$I$1*VLOOKUP(AK366, frec_control, 2, 0)+Tablas!$K$1*VLOOKUP(AL366, doc_control, 2, 0))*0.1*peso_dis, "")</f>
        <v/>
      </c>
      <c r="AN366" s="69"/>
      <c r="AO366" s="69"/>
      <c r="AP366" s="69"/>
      <c r="AQ366" s="81" t="str">
        <f>IFERROR((Tablas!$C$9*VLOOKUP(AN366, amb_control, 2, 0)+Tablas!$E$9*VLOOKUP(AO366, ejec_control, 2, 0)+Tablas!$G$9*VLOOKUP(AP366, cub_control, 2, 0))*0.1*peso_ejec, "")</f>
        <v/>
      </c>
      <c r="AR366" s="93" t="str">
        <f t="shared" si="613"/>
        <v/>
      </c>
      <c r="AS366" s="94" t="str">
        <f t="shared" si="578"/>
        <v/>
      </c>
      <c r="AT366" s="94" t="str">
        <f t="shared" si="579"/>
        <v/>
      </c>
      <c r="AU366" s="94" t="str">
        <f>IF(AR366&lt;Tablas!$G$19, 0, IF(AND(AR366&gt;=Tablas!$G$19, AR366&lt;Tablas!$G$20), 1,  IF(AND(AR366&gt;=Tablas!$G$20, AR366&lt;Tablas!$G$21), 2,  IF(AND(AR366&gt;=Tablas!$G$21, AR366&lt;=Tablas!$G$22), 3,  ""))))</f>
        <v/>
      </c>
      <c r="AV366" s="94" t="str">
        <f t="shared" si="614"/>
        <v/>
      </c>
      <c r="AW366" s="102" t="str">
        <f t="shared" si="615"/>
        <v/>
      </c>
      <c r="AX366" s="157"/>
      <c r="AY366" s="170"/>
      <c r="AZ366" s="179"/>
      <c r="BA366" s="170"/>
      <c r="BB366" s="182"/>
      <c r="BC366" s="182"/>
      <c r="BD366" s="185"/>
      <c r="BE366" s="185"/>
      <c r="BF366" s="159"/>
      <c r="BG366" s="191"/>
    </row>
    <row r="367" spans="1:59" x14ac:dyDescent="0.25">
      <c r="A367" s="167"/>
      <c r="B367" s="195"/>
      <c r="C367" s="161" t="s">
        <v>16</v>
      </c>
      <c r="D367" s="160"/>
      <c r="E367" s="149"/>
      <c r="F367" s="163" t="str">
        <f t="shared" si="557"/>
        <v/>
      </c>
      <c r="G367" s="148"/>
      <c r="H367" s="148"/>
      <c r="I367" s="148"/>
      <c r="J367" s="148"/>
      <c r="K367" s="148"/>
      <c r="L367" s="165" t="str">
        <f>IFERROR(VLOOKUP(G367, tabla02, 2, 0), "")</f>
        <v/>
      </c>
      <c r="M367" s="165" t="str">
        <f>IFERROR(VLOOKUP(H367, tabla02, 2, 0), "")</f>
        <v/>
      </c>
      <c r="N367" s="165" t="str">
        <f>IFERROR(VLOOKUP(I367, tabla02, 2, 0), "")</f>
        <v/>
      </c>
      <c r="O367" s="165" t="str">
        <f>IFERROR(VLOOKUP(J367, tabla02, 2, 0), "")</f>
        <v/>
      </c>
      <c r="P367" s="165" t="str">
        <f>IFERROR(VLOOKUP(K367, tabla02, 2, 0), "")</f>
        <v/>
      </c>
      <c r="Q367" s="165" t="str">
        <f t="shared" ref="Q367" si="621">IF(SUM(L367:P367)=0, "", MAX(L367:P367))</f>
        <v/>
      </c>
      <c r="R367" s="159" t="str">
        <f>IFERROR(VLOOKUP(Q367, tabla04, 3, 0), "")</f>
        <v/>
      </c>
      <c r="S367" s="148"/>
      <c r="T367" s="148"/>
      <c r="U367" s="148"/>
      <c r="V367" s="148"/>
      <c r="W367" s="148"/>
      <c r="X367" s="163" t="str">
        <f>IFERROR(VLOOKUP(CONCATENATE(F367, "-", Q367), cuadrante_sev, 3, 0), "")</f>
        <v/>
      </c>
      <c r="Y367" s="163" t="str">
        <f t="shared" ref="Y367" si="622">IFERROR(IF(X367="Baja", 1, IF(X367="Moderada", 2, IF(X367="Alta", 3, IF(X367="Extrema", 4, "")))), "")</f>
        <v/>
      </c>
      <c r="Z367" s="172"/>
      <c r="AA367" s="188"/>
      <c r="AB367" s="172"/>
      <c r="AC367" s="172"/>
      <c r="AD367" s="175"/>
      <c r="AE367" s="70" t="s">
        <v>113</v>
      </c>
      <c r="AF367" s="135"/>
      <c r="AG367" s="77"/>
      <c r="AH367" s="61"/>
      <c r="AI367" s="61"/>
      <c r="AJ367" s="61"/>
      <c r="AK367" s="61"/>
      <c r="AL367" s="61"/>
      <c r="AM367" s="82" t="str">
        <f>IFERROR((Tablas!$C$1*VLOOKUP(AH367, tipo_control, 2, 0)+Tablas!$E$1*VLOOKUP(AI367, nat_control, 2, 0)+Tablas!$G$1*VLOOKUP(AJ367, ev_control, 2, 0)+Tablas!$I$1*VLOOKUP(AK367, frec_control, 2, 0)+Tablas!$K$1*VLOOKUP(AL367, doc_control, 2, 0))*0.1*peso_dis, "")</f>
        <v/>
      </c>
      <c r="AN367" s="61"/>
      <c r="AO367" s="61"/>
      <c r="AP367" s="61"/>
      <c r="AQ367" s="82" t="str">
        <f>IFERROR((Tablas!$C$9*VLOOKUP(AN367, amb_control, 2, 0)+Tablas!$E$9*VLOOKUP(AO367, ejec_control, 2, 0)+Tablas!$G$9*VLOOKUP(AP367, cub_control, 2, 0))*0.1*peso_ejec, "")</f>
        <v/>
      </c>
      <c r="AR367" s="96" t="str">
        <f t="shared" si="613"/>
        <v/>
      </c>
      <c r="AS367" s="97" t="str">
        <f t="shared" si="578"/>
        <v/>
      </c>
      <c r="AT367" s="87" t="str">
        <f t="shared" si="579"/>
        <v/>
      </c>
      <c r="AU367" s="97" t="str">
        <f>IF(AR367&lt;Tablas!$G$19, 0, IF(AND(AR367&gt;=Tablas!$G$19, AR367&lt;Tablas!$G$20), 1,  IF(AND(AR367&gt;=Tablas!$G$20, AR367&lt;Tablas!$G$21), 2,  IF(AND(AR367&gt;=Tablas!$G$21, AR367&lt;=Tablas!$G$22), 3,  ""))))</f>
        <v/>
      </c>
      <c r="AV367" s="97" t="str">
        <f t="shared" si="614"/>
        <v/>
      </c>
      <c r="AW367" s="103" t="str">
        <f t="shared" si="615"/>
        <v/>
      </c>
      <c r="AX367" s="176" t="str">
        <f t="shared" ref="AX367" si="623">IFERROR(VLOOKUP(AY367, tabla04, 2, 0), "")</f>
        <v/>
      </c>
      <c r="AY367" s="168" t="str">
        <f>IF(F367="", "", IF((F367-MAX(AV367:AV371))&lt;=0, 1, F367-MAX(AV367:AV371)))</f>
        <v/>
      </c>
      <c r="AZ367" s="178" t="str">
        <f t="shared" ref="AZ367" si="624">IFERROR(VLOOKUP(BA367, tabla04, 3, 0), "")</f>
        <v/>
      </c>
      <c r="BA367" s="168" t="str">
        <f>IF(Q367="", "", IF((Q367-MAX(AW367:AW371))&lt;=0, 1, Q367-MAX(AW367:AW371)))</f>
        <v/>
      </c>
      <c r="BB367" s="182"/>
      <c r="BC367" s="182"/>
      <c r="BD367" s="185"/>
      <c r="BE367" s="185"/>
      <c r="BF367" s="158" t="str">
        <f t="shared" ref="BF367:BF369" si="625">IFERROR(VLOOKUP(CONCATENATE(AY367, "-", BA367), cuadrante_sev, 3, 0), "")</f>
        <v/>
      </c>
      <c r="BG367" s="191"/>
    </row>
    <row r="368" spans="1:59" x14ac:dyDescent="0.25">
      <c r="A368" s="167"/>
      <c r="B368" s="195"/>
      <c r="C368" s="161"/>
      <c r="D368" s="160"/>
      <c r="E368" s="161"/>
      <c r="F368" s="164"/>
      <c r="G368" s="167"/>
      <c r="H368" s="167"/>
      <c r="I368" s="167"/>
      <c r="J368" s="167"/>
      <c r="K368" s="167"/>
      <c r="L368" s="166"/>
      <c r="M368" s="166"/>
      <c r="N368" s="166"/>
      <c r="O368" s="166"/>
      <c r="P368" s="166"/>
      <c r="Q368" s="166"/>
      <c r="R368" s="177"/>
      <c r="S368" s="167"/>
      <c r="T368" s="167"/>
      <c r="U368" s="167"/>
      <c r="V368" s="167"/>
      <c r="W368" s="167"/>
      <c r="X368" s="164"/>
      <c r="Y368" s="164"/>
      <c r="Z368" s="172"/>
      <c r="AA368" s="188"/>
      <c r="AB368" s="172"/>
      <c r="AC368" s="172"/>
      <c r="AD368" s="175"/>
      <c r="AE368" s="62" t="s">
        <v>114</v>
      </c>
      <c r="AF368" s="133"/>
      <c r="AG368" s="65"/>
      <c r="AH368" s="64"/>
      <c r="AI368" s="64"/>
      <c r="AJ368" s="64"/>
      <c r="AK368" s="64"/>
      <c r="AL368" s="64"/>
      <c r="AM368" s="80" t="str">
        <f>IFERROR((Tablas!$C$1*VLOOKUP(AH368, tipo_control, 2, 0)+Tablas!$E$1*VLOOKUP(AI368, nat_control, 2, 0)+Tablas!$G$1*VLOOKUP(AJ368, ev_control, 2, 0)+Tablas!$I$1*VLOOKUP(AK368, frec_control, 2, 0)+Tablas!$K$1*VLOOKUP(AL368, doc_control, 2, 0))*0.1*peso_dis, "")</f>
        <v/>
      </c>
      <c r="AN368" s="64"/>
      <c r="AO368" s="64"/>
      <c r="AP368" s="64"/>
      <c r="AQ368" s="80" t="str">
        <f>IFERROR((Tablas!$C$9*VLOOKUP(AN368, amb_control, 2, 0)+Tablas!$E$9*VLOOKUP(AO368, ejec_control, 2, 0)+Tablas!$G$9*VLOOKUP(AP368, cub_control, 2, 0))*0.1*peso_ejec, "")</f>
        <v/>
      </c>
      <c r="AR368" s="91" t="str">
        <f t="shared" si="613"/>
        <v/>
      </c>
      <c r="AS368" s="85" t="str">
        <f t="shared" si="578"/>
        <v/>
      </c>
      <c r="AT368" s="85" t="str">
        <f t="shared" si="579"/>
        <v/>
      </c>
      <c r="AU368" s="85" t="str">
        <f>IF(AR368&lt;Tablas!$G$19, 0, IF(AND(AR368&gt;=Tablas!$G$19, AR368&lt;Tablas!$G$20), 1,  IF(AND(AR368&gt;=Tablas!$G$20, AR368&lt;Tablas!$G$21), 2,  IF(AND(AR368&gt;=Tablas!$G$21, AR368&lt;=Tablas!$G$22), 3,  ""))))</f>
        <v/>
      </c>
      <c r="AV368" s="85" t="str">
        <f t="shared" si="614"/>
        <v/>
      </c>
      <c r="AW368" s="101" t="str">
        <f t="shared" si="615"/>
        <v/>
      </c>
      <c r="AX368" s="177"/>
      <c r="AY368" s="169"/>
      <c r="AZ368" s="158"/>
      <c r="BA368" s="169"/>
      <c r="BB368" s="182"/>
      <c r="BC368" s="182"/>
      <c r="BD368" s="185"/>
      <c r="BE368" s="185"/>
      <c r="BF368" s="158" t="str">
        <f t="shared" si="625"/>
        <v/>
      </c>
      <c r="BG368" s="191"/>
    </row>
    <row r="369" spans="1:59" x14ac:dyDescent="0.25">
      <c r="A369" s="167"/>
      <c r="B369" s="195"/>
      <c r="C369" s="161"/>
      <c r="D369" s="160"/>
      <c r="E369" s="161"/>
      <c r="F369" s="164"/>
      <c r="G369" s="167"/>
      <c r="H369" s="167"/>
      <c r="I369" s="167"/>
      <c r="J369" s="167"/>
      <c r="K369" s="167"/>
      <c r="L369" s="166"/>
      <c r="M369" s="166"/>
      <c r="N369" s="166"/>
      <c r="O369" s="166"/>
      <c r="P369" s="166"/>
      <c r="Q369" s="166"/>
      <c r="R369" s="177"/>
      <c r="S369" s="167"/>
      <c r="T369" s="167"/>
      <c r="U369" s="167"/>
      <c r="V369" s="167"/>
      <c r="W369" s="167"/>
      <c r="X369" s="164"/>
      <c r="Y369" s="164"/>
      <c r="Z369" s="172"/>
      <c r="AA369" s="188"/>
      <c r="AB369" s="172"/>
      <c r="AC369" s="172"/>
      <c r="AD369" s="175"/>
      <c r="AE369" s="62" t="s">
        <v>115</v>
      </c>
      <c r="AF369" s="133"/>
      <c r="AG369" s="65"/>
      <c r="AH369" s="64"/>
      <c r="AI369" s="64"/>
      <c r="AJ369" s="64"/>
      <c r="AK369" s="64"/>
      <c r="AL369" s="64"/>
      <c r="AM369" s="80" t="str">
        <f>IFERROR((Tablas!$C$1*VLOOKUP(AH369, tipo_control, 2, 0)+Tablas!$E$1*VLOOKUP(AI369, nat_control, 2, 0)+Tablas!$G$1*VLOOKUP(AJ369, ev_control, 2, 0)+Tablas!$I$1*VLOOKUP(AK369, frec_control, 2, 0)+Tablas!$K$1*VLOOKUP(AL369, doc_control, 2, 0))*0.1*peso_dis, "")</f>
        <v/>
      </c>
      <c r="AN369" s="64"/>
      <c r="AO369" s="64"/>
      <c r="AP369" s="64"/>
      <c r="AQ369" s="80" t="str">
        <f>IFERROR((Tablas!$C$9*VLOOKUP(AN369, amb_control, 2, 0)+Tablas!$E$9*VLOOKUP(AO369, ejec_control, 2, 0)+Tablas!$G$9*VLOOKUP(AP369, cub_control, 2, 0))*0.1*peso_ejec, "")</f>
        <v/>
      </c>
      <c r="AR369" s="91" t="str">
        <f t="shared" si="613"/>
        <v/>
      </c>
      <c r="AS369" s="85" t="str">
        <f t="shared" si="578"/>
        <v/>
      </c>
      <c r="AT369" s="85" t="str">
        <f t="shared" si="579"/>
        <v/>
      </c>
      <c r="AU369" s="85" t="str">
        <f>IF(AR369&lt;Tablas!$G$19, 0, IF(AND(AR369&gt;=Tablas!$G$19, AR369&lt;Tablas!$G$20), 1,  IF(AND(AR369&gt;=Tablas!$G$20, AR369&lt;Tablas!$G$21), 2,  IF(AND(AR369&gt;=Tablas!$G$21, AR369&lt;=Tablas!$G$22), 3,  ""))))</f>
        <v/>
      </c>
      <c r="AV369" s="85" t="str">
        <f t="shared" si="614"/>
        <v/>
      </c>
      <c r="AW369" s="101" t="str">
        <f t="shared" si="615"/>
        <v/>
      </c>
      <c r="AX369" s="177"/>
      <c r="AY369" s="169"/>
      <c r="AZ369" s="158"/>
      <c r="BA369" s="169"/>
      <c r="BB369" s="182"/>
      <c r="BC369" s="182"/>
      <c r="BD369" s="185"/>
      <c r="BE369" s="185"/>
      <c r="BF369" s="158" t="str">
        <f t="shared" si="625"/>
        <v/>
      </c>
      <c r="BG369" s="191"/>
    </row>
    <row r="370" spans="1:59" x14ac:dyDescent="0.25">
      <c r="A370" s="167"/>
      <c r="B370" s="195"/>
      <c r="C370" s="161"/>
      <c r="D370" s="160"/>
      <c r="E370" s="161"/>
      <c r="F370" s="164"/>
      <c r="G370" s="167"/>
      <c r="H370" s="167"/>
      <c r="I370" s="167"/>
      <c r="J370" s="167"/>
      <c r="K370" s="167"/>
      <c r="L370" s="166"/>
      <c r="M370" s="166"/>
      <c r="N370" s="166"/>
      <c r="O370" s="166"/>
      <c r="P370" s="166"/>
      <c r="Q370" s="166"/>
      <c r="R370" s="177"/>
      <c r="S370" s="167"/>
      <c r="T370" s="167"/>
      <c r="U370" s="167"/>
      <c r="V370" s="167"/>
      <c r="W370" s="167"/>
      <c r="X370" s="164"/>
      <c r="Y370" s="164"/>
      <c r="Z370" s="172"/>
      <c r="AA370" s="188"/>
      <c r="AB370" s="172"/>
      <c r="AC370" s="172"/>
      <c r="AD370" s="175"/>
      <c r="AE370" s="62" t="s">
        <v>153</v>
      </c>
      <c r="AF370" s="133"/>
      <c r="AG370" s="65"/>
      <c r="AH370" s="64"/>
      <c r="AI370" s="64"/>
      <c r="AJ370" s="64"/>
      <c r="AK370" s="64"/>
      <c r="AL370" s="64"/>
      <c r="AM370" s="80" t="str">
        <f>IFERROR((Tablas!$C$1*VLOOKUP(AH370, tipo_control, 2, 0)+Tablas!$E$1*VLOOKUP(AI370, nat_control, 2, 0)+Tablas!$G$1*VLOOKUP(AJ370, ev_control, 2, 0)+Tablas!$I$1*VLOOKUP(AK370, frec_control, 2, 0)+Tablas!$K$1*VLOOKUP(AL370, doc_control, 2, 0))*0.1*peso_dis, "")</f>
        <v/>
      </c>
      <c r="AN370" s="64"/>
      <c r="AO370" s="64"/>
      <c r="AP370" s="64"/>
      <c r="AQ370" s="80" t="str">
        <f>IFERROR((Tablas!$C$9*VLOOKUP(AN370, amb_control, 2, 0)+Tablas!$E$9*VLOOKUP(AO370, ejec_control, 2, 0)+Tablas!$G$9*VLOOKUP(AP370, cub_control, 2, 0))*0.1*peso_ejec, "")</f>
        <v/>
      </c>
      <c r="AR370" s="91" t="str">
        <f t="shared" si="613"/>
        <v/>
      </c>
      <c r="AS370" s="85" t="str">
        <f t="shared" si="578"/>
        <v/>
      </c>
      <c r="AT370" s="85" t="str">
        <f t="shared" si="579"/>
        <v/>
      </c>
      <c r="AU370" s="85" t="str">
        <f>IF(AR370&lt;Tablas!$G$19, 0, IF(AND(AR370&gt;=Tablas!$G$19, AR370&lt;Tablas!$G$20), 1,  IF(AND(AR370&gt;=Tablas!$G$20, AR370&lt;Tablas!$G$21), 2,  IF(AND(AR370&gt;=Tablas!$G$21, AR370&lt;=Tablas!$G$22), 3,  ""))))</f>
        <v/>
      </c>
      <c r="AV370" s="85" t="str">
        <f t="shared" si="614"/>
        <v/>
      </c>
      <c r="AW370" s="101" t="str">
        <f t="shared" si="615"/>
        <v/>
      </c>
      <c r="AX370" s="177"/>
      <c r="AY370" s="169"/>
      <c r="AZ370" s="158"/>
      <c r="BA370" s="169"/>
      <c r="BB370" s="182"/>
      <c r="BC370" s="182"/>
      <c r="BD370" s="185"/>
      <c r="BE370" s="185"/>
      <c r="BF370" s="158"/>
      <c r="BG370" s="191"/>
    </row>
    <row r="371" spans="1:59" ht="15.75" thickBot="1" x14ac:dyDescent="0.3">
      <c r="A371" s="167"/>
      <c r="B371" s="195"/>
      <c r="C371" s="161"/>
      <c r="D371" s="160"/>
      <c r="E371" s="161"/>
      <c r="F371" s="165"/>
      <c r="G371" s="149"/>
      <c r="H371" s="149"/>
      <c r="I371" s="149"/>
      <c r="J371" s="149"/>
      <c r="K371" s="149"/>
      <c r="L371" s="166"/>
      <c r="M371" s="166"/>
      <c r="N371" s="166"/>
      <c r="O371" s="166"/>
      <c r="P371" s="166"/>
      <c r="Q371" s="166"/>
      <c r="R371" s="177"/>
      <c r="S371" s="149"/>
      <c r="T371" s="149"/>
      <c r="U371" s="149"/>
      <c r="V371" s="149"/>
      <c r="W371" s="149"/>
      <c r="X371" s="165"/>
      <c r="Y371" s="165"/>
      <c r="Z371" s="172"/>
      <c r="AA371" s="188"/>
      <c r="AB371" s="172"/>
      <c r="AC371" s="172"/>
      <c r="AD371" s="175"/>
      <c r="AE371" s="66" t="s">
        <v>154</v>
      </c>
      <c r="AF371" s="134"/>
      <c r="AG371" s="67"/>
      <c r="AH371" s="69"/>
      <c r="AI371" s="69"/>
      <c r="AJ371" s="69"/>
      <c r="AK371" s="69"/>
      <c r="AL371" s="69"/>
      <c r="AM371" s="81" t="str">
        <f>IFERROR((Tablas!$C$1*VLOOKUP(AH371, tipo_control, 2, 0)+Tablas!$E$1*VLOOKUP(AI371, nat_control, 2, 0)+Tablas!$G$1*VLOOKUP(AJ371, ev_control, 2, 0)+Tablas!$I$1*VLOOKUP(AK371, frec_control, 2, 0)+Tablas!$K$1*VLOOKUP(AL371, doc_control, 2, 0))*0.1*peso_dis, "")</f>
        <v/>
      </c>
      <c r="AN371" s="69"/>
      <c r="AO371" s="69"/>
      <c r="AP371" s="69"/>
      <c r="AQ371" s="81" t="str">
        <f>IFERROR((Tablas!$C$9*VLOOKUP(AN371, amb_control, 2, 0)+Tablas!$E$9*VLOOKUP(AO371, ejec_control, 2, 0)+Tablas!$G$9*VLOOKUP(AP371, cub_control, 2, 0))*0.1*peso_ejec, "")</f>
        <v/>
      </c>
      <c r="AR371" s="93" t="str">
        <f t="shared" si="613"/>
        <v/>
      </c>
      <c r="AS371" s="94" t="str">
        <f t="shared" si="578"/>
        <v/>
      </c>
      <c r="AT371" s="94" t="str">
        <f t="shared" si="579"/>
        <v/>
      </c>
      <c r="AU371" s="94" t="str">
        <f>IF(AR371&lt;Tablas!$G$19, 0, IF(AND(AR371&gt;=Tablas!$G$19, AR371&lt;Tablas!$G$20), 1,  IF(AND(AR371&gt;=Tablas!$G$20, AR371&lt;Tablas!$G$21), 2,  IF(AND(AR371&gt;=Tablas!$G$21, AR371&lt;=Tablas!$G$22), 3,  ""))))</f>
        <v/>
      </c>
      <c r="AV371" s="94" t="str">
        <f t="shared" si="614"/>
        <v/>
      </c>
      <c r="AW371" s="102" t="str">
        <f t="shared" si="615"/>
        <v/>
      </c>
      <c r="AX371" s="157"/>
      <c r="AY371" s="170"/>
      <c r="AZ371" s="179"/>
      <c r="BA371" s="170"/>
      <c r="BB371" s="182"/>
      <c r="BC371" s="182"/>
      <c r="BD371" s="185"/>
      <c r="BE371" s="185"/>
      <c r="BF371" s="159"/>
      <c r="BG371" s="191"/>
    </row>
    <row r="372" spans="1:59" x14ac:dyDescent="0.25">
      <c r="A372" s="167"/>
      <c r="B372" s="195"/>
      <c r="C372" s="161" t="s">
        <v>18</v>
      </c>
      <c r="D372" s="160"/>
      <c r="E372" s="149"/>
      <c r="F372" s="163" t="str">
        <f t="shared" si="557"/>
        <v/>
      </c>
      <c r="G372" s="148"/>
      <c r="H372" s="148"/>
      <c r="I372" s="148"/>
      <c r="J372" s="148"/>
      <c r="K372" s="148"/>
      <c r="L372" s="165" t="str">
        <f t="shared" ref="L372" si="626">IFERROR(VLOOKUP(G372, tabla02, 2, 0), "")</f>
        <v/>
      </c>
      <c r="M372" s="165" t="str">
        <f t="shared" ref="M372" si="627">IFERROR(VLOOKUP(H372, tabla02, 2, 0), "")</f>
        <v/>
      </c>
      <c r="N372" s="165" t="str">
        <f t="shared" ref="N372" si="628">IFERROR(VLOOKUP(I372, tabla02, 2, 0), "")</f>
        <v/>
      </c>
      <c r="O372" s="165" t="str">
        <f t="shared" ref="O372" si="629">IFERROR(VLOOKUP(J372, tabla02, 2, 0), "")</f>
        <v/>
      </c>
      <c r="P372" s="165" t="str">
        <f t="shared" ref="P372" si="630">IFERROR(VLOOKUP(K372, tabla02, 2, 0), "")</f>
        <v/>
      </c>
      <c r="Q372" s="165" t="str">
        <f t="shared" ref="Q372" si="631">IF(SUM(L372:P372)=0, "", MAX(L372:P372))</f>
        <v/>
      </c>
      <c r="R372" s="159" t="str">
        <f>IFERROR(VLOOKUP(Q372, tabla04, 3, 0), "")</f>
        <v/>
      </c>
      <c r="S372" s="148"/>
      <c r="T372" s="148"/>
      <c r="U372" s="148"/>
      <c r="V372" s="148"/>
      <c r="W372" s="148"/>
      <c r="X372" s="163" t="str">
        <f>IFERROR(VLOOKUP(CONCATENATE(F372, "-", Q372), cuadrante_sev, 3, 0), "")</f>
        <v/>
      </c>
      <c r="Y372" s="163" t="str">
        <f t="shared" ref="Y372" si="632">IFERROR(IF(X372="Baja", 1, IF(X372="Moderada", 2, IF(X372="Alta", 3, IF(X372="Extrema", 4, "")))), "")</f>
        <v/>
      </c>
      <c r="Z372" s="172"/>
      <c r="AA372" s="188"/>
      <c r="AB372" s="172"/>
      <c r="AC372" s="172"/>
      <c r="AD372" s="175"/>
      <c r="AE372" s="70" t="s">
        <v>113</v>
      </c>
      <c r="AF372" s="135"/>
      <c r="AG372" s="77"/>
      <c r="AH372" s="61"/>
      <c r="AI372" s="61"/>
      <c r="AJ372" s="61"/>
      <c r="AK372" s="61"/>
      <c r="AL372" s="61"/>
      <c r="AM372" s="82" t="str">
        <f>IFERROR((Tablas!$C$1*VLOOKUP(AH372, tipo_control, 2, 0)+Tablas!$E$1*VLOOKUP(AI372, nat_control, 2, 0)+Tablas!$G$1*VLOOKUP(AJ372, ev_control, 2, 0)+Tablas!$I$1*VLOOKUP(AK372, frec_control, 2, 0)+Tablas!$K$1*VLOOKUP(AL372, doc_control, 2, 0))*0.1*peso_dis, "")</f>
        <v/>
      </c>
      <c r="AN372" s="61"/>
      <c r="AO372" s="61"/>
      <c r="AP372" s="61"/>
      <c r="AQ372" s="82" t="str">
        <f>IFERROR((Tablas!$C$9*VLOOKUP(AN372, amb_control, 2, 0)+Tablas!$E$9*VLOOKUP(AO372, ejec_control, 2, 0)+Tablas!$G$9*VLOOKUP(AP372, cub_control, 2, 0))*0.1*peso_ejec, "")</f>
        <v/>
      </c>
      <c r="AR372" s="96" t="str">
        <f t="shared" si="613"/>
        <v/>
      </c>
      <c r="AS372" s="97" t="str">
        <f t="shared" si="578"/>
        <v/>
      </c>
      <c r="AT372" s="87" t="str">
        <f t="shared" si="579"/>
        <v/>
      </c>
      <c r="AU372" s="97" t="str">
        <f>IF(AR372&lt;Tablas!$G$19, 0, IF(AND(AR372&gt;=Tablas!$G$19, AR372&lt;Tablas!$G$20), 1,  IF(AND(AR372&gt;=Tablas!$G$20, AR372&lt;Tablas!$G$21), 2,  IF(AND(AR372&gt;=Tablas!$G$21, AR372&lt;=Tablas!$G$22), 3,  ""))))</f>
        <v/>
      </c>
      <c r="AV372" s="97" t="str">
        <f t="shared" si="614"/>
        <v/>
      </c>
      <c r="AW372" s="103" t="str">
        <f t="shared" si="615"/>
        <v/>
      </c>
      <c r="AX372" s="176" t="str">
        <f t="shared" ref="AX372" si="633">IFERROR(VLOOKUP(AY372, tabla04, 2, 0), "")</f>
        <v/>
      </c>
      <c r="AY372" s="168" t="str">
        <f>IF(F372="", "", IF((F372-MAX(AV372:AV376))&lt;=0, 1, F372-MAX(AV372:AV376)))</f>
        <v/>
      </c>
      <c r="AZ372" s="178" t="str">
        <f t="shared" ref="AZ372" si="634">IFERROR(VLOOKUP(BA372, tabla04, 3, 0), "")</f>
        <v/>
      </c>
      <c r="BA372" s="168" t="str">
        <f>IF(Q372="", "", IF((Q372-MAX(AW372:AW376))&lt;=0, 1, Q372-MAX(AW372:AW376)))</f>
        <v/>
      </c>
      <c r="BB372" s="182"/>
      <c r="BC372" s="182"/>
      <c r="BD372" s="185"/>
      <c r="BE372" s="185"/>
      <c r="BF372" s="158" t="str">
        <f t="shared" ref="BF372:BF374" si="635">IFERROR(VLOOKUP(CONCATENATE(AY372, "-", BA372), cuadrante_sev, 3, 0), "")</f>
        <v/>
      </c>
      <c r="BG372" s="191"/>
    </row>
    <row r="373" spans="1:59" x14ac:dyDescent="0.25">
      <c r="A373" s="167"/>
      <c r="B373" s="195"/>
      <c r="C373" s="161"/>
      <c r="D373" s="160"/>
      <c r="E373" s="161"/>
      <c r="F373" s="164"/>
      <c r="G373" s="167"/>
      <c r="H373" s="167"/>
      <c r="I373" s="167"/>
      <c r="J373" s="167"/>
      <c r="K373" s="167"/>
      <c r="L373" s="166"/>
      <c r="M373" s="166"/>
      <c r="N373" s="166"/>
      <c r="O373" s="166"/>
      <c r="P373" s="166"/>
      <c r="Q373" s="166"/>
      <c r="R373" s="177"/>
      <c r="S373" s="167"/>
      <c r="T373" s="167"/>
      <c r="U373" s="167"/>
      <c r="V373" s="167"/>
      <c r="W373" s="167"/>
      <c r="X373" s="164"/>
      <c r="Y373" s="164"/>
      <c r="Z373" s="172"/>
      <c r="AA373" s="188"/>
      <c r="AB373" s="172"/>
      <c r="AC373" s="172"/>
      <c r="AD373" s="175"/>
      <c r="AE373" s="62" t="s">
        <v>114</v>
      </c>
      <c r="AF373" s="133"/>
      <c r="AG373" s="65"/>
      <c r="AH373" s="64"/>
      <c r="AI373" s="64"/>
      <c r="AJ373" s="64"/>
      <c r="AK373" s="64"/>
      <c r="AL373" s="64"/>
      <c r="AM373" s="80" t="str">
        <f>IFERROR((Tablas!$C$1*VLOOKUP(AH373, tipo_control, 2, 0)+Tablas!$E$1*VLOOKUP(AI373, nat_control, 2, 0)+Tablas!$G$1*VLOOKUP(AJ373, ev_control, 2, 0)+Tablas!$I$1*VLOOKUP(AK373, frec_control, 2, 0)+Tablas!$K$1*VLOOKUP(AL373, doc_control, 2, 0))*0.1*peso_dis, "")</f>
        <v/>
      </c>
      <c r="AN373" s="64"/>
      <c r="AO373" s="64"/>
      <c r="AP373" s="64"/>
      <c r="AQ373" s="80" t="str">
        <f>IFERROR((Tablas!$C$9*VLOOKUP(AN373, amb_control, 2, 0)+Tablas!$E$9*VLOOKUP(AO373, ejec_control, 2, 0)+Tablas!$G$9*VLOOKUP(AP373, cub_control, 2, 0))*0.1*peso_ejec, "")</f>
        <v/>
      </c>
      <c r="AR373" s="91" t="str">
        <f t="shared" si="613"/>
        <v/>
      </c>
      <c r="AS373" s="85" t="str">
        <f t="shared" si="578"/>
        <v/>
      </c>
      <c r="AT373" s="85" t="str">
        <f t="shared" si="579"/>
        <v/>
      </c>
      <c r="AU373" s="85" t="str">
        <f>IF(AR373&lt;Tablas!$G$19, 0, IF(AND(AR373&gt;=Tablas!$G$19, AR373&lt;Tablas!$G$20), 1,  IF(AND(AR373&gt;=Tablas!$G$20, AR373&lt;Tablas!$G$21), 2,  IF(AND(AR373&gt;=Tablas!$G$21, AR373&lt;=Tablas!$G$22), 3,  ""))))</f>
        <v/>
      </c>
      <c r="AV373" s="85" t="str">
        <f t="shared" si="614"/>
        <v/>
      </c>
      <c r="AW373" s="101" t="str">
        <f t="shared" si="615"/>
        <v/>
      </c>
      <c r="AX373" s="177"/>
      <c r="AY373" s="169"/>
      <c r="AZ373" s="158"/>
      <c r="BA373" s="169"/>
      <c r="BB373" s="182"/>
      <c r="BC373" s="182"/>
      <c r="BD373" s="185"/>
      <c r="BE373" s="185"/>
      <c r="BF373" s="158" t="str">
        <f t="shared" si="635"/>
        <v/>
      </c>
      <c r="BG373" s="191"/>
    </row>
    <row r="374" spans="1:59" x14ac:dyDescent="0.25">
      <c r="A374" s="167"/>
      <c r="B374" s="195"/>
      <c r="C374" s="161"/>
      <c r="D374" s="160"/>
      <c r="E374" s="161"/>
      <c r="F374" s="164"/>
      <c r="G374" s="167"/>
      <c r="H374" s="167"/>
      <c r="I374" s="167"/>
      <c r="J374" s="167"/>
      <c r="K374" s="167"/>
      <c r="L374" s="166"/>
      <c r="M374" s="166"/>
      <c r="N374" s="166"/>
      <c r="O374" s="166"/>
      <c r="P374" s="166"/>
      <c r="Q374" s="166"/>
      <c r="R374" s="177"/>
      <c r="S374" s="167"/>
      <c r="T374" s="167"/>
      <c r="U374" s="167"/>
      <c r="V374" s="167"/>
      <c r="W374" s="167"/>
      <c r="X374" s="164"/>
      <c r="Y374" s="164"/>
      <c r="Z374" s="172"/>
      <c r="AA374" s="188"/>
      <c r="AB374" s="172"/>
      <c r="AC374" s="172"/>
      <c r="AD374" s="175"/>
      <c r="AE374" s="62" t="s">
        <v>115</v>
      </c>
      <c r="AF374" s="133"/>
      <c r="AG374" s="65"/>
      <c r="AH374" s="64"/>
      <c r="AI374" s="64"/>
      <c r="AJ374" s="64"/>
      <c r="AK374" s="64"/>
      <c r="AL374" s="64"/>
      <c r="AM374" s="80" t="str">
        <f>IFERROR((Tablas!$C$1*VLOOKUP(AH374, tipo_control, 2, 0)+Tablas!$E$1*VLOOKUP(AI374, nat_control, 2, 0)+Tablas!$G$1*VLOOKUP(AJ374, ev_control, 2, 0)+Tablas!$I$1*VLOOKUP(AK374, frec_control, 2, 0)+Tablas!$K$1*VLOOKUP(AL374, doc_control, 2, 0))*0.1*peso_dis, "")</f>
        <v/>
      </c>
      <c r="AN374" s="64"/>
      <c r="AO374" s="64"/>
      <c r="AP374" s="64"/>
      <c r="AQ374" s="80" t="str">
        <f>IFERROR((Tablas!$C$9*VLOOKUP(AN374, amb_control, 2, 0)+Tablas!$E$9*VLOOKUP(AO374, ejec_control, 2, 0)+Tablas!$G$9*VLOOKUP(AP374, cub_control, 2, 0))*0.1*peso_ejec, "")</f>
        <v/>
      </c>
      <c r="AR374" s="91" t="str">
        <f t="shared" si="613"/>
        <v/>
      </c>
      <c r="AS374" s="85" t="str">
        <f t="shared" si="578"/>
        <v/>
      </c>
      <c r="AT374" s="85" t="str">
        <f t="shared" si="579"/>
        <v/>
      </c>
      <c r="AU374" s="85" t="str">
        <f>IF(AR374&lt;Tablas!$G$19, 0, IF(AND(AR374&gt;=Tablas!$G$19, AR374&lt;Tablas!$G$20), 1,  IF(AND(AR374&gt;=Tablas!$G$20, AR374&lt;Tablas!$G$21), 2,  IF(AND(AR374&gt;=Tablas!$G$21, AR374&lt;=Tablas!$G$22), 3,  ""))))</f>
        <v/>
      </c>
      <c r="AV374" s="85" t="str">
        <f t="shared" si="614"/>
        <v/>
      </c>
      <c r="AW374" s="101" t="str">
        <f t="shared" si="615"/>
        <v/>
      </c>
      <c r="AX374" s="177"/>
      <c r="AY374" s="169"/>
      <c r="AZ374" s="158"/>
      <c r="BA374" s="169"/>
      <c r="BB374" s="182"/>
      <c r="BC374" s="182"/>
      <c r="BD374" s="185"/>
      <c r="BE374" s="185"/>
      <c r="BF374" s="158" t="str">
        <f t="shared" si="635"/>
        <v/>
      </c>
      <c r="BG374" s="191"/>
    </row>
    <row r="375" spans="1:59" x14ac:dyDescent="0.25">
      <c r="A375" s="167"/>
      <c r="B375" s="195"/>
      <c r="C375" s="161"/>
      <c r="D375" s="160"/>
      <c r="E375" s="161"/>
      <c r="F375" s="164"/>
      <c r="G375" s="167"/>
      <c r="H375" s="167"/>
      <c r="I375" s="167"/>
      <c r="J375" s="167"/>
      <c r="K375" s="167"/>
      <c r="L375" s="166"/>
      <c r="M375" s="166"/>
      <c r="N375" s="166"/>
      <c r="O375" s="166"/>
      <c r="P375" s="166"/>
      <c r="Q375" s="166"/>
      <c r="R375" s="177"/>
      <c r="S375" s="167"/>
      <c r="T375" s="167"/>
      <c r="U375" s="167"/>
      <c r="V375" s="167"/>
      <c r="W375" s="167"/>
      <c r="X375" s="164"/>
      <c r="Y375" s="164"/>
      <c r="Z375" s="172"/>
      <c r="AA375" s="188"/>
      <c r="AB375" s="172"/>
      <c r="AC375" s="172"/>
      <c r="AD375" s="175"/>
      <c r="AE375" s="62" t="s">
        <v>153</v>
      </c>
      <c r="AF375" s="133"/>
      <c r="AG375" s="65"/>
      <c r="AH375" s="64"/>
      <c r="AI375" s="64"/>
      <c r="AJ375" s="64"/>
      <c r="AK375" s="64"/>
      <c r="AL375" s="64"/>
      <c r="AM375" s="80" t="str">
        <f>IFERROR((Tablas!$C$1*VLOOKUP(AH375, tipo_control, 2, 0)+Tablas!$E$1*VLOOKUP(AI375, nat_control, 2, 0)+Tablas!$G$1*VLOOKUP(AJ375, ev_control, 2, 0)+Tablas!$I$1*VLOOKUP(AK375, frec_control, 2, 0)+Tablas!$K$1*VLOOKUP(AL375, doc_control, 2, 0))*0.1*peso_dis, "")</f>
        <v/>
      </c>
      <c r="AN375" s="64"/>
      <c r="AO375" s="64"/>
      <c r="AP375" s="64"/>
      <c r="AQ375" s="80" t="str">
        <f>IFERROR((Tablas!$C$9*VLOOKUP(AN375, amb_control, 2, 0)+Tablas!$E$9*VLOOKUP(AO375, ejec_control, 2, 0)+Tablas!$G$9*VLOOKUP(AP375, cub_control, 2, 0))*0.1*peso_ejec, "")</f>
        <v/>
      </c>
      <c r="AR375" s="91" t="str">
        <f t="shared" si="613"/>
        <v/>
      </c>
      <c r="AS375" s="85" t="str">
        <f t="shared" si="578"/>
        <v/>
      </c>
      <c r="AT375" s="85" t="str">
        <f t="shared" si="579"/>
        <v/>
      </c>
      <c r="AU375" s="85" t="str">
        <f>IF(AR375&lt;Tablas!$G$19, 0, IF(AND(AR375&gt;=Tablas!$G$19, AR375&lt;Tablas!$G$20), 1,  IF(AND(AR375&gt;=Tablas!$G$20, AR375&lt;Tablas!$G$21), 2,  IF(AND(AR375&gt;=Tablas!$G$21, AR375&lt;=Tablas!$G$22), 3,  ""))))</f>
        <v/>
      </c>
      <c r="AV375" s="85" t="str">
        <f t="shared" si="614"/>
        <v/>
      </c>
      <c r="AW375" s="101" t="str">
        <f t="shared" si="615"/>
        <v/>
      </c>
      <c r="AX375" s="177"/>
      <c r="AY375" s="169"/>
      <c r="AZ375" s="158"/>
      <c r="BA375" s="169"/>
      <c r="BB375" s="182"/>
      <c r="BC375" s="182"/>
      <c r="BD375" s="185"/>
      <c r="BE375" s="185"/>
      <c r="BF375" s="158"/>
      <c r="BG375" s="191"/>
    </row>
    <row r="376" spans="1:59" ht="15.75" thickBot="1" x14ac:dyDescent="0.3">
      <c r="A376" s="167"/>
      <c r="B376" s="195"/>
      <c r="C376" s="161"/>
      <c r="D376" s="160"/>
      <c r="E376" s="161"/>
      <c r="F376" s="165"/>
      <c r="G376" s="149"/>
      <c r="H376" s="149"/>
      <c r="I376" s="149"/>
      <c r="J376" s="149"/>
      <c r="K376" s="149"/>
      <c r="L376" s="166"/>
      <c r="M376" s="166"/>
      <c r="N376" s="166"/>
      <c r="O376" s="166"/>
      <c r="P376" s="166"/>
      <c r="Q376" s="166"/>
      <c r="R376" s="177"/>
      <c r="S376" s="149"/>
      <c r="T376" s="149"/>
      <c r="U376" s="149"/>
      <c r="V376" s="149"/>
      <c r="W376" s="149"/>
      <c r="X376" s="165"/>
      <c r="Y376" s="165"/>
      <c r="Z376" s="172"/>
      <c r="AA376" s="188"/>
      <c r="AB376" s="172"/>
      <c r="AC376" s="172"/>
      <c r="AD376" s="175"/>
      <c r="AE376" s="66" t="s">
        <v>154</v>
      </c>
      <c r="AF376" s="134"/>
      <c r="AG376" s="67"/>
      <c r="AH376" s="69"/>
      <c r="AI376" s="69"/>
      <c r="AJ376" s="69"/>
      <c r="AK376" s="69"/>
      <c r="AL376" s="69"/>
      <c r="AM376" s="81" t="str">
        <f>IFERROR((Tablas!$C$1*VLOOKUP(AH376, tipo_control, 2, 0)+Tablas!$E$1*VLOOKUP(AI376, nat_control, 2, 0)+Tablas!$G$1*VLOOKUP(AJ376, ev_control, 2, 0)+Tablas!$I$1*VLOOKUP(AK376, frec_control, 2, 0)+Tablas!$K$1*VLOOKUP(AL376, doc_control, 2, 0))*0.1*peso_dis, "")</f>
        <v/>
      </c>
      <c r="AN376" s="69"/>
      <c r="AO376" s="69"/>
      <c r="AP376" s="69"/>
      <c r="AQ376" s="81" t="str">
        <f>IFERROR((Tablas!$C$9*VLOOKUP(AN376, amb_control, 2, 0)+Tablas!$E$9*VLOOKUP(AO376, ejec_control, 2, 0)+Tablas!$G$9*VLOOKUP(AP376, cub_control, 2, 0))*0.1*peso_ejec, "")</f>
        <v/>
      </c>
      <c r="AR376" s="93" t="str">
        <f t="shared" si="613"/>
        <v/>
      </c>
      <c r="AS376" s="94" t="str">
        <f t="shared" si="578"/>
        <v/>
      </c>
      <c r="AT376" s="94" t="str">
        <f t="shared" si="579"/>
        <v/>
      </c>
      <c r="AU376" s="94" t="str">
        <f>IF(AR376&lt;Tablas!$G$19, 0, IF(AND(AR376&gt;=Tablas!$G$19, AR376&lt;Tablas!$G$20), 1,  IF(AND(AR376&gt;=Tablas!$G$20, AR376&lt;Tablas!$G$21), 2,  IF(AND(AR376&gt;=Tablas!$G$21, AR376&lt;=Tablas!$G$22), 3,  ""))))</f>
        <v/>
      </c>
      <c r="AV376" s="94" t="str">
        <f t="shared" si="614"/>
        <v/>
      </c>
      <c r="AW376" s="102" t="str">
        <f t="shared" si="615"/>
        <v/>
      </c>
      <c r="AX376" s="157"/>
      <c r="AY376" s="170"/>
      <c r="AZ376" s="179"/>
      <c r="BA376" s="170"/>
      <c r="BB376" s="182"/>
      <c r="BC376" s="182"/>
      <c r="BD376" s="185"/>
      <c r="BE376" s="185"/>
      <c r="BF376" s="159"/>
      <c r="BG376" s="191"/>
    </row>
    <row r="377" spans="1:59" x14ac:dyDescent="0.25">
      <c r="A377" s="167"/>
      <c r="B377" s="195"/>
      <c r="C377" s="161" t="s">
        <v>19</v>
      </c>
      <c r="D377" s="160"/>
      <c r="E377" s="149"/>
      <c r="F377" s="163" t="str">
        <f t="shared" si="557"/>
        <v/>
      </c>
      <c r="G377" s="148"/>
      <c r="H377" s="148"/>
      <c r="I377" s="148"/>
      <c r="J377" s="148"/>
      <c r="K377" s="148"/>
      <c r="L377" s="165" t="str">
        <f t="shared" ref="L377" si="636">IFERROR(VLOOKUP(G377, tabla02, 2, 0), "")</f>
        <v/>
      </c>
      <c r="M377" s="165" t="str">
        <f t="shared" ref="M377" si="637">IFERROR(VLOOKUP(H377, tabla02, 2, 0), "")</f>
        <v/>
      </c>
      <c r="N377" s="165" t="str">
        <f t="shared" ref="N377" si="638">IFERROR(VLOOKUP(I377, tabla02, 2, 0), "")</f>
        <v/>
      </c>
      <c r="O377" s="165" t="str">
        <f t="shared" ref="O377" si="639">IFERROR(VLOOKUP(J377, tabla02, 2, 0), "")</f>
        <v/>
      </c>
      <c r="P377" s="165" t="str">
        <f t="shared" ref="P377" si="640">IFERROR(VLOOKUP(K377, tabla02, 2, 0), "")</f>
        <v/>
      </c>
      <c r="Q377" s="165" t="str">
        <f t="shared" ref="Q377" si="641">IF(SUM(L377:P377)=0, "", MAX(L377:P377))</f>
        <v/>
      </c>
      <c r="R377" s="159" t="str">
        <f>IFERROR(VLOOKUP(Q377, tabla04, 3, 0), "")</f>
        <v/>
      </c>
      <c r="S377" s="148"/>
      <c r="T377" s="148"/>
      <c r="U377" s="148"/>
      <c r="V377" s="148"/>
      <c r="W377" s="148"/>
      <c r="X377" s="163" t="str">
        <f>IFERROR(VLOOKUP(CONCATENATE(F377, "-", Q377), cuadrante_sev, 3, 0), "")</f>
        <v/>
      </c>
      <c r="Y377" s="163" t="str">
        <f t="shared" ref="Y377" si="642">IFERROR(IF(X377="Baja", 1, IF(X377="Moderada", 2, IF(X377="Alta", 3, IF(X377="Extrema", 4, "")))), "")</f>
        <v/>
      </c>
      <c r="Z377" s="172"/>
      <c r="AA377" s="188"/>
      <c r="AB377" s="172"/>
      <c r="AC377" s="172"/>
      <c r="AD377" s="175"/>
      <c r="AE377" s="70" t="s">
        <v>113</v>
      </c>
      <c r="AF377" s="135"/>
      <c r="AG377" s="74"/>
      <c r="AH377" s="72"/>
      <c r="AI377" s="72"/>
      <c r="AJ377" s="72"/>
      <c r="AK377" s="72"/>
      <c r="AL377" s="72"/>
      <c r="AM377" s="82" t="str">
        <f>IFERROR((Tablas!$C$1*VLOOKUP(AH377, tipo_control, 2, 0)+Tablas!$E$1*VLOOKUP(AI377, nat_control, 2, 0)+Tablas!$G$1*VLOOKUP(AJ377, ev_control, 2, 0)+Tablas!$I$1*VLOOKUP(AK377, frec_control, 2, 0)+Tablas!$K$1*VLOOKUP(AL377, doc_control, 2, 0))*0.1*peso_dis, "")</f>
        <v/>
      </c>
      <c r="AN377" s="72"/>
      <c r="AO377" s="72"/>
      <c r="AP377" s="72"/>
      <c r="AQ377" s="82" t="str">
        <f>IFERROR((Tablas!$C$9*VLOOKUP(AN377, amb_control, 2, 0)+Tablas!$E$9*VLOOKUP(AO377, ejec_control, 2, 0)+Tablas!$G$9*VLOOKUP(AP377, cub_control, 2, 0))*0.1*peso_ejec, "")</f>
        <v/>
      </c>
      <c r="AR377" s="96" t="str">
        <f t="shared" si="613"/>
        <v/>
      </c>
      <c r="AS377" s="97" t="str">
        <f t="shared" si="578"/>
        <v/>
      </c>
      <c r="AT377" s="87" t="str">
        <f t="shared" si="579"/>
        <v/>
      </c>
      <c r="AU377" s="97" t="str">
        <f>IF(AR377&lt;Tablas!$G$19, 0, IF(AND(AR377&gt;=Tablas!$G$19, AR377&lt;Tablas!$G$20), 1,  IF(AND(AR377&gt;=Tablas!$G$20, AR377&lt;Tablas!$G$21), 2,  IF(AND(AR377&gt;=Tablas!$G$21, AR377&lt;=Tablas!$G$22), 3,  ""))))</f>
        <v/>
      </c>
      <c r="AV377" s="97" t="str">
        <f t="shared" si="614"/>
        <v/>
      </c>
      <c r="AW377" s="103" t="str">
        <f t="shared" si="615"/>
        <v/>
      </c>
      <c r="AX377" s="176" t="str">
        <f t="shared" ref="AX377" si="643">IFERROR(VLOOKUP(AY377, tabla04, 2, 0), "")</f>
        <v/>
      </c>
      <c r="AY377" s="168" t="str">
        <f>IF(F377="", "", IF((F377-MAX(AV377:AV381))&lt;=0, 1, F377-MAX(AV377:AV381)))</f>
        <v/>
      </c>
      <c r="AZ377" s="178" t="str">
        <f t="shared" ref="AZ377" si="644">IFERROR(VLOOKUP(BA377, tabla04, 3, 0), "")</f>
        <v/>
      </c>
      <c r="BA377" s="168" t="str">
        <f>IF(Q377="", "", IF((Q377-MAX(AW377:AW381))&lt;=0, 1, Q377-MAX(AW377:AW381)))</f>
        <v/>
      </c>
      <c r="BB377" s="182"/>
      <c r="BC377" s="182"/>
      <c r="BD377" s="185"/>
      <c r="BE377" s="185"/>
      <c r="BF377" s="158" t="str">
        <f t="shared" ref="BF377:BF379" si="645">IFERROR(VLOOKUP(CONCATENATE(AY377, "-", BA377), cuadrante_sev, 3, 0), "")</f>
        <v/>
      </c>
      <c r="BG377" s="191"/>
    </row>
    <row r="378" spans="1:59" x14ac:dyDescent="0.25">
      <c r="A378" s="167"/>
      <c r="B378" s="195"/>
      <c r="C378" s="161"/>
      <c r="D378" s="160"/>
      <c r="E378" s="161"/>
      <c r="F378" s="164"/>
      <c r="G378" s="167"/>
      <c r="H378" s="167"/>
      <c r="I378" s="167"/>
      <c r="J378" s="167"/>
      <c r="K378" s="167"/>
      <c r="L378" s="166"/>
      <c r="M378" s="166"/>
      <c r="N378" s="166"/>
      <c r="O378" s="166"/>
      <c r="P378" s="166"/>
      <c r="Q378" s="166"/>
      <c r="R378" s="177"/>
      <c r="S378" s="167"/>
      <c r="T378" s="167"/>
      <c r="U378" s="167"/>
      <c r="V378" s="167"/>
      <c r="W378" s="167"/>
      <c r="X378" s="164"/>
      <c r="Y378" s="164"/>
      <c r="Z378" s="172"/>
      <c r="AA378" s="188"/>
      <c r="AB378" s="172"/>
      <c r="AC378" s="172"/>
      <c r="AD378" s="175"/>
      <c r="AE378" s="62" t="s">
        <v>114</v>
      </c>
      <c r="AF378" s="133"/>
      <c r="AG378" s="65"/>
      <c r="AH378" s="64"/>
      <c r="AI378" s="64"/>
      <c r="AJ378" s="64"/>
      <c r="AK378" s="64"/>
      <c r="AL378" s="64"/>
      <c r="AM378" s="80" t="str">
        <f>IFERROR((Tablas!$C$1*VLOOKUP(AH378, tipo_control, 2, 0)+Tablas!$E$1*VLOOKUP(AI378, nat_control, 2, 0)+Tablas!$G$1*VLOOKUP(AJ378, ev_control, 2, 0)+Tablas!$I$1*VLOOKUP(AK378, frec_control, 2, 0)+Tablas!$K$1*VLOOKUP(AL378, doc_control, 2, 0))*0.1*peso_dis, "")</f>
        <v/>
      </c>
      <c r="AN378" s="64"/>
      <c r="AO378" s="64"/>
      <c r="AP378" s="64"/>
      <c r="AQ378" s="80" t="str">
        <f>IFERROR((Tablas!$C$9*VLOOKUP(AN378, amb_control, 2, 0)+Tablas!$E$9*VLOOKUP(AO378, ejec_control, 2, 0)+Tablas!$G$9*VLOOKUP(AP378, cub_control, 2, 0))*0.1*peso_ejec, "")</f>
        <v/>
      </c>
      <c r="AR378" s="91" t="str">
        <f t="shared" si="613"/>
        <v/>
      </c>
      <c r="AS378" s="85" t="str">
        <f t="shared" si="578"/>
        <v/>
      </c>
      <c r="AT378" s="85" t="str">
        <f t="shared" si="579"/>
        <v/>
      </c>
      <c r="AU378" s="85" t="str">
        <f>IF(AR378&lt;Tablas!$G$19, 0, IF(AND(AR378&gt;=Tablas!$G$19, AR378&lt;Tablas!$G$20), 1,  IF(AND(AR378&gt;=Tablas!$G$20, AR378&lt;Tablas!$G$21), 2,  IF(AND(AR378&gt;=Tablas!$G$21, AR378&lt;=Tablas!$G$22), 3,  ""))))</f>
        <v/>
      </c>
      <c r="AV378" s="85" t="str">
        <f t="shared" si="614"/>
        <v/>
      </c>
      <c r="AW378" s="101" t="str">
        <f t="shared" si="615"/>
        <v/>
      </c>
      <c r="AX378" s="177"/>
      <c r="AY378" s="169"/>
      <c r="AZ378" s="158"/>
      <c r="BA378" s="169"/>
      <c r="BB378" s="182"/>
      <c r="BC378" s="182"/>
      <c r="BD378" s="185"/>
      <c r="BE378" s="185"/>
      <c r="BF378" s="158" t="str">
        <f t="shared" si="645"/>
        <v/>
      </c>
      <c r="BG378" s="191"/>
    </row>
    <row r="379" spans="1:59" x14ac:dyDescent="0.25">
      <c r="A379" s="167"/>
      <c r="B379" s="195"/>
      <c r="C379" s="161"/>
      <c r="D379" s="160"/>
      <c r="E379" s="161"/>
      <c r="F379" s="164"/>
      <c r="G379" s="167"/>
      <c r="H379" s="167"/>
      <c r="I379" s="167"/>
      <c r="J379" s="167"/>
      <c r="K379" s="167"/>
      <c r="L379" s="166"/>
      <c r="M379" s="166"/>
      <c r="N379" s="166"/>
      <c r="O379" s="166"/>
      <c r="P379" s="166"/>
      <c r="Q379" s="166"/>
      <c r="R379" s="177"/>
      <c r="S379" s="167"/>
      <c r="T379" s="167"/>
      <c r="U379" s="167"/>
      <c r="V379" s="167"/>
      <c r="W379" s="167"/>
      <c r="X379" s="164"/>
      <c r="Y379" s="164"/>
      <c r="Z379" s="172"/>
      <c r="AA379" s="188"/>
      <c r="AB379" s="172"/>
      <c r="AC379" s="172"/>
      <c r="AD379" s="175"/>
      <c r="AE379" s="62" t="s">
        <v>115</v>
      </c>
      <c r="AF379" s="133"/>
      <c r="AG379" s="65"/>
      <c r="AH379" s="64"/>
      <c r="AI379" s="64"/>
      <c r="AJ379" s="64"/>
      <c r="AK379" s="64"/>
      <c r="AL379" s="64"/>
      <c r="AM379" s="80" t="str">
        <f>IFERROR((Tablas!$C$1*VLOOKUP(AH379, tipo_control, 2, 0)+Tablas!$E$1*VLOOKUP(AI379, nat_control, 2, 0)+Tablas!$G$1*VLOOKUP(AJ379, ev_control, 2, 0)+Tablas!$I$1*VLOOKUP(AK379, frec_control, 2, 0)+Tablas!$K$1*VLOOKUP(AL379, doc_control, 2, 0))*0.1*peso_dis, "")</f>
        <v/>
      </c>
      <c r="AN379" s="64"/>
      <c r="AO379" s="64"/>
      <c r="AP379" s="64"/>
      <c r="AQ379" s="80" t="str">
        <f>IFERROR((Tablas!$C$9*VLOOKUP(AN379, amb_control, 2, 0)+Tablas!$E$9*VLOOKUP(AO379, ejec_control, 2, 0)+Tablas!$G$9*VLOOKUP(AP379, cub_control, 2, 0))*0.1*peso_ejec, "")</f>
        <v/>
      </c>
      <c r="AR379" s="91" t="str">
        <f t="shared" si="613"/>
        <v/>
      </c>
      <c r="AS379" s="85" t="str">
        <f t="shared" si="578"/>
        <v/>
      </c>
      <c r="AT379" s="85" t="str">
        <f t="shared" si="579"/>
        <v/>
      </c>
      <c r="AU379" s="85" t="str">
        <f>IF(AR379&lt;Tablas!$G$19, 0, IF(AND(AR379&gt;=Tablas!$G$19, AR379&lt;Tablas!$G$20), 1,  IF(AND(AR379&gt;=Tablas!$G$20, AR379&lt;Tablas!$G$21), 2,  IF(AND(AR379&gt;=Tablas!$G$21, AR379&lt;=Tablas!$G$22), 3,  ""))))</f>
        <v/>
      </c>
      <c r="AV379" s="85" t="str">
        <f t="shared" si="614"/>
        <v/>
      </c>
      <c r="AW379" s="101" t="str">
        <f t="shared" si="615"/>
        <v/>
      </c>
      <c r="AX379" s="177"/>
      <c r="AY379" s="169"/>
      <c r="AZ379" s="158"/>
      <c r="BA379" s="169"/>
      <c r="BB379" s="182"/>
      <c r="BC379" s="182"/>
      <c r="BD379" s="185"/>
      <c r="BE379" s="185"/>
      <c r="BF379" s="158" t="str">
        <f t="shared" si="645"/>
        <v/>
      </c>
      <c r="BG379" s="191"/>
    </row>
    <row r="380" spans="1:59" x14ac:dyDescent="0.25">
      <c r="A380" s="167"/>
      <c r="B380" s="195"/>
      <c r="C380" s="161"/>
      <c r="D380" s="160"/>
      <c r="E380" s="161"/>
      <c r="F380" s="164"/>
      <c r="G380" s="167"/>
      <c r="H380" s="167"/>
      <c r="I380" s="167"/>
      <c r="J380" s="167"/>
      <c r="K380" s="167"/>
      <c r="L380" s="166"/>
      <c r="M380" s="166"/>
      <c r="N380" s="166"/>
      <c r="O380" s="166"/>
      <c r="P380" s="166"/>
      <c r="Q380" s="166"/>
      <c r="R380" s="177"/>
      <c r="S380" s="167"/>
      <c r="T380" s="167"/>
      <c r="U380" s="167"/>
      <c r="V380" s="167"/>
      <c r="W380" s="167"/>
      <c r="X380" s="164"/>
      <c r="Y380" s="164"/>
      <c r="Z380" s="172"/>
      <c r="AA380" s="188"/>
      <c r="AB380" s="172"/>
      <c r="AC380" s="172"/>
      <c r="AD380" s="175"/>
      <c r="AE380" s="62" t="s">
        <v>153</v>
      </c>
      <c r="AF380" s="133"/>
      <c r="AG380" s="65"/>
      <c r="AH380" s="64"/>
      <c r="AI380" s="64"/>
      <c r="AJ380" s="64"/>
      <c r="AK380" s="64"/>
      <c r="AL380" s="64"/>
      <c r="AM380" s="80" t="str">
        <f>IFERROR((Tablas!$C$1*VLOOKUP(AH380, tipo_control, 2, 0)+Tablas!$E$1*VLOOKUP(AI380, nat_control, 2, 0)+Tablas!$G$1*VLOOKUP(AJ380, ev_control, 2, 0)+Tablas!$I$1*VLOOKUP(AK380, frec_control, 2, 0)+Tablas!$K$1*VLOOKUP(AL380, doc_control, 2, 0))*0.1*peso_dis, "")</f>
        <v/>
      </c>
      <c r="AN380" s="64"/>
      <c r="AO380" s="64"/>
      <c r="AP380" s="64"/>
      <c r="AQ380" s="80" t="str">
        <f>IFERROR((Tablas!$C$9*VLOOKUP(AN380, amb_control, 2, 0)+Tablas!$E$9*VLOOKUP(AO380, ejec_control, 2, 0)+Tablas!$G$9*VLOOKUP(AP380, cub_control, 2, 0))*0.1*peso_ejec, "")</f>
        <v/>
      </c>
      <c r="AR380" s="91" t="str">
        <f t="shared" si="613"/>
        <v/>
      </c>
      <c r="AS380" s="85" t="str">
        <f t="shared" si="578"/>
        <v/>
      </c>
      <c r="AT380" s="85" t="str">
        <f t="shared" si="579"/>
        <v/>
      </c>
      <c r="AU380" s="85" t="str">
        <f>IF(AR380&lt;Tablas!$G$19, 0, IF(AND(AR380&gt;=Tablas!$G$19, AR380&lt;Tablas!$G$20), 1,  IF(AND(AR380&gt;=Tablas!$G$20, AR380&lt;Tablas!$G$21), 2,  IF(AND(AR380&gt;=Tablas!$G$21, AR380&lt;=Tablas!$G$22), 3,  ""))))</f>
        <v/>
      </c>
      <c r="AV380" s="85" t="str">
        <f t="shared" si="614"/>
        <v/>
      </c>
      <c r="AW380" s="101" t="str">
        <f t="shared" si="615"/>
        <v/>
      </c>
      <c r="AX380" s="177"/>
      <c r="AY380" s="169"/>
      <c r="AZ380" s="158"/>
      <c r="BA380" s="169"/>
      <c r="BB380" s="182"/>
      <c r="BC380" s="182"/>
      <c r="BD380" s="185"/>
      <c r="BE380" s="185"/>
      <c r="BF380" s="158"/>
      <c r="BG380" s="191"/>
    </row>
    <row r="381" spans="1:59" ht="15.75" thickBot="1" x14ac:dyDescent="0.3">
      <c r="A381" s="167"/>
      <c r="B381" s="195"/>
      <c r="C381" s="161"/>
      <c r="D381" s="160"/>
      <c r="E381" s="161"/>
      <c r="F381" s="165"/>
      <c r="G381" s="149"/>
      <c r="H381" s="149"/>
      <c r="I381" s="149"/>
      <c r="J381" s="149"/>
      <c r="K381" s="149"/>
      <c r="L381" s="166"/>
      <c r="M381" s="166"/>
      <c r="N381" s="166"/>
      <c r="O381" s="166"/>
      <c r="P381" s="166"/>
      <c r="Q381" s="166"/>
      <c r="R381" s="177"/>
      <c r="S381" s="149"/>
      <c r="T381" s="149"/>
      <c r="U381" s="149"/>
      <c r="V381" s="149"/>
      <c r="W381" s="149"/>
      <c r="X381" s="165"/>
      <c r="Y381" s="165"/>
      <c r="Z381" s="172"/>
      <c r="AA381" s="188"/>
      <c r="AB381" s="172"/>
      <c r="AC381" s="172"/>
      <c r="AD381" s="175"/>
      <c r="AE381" s="66" t="s">
        <v>154</v>
      </c>
      <c r="AF381" s="134"/>
      <c r="AG381" s="67"/>
      <c r="AH381" s="69"/>
      <c r="AI381" s="69"/>
      <c r="AJ381" s="69"/>
      <c r="AK381" s="69"/>
      <c r="AL381" s="69"/>
      <c r="AM381" s="81" t="str">
        <f>IFERROR((Tablas!$C$1*VLOOKUP(AH381, tipo_control, 2, 0)+Tablas!$E$1*VLOOKUP(AI381, nat_control, 2, 0)+Tablas!$G$1*VLOOKUP(AJ381, ev_control, 2, 0)+Tablas!$I$1*VLOOKUP(AK381, frec_control, 2, 0)+Tablas!$K$1*VLOOKUP(AL381, doc_control, 2, 0))*0.1*peso_dis, "")</f>
        <v/>
      </c>
      <c r="AN381" s="69"/>
      <c r="AO381" s="69"/>
      <c r="AP381" s="69"/>
      <c r="AQ381" s="81" t="str">
        <f>IFERROR((Tablas!$C$9*VLOOKUP(AN381, amb_control, 2, 0)+Tablas!$E$9*VLOOKUP(AO381, ejec_control, 2, 0)+Tablas!$G$9*VLOOKUP(AP381, cub_control, 2, 0))*0.1*peso_ejec, "")</f>
        <v/>
      </c>
      <c r="AR381" s="93" t="str">
        <f t="shared" si="613"/>
        <v/>
      </c>
      <c r="AS381" s="94" t="str">
        <f t="shared" si="578"/>
        <v/>
      </c>
      <c r="AT381" s="94" t="str">
        <f t="shared" si="579"/>
        <v/>
      </c>
      <c r="AU381" s="94" t="str">
        <f>IF(AR381&lt;Tablas!$G$19, 0, IF(AND(AR381&gt;=Tablas!$G$19, AR381&lt;Tablas!$G$20), 1,  IF(AND(AR381&gt;=Tablas!$G$20, AR381&lt;Tablas!$G$21), 2,  IF(AND(AR381&gt;=Tablas!$G$21, AR381&lt;=Tablas!$G$22), 3,  ""))))</f>
        <v/>
      </c>
      <c r="AV381" s="94" t="str">
        <f t="shared" si="614"/>
        <v/>
      </c>
      <c r="AW381" s="102" t="str">
        <f t="shared" si="615"/>
        <v/>
      </c>
      <c r="AX381" s="157"/>
      <c r="AY381" s="170"/>
      <c r="AZ381" s="179"/>
      <c r="BA381" s="170"/>
      <c r="BB381" s="182"/>
      <c r="BC381" s="182"/>
      <c r="BD381" s="185"/>
      <c r="BE381" s="185"/>
      <c r="BF381" s="159"/>
      <c r="BG381" s="191"/>
    </row>
    <row r="382" spans="1:59" x14ac:dyDescent="0.25">
      <c r="A382" s="167"/>
      <c r="B382" s="195"/>
      <c r="C382" s="161" t="s">
        <v>20</v>
      </c>
      <c r="D382" s="160"/>
      <c r="E382" s="149"/>
      <c r="F382" s="163" t="str">
        <f t="shared" si="557"/>
        <v/>
      </c>
      <c r="G382" s="148"/>
      <c r="H382" s="148"/>
      <c r="I382" s="148"/>
      <c r="J382" s="148"/>
      <c r="K382" s="148"/>
      <c r="L382" s="165" t="str">
        <f t="shared" ref="L382" si="646">IFERROR(VLOOKUP(G382, tabla02, 2, 0), "")</f>
        <v/>
      </c>
      <c r="M382" s="165" t="str">
        <f t="shared" ref="M382" si="647">IFERROR(VLOOKUP(H382, tabla02, 2, 0), "")</f>
        <v/>
      </c>
      <c r="N382" s="165" t="str">
        <f t="shared" ref="N382" si="648">IFERROR(VLOOKUP(I382, tabla02, 2, 0), "")</f>
        <v/>
      </c>
      <c r="O382" s="165" t="str">
        <f t="shared" ref="O382" si="649">IFERROR(VLOOKUP(J382, tabla02, 2, 0), "")</f>
        <v/>
      </c>
      <c r="P382" s="165" t="str">
        <f t="shared" ref="P382" si="650">IFERROR(VLOOKUP(K382, tabla02, 2, 0), "")</f>
        <v/>
      </c>
      <c r="Q382" s="165" t="str">
        <f t="shared" ref="Q382" si="651">IF(SUM(L382:P382)=0, "", MAX(L382:P382))</f>
        <v/>
      </c>
      <c r="R382" s="159" t="str">
        <f>IFERROR(VLOOKUP(Q382, tabla04, 3, 0), "")</f>
        <v/>
      </c>
      <c r="S382" s="148"/>
      <c r="T382" s="148"/>
      <c r="U382" s="148"/>
      <c r="V382" s="148"/>
      <c r="W382" s="148"/>
      <c r="X382" s="163" t="str">
        <f>IFERROR(VLOOKUP(CONCATENATE(F382, "-", Q382), cuadrante_sev, 3, 0), "")</f>
        <v/>
      </c>
      <c r="Y382" s="163" t="str">
        <f t="shared" ref="Y382" si="652">IFERROR(IF(X382="Baja", 1, IF(X382="Moderada", 2, IF(X382="Alta", 3, IF(X382="Extrema", 4, "")))), "")</f>
        <v/>
      </c>
      <c r="Z382" s="172"/>
      <c r="AA382" s="188"/>
      <c r="AB382" s="172"/>
      <c r="AC382" s="172"/>
      <c r="AD382" s="175"/>
      <c r="AE382" s="70" t="s">
        <v>113</v>
      </c>
      <c r="AF382" s="135"/>
      <c r="AG382" s="74"/>
      <c r="AH382" s="72"/>
      <c r="AI382" s="72"/>
      <c r="AJ382" s="72"/>
      <c r="AK382" s="72"/>
      <c r="AL382" s="72"/>
      <c r="AM382" s="82" t="str">
        <f>IFERROR((Tablas!$C$1*VLOOKUP(AH382, tipo_control, 2, 0)+Tablas!$E$1*VLOOKUP(AI382, nat_control, 2, 0)+Tablas!$G$1*VLOOKUP(AJ382, ev_control, 2, 0)+Tablas!$I$1*VLOOKUP(AK382, frec_control, 2, 0)+Tablas!$K$1*VLOOKUP(AL382, doc_control, 2, 0))*0.1*peso_dis, "")</f>
        <v/>
      </c>
      <c r="AN382" s="72"/>
      <c r="AO382" s="72"/>
      <c r="AP382" s="72"/>
      <c r="AQ382" s="82" t="str">
        <f>IFERROR((Tablas!$C$9*VLOOKUP(AN382, amb_control, 2, 0)+Tablas!$E$9*VLOOKUP(AO382, ejec_control, 2, 0)+Tablas!$G$9*VLOOKUP(AP382, cub_control, 2, 0))*0.1*peso_ejec, "")</f>
        <v/>
      </c>
      <c r="AR382" s="96" t="str">
        <f t="shared" si="613"/>
        <v/>
      </c>
      <c r="AS382" s="97" t="str">
        <f t="shared" si="578"/>
        <v/>
      </c>
      <c r="AT382" s="87" t="str">
        <f t="shared" si="579"/>
        <v/>
      </c>
      <c r="AU382" s="97" t="str">
        <f>IF(AR382&lt;Tablas!$G$19, 0, IF(AND(AR382&gt;=Tablas!$G$19, AR382&lt;Tablas!$G$20), 1,  IF(AND(AR382&gt;=Tablas!$G$20, AR382&lt;Tablas!$G$21), 2,  IF(AND(AR382&gt;=Tablas!$G$21, AR382&lt;=Tablas!$G$22), 3,  ""))))</f>
        <v/>
      </c>
      <c r="AV382" s="97" t="str">
        <f t="shared" si="614"/>
        <v/>
      </c>
      <c r="AW382" s="103" t="str">
        <f t="shared" si="615"/>
        <v/>
      </c>
      <c r="AX382" s="176" t="str">
        <f t="shared" ref="AX382" si="653">IFERROR(VLOOKUP(AY382, tabla04, 2, 0), "")</f>
        <v/>
      </c>
      <c r="AY382" s="168" t="str">
        <f>IF(F382="", "", IF((F382-MAX(AV382:AV386))&lt;=0, 1, F382-MAX(AV382:AV386)))</f>
        <v/>
      </c>
      <c r="AZ382" s="178" t="str">
        <f t="shared" ref="AZ382" si="654">IFERROR(VLOOKUP(BA382, tabla04, 3, 0), "")</f>
        <v/>
      </c>
      <c r="BA382" s="168" t="str">
        <f>IF(Q382="", "", IF((Q382-MAX(AW382:AW386))&lt;=0, 1, Q382-MAX(AW382:AW386)))</f>
        <v/>
      </c>
      <c r="BB382" s="182"/>
      <c r="BC382" s="182"/>
      <c r="BD382" s="185"/>
      <c r="BE382" s="185"/>
      <c r="BF382" s="158" t="str">
        <f t="shared" ref="BF382:BF384" si="655">IFERROR(VLOOKUP(CONCATENATE(AY382, "-", BA382), cuadrante_sev, 3, 0), "")</f>
        <v/>
      </c>
      <c r="BG382" s="191"/>
    </row>
    <row r="383" spans="1:59" x14ac:dyDescent="0.25">
      <c r="A383" s="167"/>
      <c r="B383" s="195"/>
      <c r="C383" s="161"/>
      <c r="D383" s="160"/>
      <c r="E383" s="161"/>
      <c r="F383" s="164"/>
      <c r="G383" s="167"/>
      <c r="H383" s="167"/>
      <c r="I383" s="167"/>
      <c r="J383" s="167"/>
      <c r="K383" s="167"/>
      <c r="L383" s="166"/>
      <c r="M383" s="166"/>
      <c r="N383" s="166"/>
      <c r="O383" s="166"/>
      <c r="P383" s="166"/>
      <c r="Q383" s="166"/>
      <c r="R383" s="177"/>
      <c r="S383" s="167"/>
      <c r="T383" s="167"/>
      <c r="U383" s="167"/>
      <c r="V383" s="167"/>
      <c r="W383" s="167"/>
      <c r="X383" s="164"/>
      <c r="Y383" s="164"/>
      <c r="Z383" s="172"/>
      <c r="AA383" s="188"/>
      <c r="AB383" s="172"/>
      <c r="AC383" s="172"/>
      <c r="AD383" s="175"/>
      <c r="AE383" s="62" t="s">
        <v>114</v>
      </c>
      <c r="AF383" s="133"/>
      <c r="AG383" s="65"/>
      <c r="AH383" s="64"/>
      <c r="AI383" s="64"/>
      <c r="AJ383" s="64"/>
      <c r="AK383" s="64"/>
      <c r="AL383" s="64"/>
      <c r="AM383" s="80" t="str">
        <f>IFERROR((Tablas!$C$1*VLOOKUP(AH383, tipo_control, 2, 0)+Tablas!$E$1*VLOOKUP(AI383, nat_control, 2, 0)+Tablas!$G$1*VLOOKUP(AJ383, ev_control, 2, 0)+Tablas!$I$1*VLOOKUP(AK383, frec_control, 2, 0)+Tablas!$K$1*VLOOKUP(AL383, doc_control, 2, 0))*0.1*peso_dis, "")</f>
        <v/>
      </c>
      <c r="AN383" s="64"/>
      <c r="AO383" s="64"/>
      <c r="AP383" s="64"/>
      <c r="AQ383" s="80" t="str">
        <f>IFERROR((Tablas!$C$9*VLOOKUP(AN383, amb_control, 2, 0)+Tablas!$E$9*VLOOKUP(AO383, ejec_control, 2, 0)+Tablas!$G$9*VLOOKUP(AP383, cub_control, 2, 0))*0.1*peso_ejec, "")</f>
        <v/>
      </c>
      <c r="AR383" s="91" t="str">
        <f t="shared" si="613"/>
        <v/>
      </c>
      <c r="AS383" s="85" t="str">
        <f t="shared" si="578"/>
        <v/>
      </c>
      <c r="AT383" s="85" t="str">
        <f t="shared" si="579"/>
        <v/>
      </c>
      <c r="AU383" s="85" t="str">
        <f>IF(AR383&lt;Tablas!$G$19, 0, IF(AND(AR383&gt;=Tablas!$G$19, AR383&lt;Tablas!$G$20), 1,  IF(AND(AR383&gt;=Tablas!$G$20, AR383&lt;Tablas!$G$21), 2,  IF(AND(AR383&gt;=Tablas!$G$21, AR383&lt;=Tablas!$G$22), 3,  ""))))</f>
        <v/>
      </c>
      <c r="AV383" s="85" t="str">
        <f t="shared" si="614"/>
        <v/>
      </c>
      <c r="AW383" s="101" t="str">
        <f t="shared" si="615"/>
        <v/>
      </c>
      <c r="AX383" s="177"/>
      <c r="AY383" s="169"/>
      <c r="AZ383" s="158"/>
      <c r="BA383" s="169"/>
      <c r="BB383" s="182"/>
      <c r="BC383" s="182"/>
      <c r="BD383" s="185"/>
      <c r="BE383" s="185"/>
      <c r="BF383" s="158" t="str">
        <f t="shared" si="655"/>
        <v/>
      </c>
      <c r="BG383" s="191"/>
    </row>
    <row r="384" spans="1:59" x14ac:dyDescent="0.25">
      <c r="A384" s="167"/>
      <c r="B384" s="195"/>
      <c r="C384" s="161"/>
      <c r="D384" s="160"/>
      <c r="E384" s="161"/>
      <c r="F384" s="164"/>
      <c r="G384" s="167"/>
      <c r="H384" s="167"/>
      <c r="I384" s="167"/>
      <c r="J384" s="167"/>
      <c r="K384" s="167"/>
      <c r="L384" s="166"/>
      <c r="M384" s="166"/>
      <c r="N384" s="166"/>
      <c r="O384" s="166"/>
      <c r="P384" s="166"/>
      <c r="Q384" s="166"/>
      <c r="R384" s="177"/>
      <c r="S384" s="167"/>
      <c r="T384" s="167"/>
      <c r="U384" s="167"/>
      <c r="V384" s="167"/>
      <c r="W384" s="167"/>
      <c r="X384" s="164"/>
      <c r="Y384" s="164"/>
      <c r="Z384" s="172"/>
      <c r="AA384" s="188"/>
      <c r="AB384" s="172"/>
      <c r="AC384" s="172"/>
      <c r="AD384" s="175"/>
      <c r="AE384" s="62" t="s">
        <v>115</v>
      </c>
      <c r="AF384" s="133"/>
      <c r="AG384" s="65"/>
      <c r="AH384" s="64"/>
      <c r="AI384" s="64"/>
      <c r="AJ384" s="64"/>
      <c r="AK384" s="64"/>
      <c r="AL384" s="64"/>
      <c r="AM384" s="80" t="str">
        <f>IFERROR((Tablas!$C$1*VLOOKUP(AH384, tipo_control, 2, 0)+Tablas!$E$1*VLOOKUP(AI384, nat_control, 2, 0)+Tablas!$G$1*VLOOKUP(AJ384, ev_control, 2, 0)+Tablas!$I$1*VLOOKUP(AK384, frec_control, 2, 0)+Tablas!$K$1*VLOOKUP(AL384, doc_control, 2, 0))*0.1*peso_dis, "")</f>
        <v/>
      </c>
      <c r="AN384" s="64"/>
      <c r="AO384" s="64"/>
      <c r="AP384" s="64"/>
      <c r="AQ384" s="80" t="str">
        <f>IFERROR((Tablas!$C$9*VLOOKUP(AN384, amb_control, 2, 0)+Tablas!$E$9*VLOOKUP(AO384, ejec_control, 2, 0)+Tablas!$G$9*VLOOKUP(AP384, cub_control, 2, 0))*0.1*peso_ejec, "")</f>
        <v/>
      </c>
      <c r="AR384" s="91" t="str">
        <f t="shared" si="613"/>
        <v/>
      </c>
      <c r="AS384" s="85" t="str">
        <f t="shared" si="578"/>
        <v/>
      </c>
      <c r="AT384" s="85" t="str">
        <f t="shared" si="579"/>
        <v/>
      </c>
      <c r="AU384" s="85" t="str">
        <f>IF(AR384&lt;Tablas!$G$19, 0, IF(AND(AR384&gt;=Tablas!$G$19, AR384&lt;Tablas!$G$20), 1,  IF(AND(AR384&gt;=Tablas!$G$20, AR384&lt;Tablas!$G$21), 2,  IF(AND(AR384&gt;=Tablas!$G$21, AR384&lt;=Tablas!$G$22), 3,  ""))))</f>
        <v/>
      </c>
      <c r="AV384" s="85" t="str">
        <f t="shared" si="614"/>
        <v/>
      </c>
      <c r="AW384" s="101" t="str">
        <f t="shared" si="615"/>
        <v/>
      </c>
      <c r="AX384" s="177"/>
      <c r="AY384" s="169"/>
      <c r="AZ384" s="158"/>
      <c r="BA384" s="169"/>
      <c r="BB384" s="182"/>
      <c r="BC384" s="182"/>
      <c r="BD384" s="185"/>
      <c r="BE384" s="185"/>
      <c r="BF384" s="158" t="str">
        <f t="shared" si="655"/>
        <v/>
      </c>
      <c r="BG384" s="191"/>
    </row>
    <row r="385" spans="1:59" x14ac:dyDescent="0.25">
      <c r="A385" s="167"/>
      <c r="B385" s="195"/>
      <c r="C385" s="161"/>
      <c r="D385" s="160"/>
      <c r="E385" s="161"/>
      <c r="F385" s="164"/>
      <c r="G385" s="167"/>
      <c r="H385" s="167"/>
      <c r="I385" s="167"/>
      <c r="J385" s="167"/>
      <c r="K385" s="167"/>
      <c r="L385" s="166"/>
      <c r="M385" s="166"/>
      <c r="N385" s="166"/>
      <c r="O385" s="166"/>
      <c r="P385" s="166"/>
      <c r="Q385" s="166"/>
      <c r="R385" s="177"/>
      <c r="S385" s="167"/>
      <c r="T385" s="167"/>
      <c r="U385" s="167"/>
      <c r="V385" s="167"/>
      <c r="W385" s="167"/>
      <c r="X385" s="164"/>
      <c r="Y385" s="164"/>
      <c r="Z385" s="172"/>
      <c r="AA385" s="188"/>
      <c r="AB385" s="172"/>
      <c r="AC385" s="172"/>
      <c r="AD385" s="175"/>
      <c r="AE385" s="62" t="s">
        <v>153</v>
      </c>
      <c r="AF385" s="133"/>
      <c r="AG385" s="65"/>
      <c r="AH385" s="64"/>
      <c r="AI385" s="64"/>
      <c r="AJ385" s="64"/>
      <c r="AK385" s="64"/>
      <c r="AL385" s="64"/>
      <c r="AM385" s="80" t="str">
        <f>IFERROR((Tablas!$C$1*VLOOKUP(AH385, tipo_control, 2, 0)+Tablas!$E$1*VLOOKUP(AI385, nat_control, 2, 0)+Tablas!$G$1*VLOOKUP(AJ385, ev_control, 2, 0)+Tablas!$I$1*VLOOKUP(AK385, frec_control, 2, 0)+Tablas!$K$1*VLOOKUP(AL385, doc_control, 2, 0))*0.1*peso_dis, "")</f>
        <v/>
      </c>
      <c r="AN385" s="64"/>
      <c r="AO385" s="64"/>
      <c r="AP385" s="64"/>
      <c r="AQ385" s="80" t="str">
        <f>IFERROR((Tablas!$C$9*VLOOKUP(AN385, amb_control, 2, 0)+Tablas!$E$9*VLOOKUP(AO385, ejec_control, 2, 0)+Tablas!$G$9*VLOOKUP(AP385, cub_control, 2, 0))*0.1*peso_ejec, "")</f>
        <v/>
      </c>
      <c r="AR385" s="91" t="str">
        <f t="shared" si="613"/>
        <v/>
      </c>
      <c r="AS385" s="85" t="str">
        <f t="shared" si="578"/>
        <v/>
      </c>
      <c r="AT385" s="85" t="str">
        <f t="shared" si="579"/>
        <v/>
      </c>
      <c r="AU385" s="85" t="str">
        <f>IF(AR385&lt;Tablas!$G$19, 0, IF(AND(AR385&gt;=Tablas!$G$19, AR385&lt;Tablas!$G$20), 1,  IF(AND(AR385&gt;=Tablas!$G$20, AR385&lt;Tablas!$G$21), 2,  IF(AND(AR385&gt;=Tablas!$G$21, AR385&lt;=Tablas!$G$22), 3,  ""))))</f>
        <v/>
      </c>
      <c r="AV385" s="85" t="str">
        <f t="shared" si="614"/>
        <v/>
      </c>
      <c r="AW385" s="101" t="str">
        <f t="shared" si="615"/>
        <v/>
      </c>
      <c r="AX385" s="177"/>
      <c r="AY385" s="169"/>
      <c r="AZ385" s="158"/>
      <c r="BA385" s="169"/>
      <c r="BB385" s="182"/>
      <c r="BC385" s="182"/>
      <c r="BD385" s="185"/>
      <c r="BE385" s="185"/>
      <c r="BF385" s="158"/>
      <c r="BG385" s="191"/>
    </row>
    <row r="386" spans="1:59" ht="15.75" thickBot="1" x14ac:dyDescent="0.3">
      <c r="A386" s="167"/>
      <c r="B386" s="195"/>
      <c r="C386" s="161"/>
      <c r="D386" s="160"/>
      <c r="E386" s="161"/>
      <c r="F386" s="165"/>
      <c r="G386" s="149"/>
      <c r="H386" s="149"/>
      <c r="I386" s="149"/>
      <c r="J386" s="149"/>
      <c r="K386" s="149"/>
      <c r="L386" s="166"/>
      <c r="M386" s="166"/>
      <c r="N386" s="166"/>
      <c r="O386" s="166"/>
      <c r="P386" s="166"/>
      <c r="Q386" s="166"/>
      <c r="R386" s="177"/>
      <c r="S386" s="149"/>
      <c r="T386" s="149"/>
      <c r="U386" s="149"/>
      <c r="V386" s="149"/>
      <c r="W386" s="149"/>
      <c r="X386" s="165"/>
      <c r="Y386" s="165"/>
      <c r="Z386" s="172"/>
      <c r="AA386" s="188"/>
      <c r="AB386" s="172"/>
      <c r="AC386" s="172"/>
      <c r="AD386" s="175"/>
      <c r="AE386" s="66" t="s">
        <v>154</v>
      </c>
      <c r="AF386" s="134"/>
      <c r="AG386" s="67"/>
      <c r="AH386" s="69"/>
      <c r="AI386" s="69"/>
      <c r="AJ386" s="69"/>
      <c r="AK386" s="69"/>
      <c r="AL386" s="69"/>
      <c r="AM386" s="81" t="str">
        <f>IFERROR((Tablas!$C$1*VLOOKUP(AH386, tipo_control, 2, 0)+Tablas!$E$1*VLOOKUP(AI386, nat_control, 2, 0)+Tablas!$G$1*VLOOKUP(AJ386, ev_control, 2, 0)+Tablas!$I$1*VLOOKUP(AK386, frec_control, 2, 0)+Tablas!$K$1*VLOOKUP(AL386, doc_control, 2, 0))*0.1*peso_dis, "")</f>
        <v/>
      </c>
      <c r="AN386" s="69"/>
      <c r="AO386" s="69"/>
      <c r="AP386" s="69"/>
      <c r="AQ386" s="81" t="str">
        <f>IFERROR((Tablas!$C$9*VLOOKUP(AN386, amb_control, 2, 0)+Tablas!$E$9*VLOOKUP(AO386, ejec_control, 2, 0)+Tablas!$G$9*VLOOKUP(AP386, cub_control, 2, 0))*0.1*peso_ejec, "")</f>
        <v/>
      </c>
      <c r="AR386" s="93" t="str">
        <f t="shared" si="613"/>
        <v/>
      </c>
      <c r="AS386" s="94" t="str">
        <f t="shared" si="578"/>
        <v/>
      </c>
      <c r="AT386" s="94" t="str">
        <f t="shared" si="579"/>
        <v/>
      </c>
      <c r="AU386" s="94" t="str">
        <f>IF(AR386&lt;Tablas!$G$19, 0, IF(AND(AR386&gt;=Tablas!$G$19, AR386&lt;Tablas!$G$20), 1,  IF(AND(AR386&gt;=Tablas!$G$20, AR386&lt;Tablas!$G$21), 2,  IF(AND(AR386&gt;=Tablas!$G$21, AR386&lt;=Tablas!$G$22), 3,  ""))))</f>
        <v/>
      </c>
      <c r="AV386" s="94" t="str">
        <f t="shared" si="614"/>
        <v/>
      </c>
      <c r="AW386" s="102" t="str">
        <f t="shared" si="615"/>
        <v/>
      </c>
      <c r="AX386" s="157"/>
      <c r="AY386" s="170"/>
      <c r="AZ386" s="179"/>
      <c r="BA386" s="170"/>
      <c r="BB386" s="182"/>
      <c r="BC386" s="182"/>
      <c r="BD386" s="185"/>
      <c r="BE386" s="185"/>
      <c r="BF386" s="159"/>
      <c r="BG386" s="191"/>
    </row>
    <row r="387" spans="1:59" x14ac:dyDescent="0.25">
      <c r="A387" s="167"/>
      <c r="B387" s="195"/>
      <c r="C387" s="161" t="s">
        <v>180</v>
      </c>
      <c r="D387" s="160"/>
      <c r="E387" s="149"/>
      <c r="F387" s="163" t="str">
        <f t="shared" si="557"/>
        <v/>
      </c>
      <c r="G387" s="148"/>
      <c r="H387" s="148"/>
      <c r="I387" s="148"/>
      <c r="J387" s="148"/>
      <c r="K387" s="148"/>
      <c r="L387" s="165" t="str">
        <f t="shared" ref="L387" si="656">IFERROR(VLOOKUP(G387, tabla02, 2, 0), "")</f>
        <v/>
      </c>
      <c r="M387" s="165" t="str">
        <f t="shared" ref="M387" si="657">IFERROR(VLOOKUP(H387, tabla02, 2, 0), "")</f>
        <v/>
      </c>
      <c r="N387" s="165" t="str">
        <f t="shared" ref="N387" si="658">IFERROR(VLOOKUP(I387, tabla02, 2, 0), "")</f>
        <v/>
      </c>
      <c r="O387" s="165" t="str">
        <f t="shared" ref="O387" si="659">IFERROR(VLOOKUP(J387, tabla02, 2, 0), "")</f>
        <v/>
      </c>
      <c r="P387" s="165" t="str">
        <f t="shared" ref="P387" si="660">IFERROR(VLOOKUP(K387, tabla02, 2, 0), "")</f>
        <v/>
      </c>
      <c r="Q387" s="165" t="str">
        <f t="shared" ref="Q387" si="661">IF(SUM(L387:P387)=0, "", MAX(L387:P387))</f>
        <v/>
      </c>
      <c r="R387" s="159" t="str">
        <f>IFERROR(VLOOKUP(Q387, tabla04, 3, 0), "")</f>
        <v/>
      </c>
      <c r="S387" s="148"/>
      <c r="T387" s="148"/>
      <c r="U387" s="148"/>
      <c r="V387" s="148"/>
      <c r="W387" s="148"/>
      <c r="X387" s="163" t="str">
        <f>IFERROR(VLOOKUP(CONCATENATE(F387, "-", Q387), cuadrante_sev, 3, 0), "")</f>
        <v/>
      </c>
      <c r="Y387" s="163" t="str">
        <f t="shared" ref="Y387" si="662">IFERROR(IF(X387="Baja", 1, IF(X387="Moderada", 2, IF(X387="Alta", 3, IF(X387="Extrema", 4, "")))), "")</f>
        <v/>
      </c>
      <c r="Z387" s="172"/>
      <c r="AA387" s="188"/>
      <c r="AB387" s="172"/>
      <c r="AC387" s="172"/>
      <c r="AD387" s="175"/>
      <c r="AE387" s="70" t="s">
        <v>113</v>
      </c>
      <c r="AF387" s="135"/>
      <c r="AG387" s="74"/>
      <c r="AH387" s="72"/>
      <c r="AI387" s="72"/>
      <c r="AJ387" s="72"/>
      <c r="AK387" s="72"/>
      <c r="AL387" s="72"/>
      <c r="AM387" s="82" t="str">
        <f>IFERROR((Tablas!$C$1*VLOOKUP(AH387, tipo_control, 2, 0)+Tablas!$E$1*VLOOKUP(AI387, nat_control, 2, 0)+Tablas!$G$1*VLOOKUP(AJ387, ev_control, 2, 0)+Tablas!$I$1*VLOOKUP(AK387, frec_control, 2, 0)+Tablas!$K$1*VLOOKUP(AL387, doc_control, 2, 0))*0.1*peso_dis, "")</f>
        <v/>
      </c>
      <c r="AN387" s="72"/>
      <c r="AO387" s="72"/>
      <c r="AP387" s="72"/>
      <c r="AQ387" s="82" t="str">
        <f>IFERROR((Tablas!$C$9*VLOOKUP(AN387, amb_control, 2, 0)+Tablas!$E$9*VLOOKUP(AO387, ejec_control, 2, 0)+Tablas!$G$9*VLOOKUP(AP387, cub_control, 2, 0))*0.1*peso_ejec, "")</f>
        <v/>
      </c>
      <c r="AR387" s="96" t="str">
        <f t="shared" si="613"/>
        <v/>
      </c>
      <c r="AS387" s="97" t="str">
        <f t="shared" si="578"/>
        <v/>
      </c>
      <c r="AT387" s="87" t="str">
        <f t="shared" si="579"/>
        <v/>
      </c>
      <c r="AU387" s="97" t="str">
        <f>IF(AR387&lt;Tablas!$G$19, 0, IF(AND(AR387&gt;=Tablas!$G$19, AR387&lt;Tablas!$G$20), 1,  IF(AND(AR387&gt;=Tablas!$G$20, AR387&lt;Tablas!$G$21), 2,  IF(AND(AR387&gt;=Tablas!$G$21, AR387&lt;=Tablas!$G$22), 3,  ""))))</f>
        <v/>
      </c>
      <c r="AV387" s="97" t="str">
        <f t="shared" si="614"/>
        <v/>
      </c>
      <c r="AW387" s="103" t="str">
        <f t="shared" si="615"/>
        <v/>
      </c>
      <c r="AX387" s="176" t="str">
        <f t="shared" ref="AX387" si="663">IFERROR(VLOOKUP(AY387, tabla04, 2, 0), "")</f>
        <v/>
      </c>
      <c r="AY387" s="168" t="str">
        <f>IF(F387="", "", IF((F387-MAX(AV387:AV391))&lt;=0, 1, F387-MAX(AV387:AV391)))</f>
        <v/>
      </c>
      <c r="AZ387" s="178" t="str">
        <f t="shared" ref="AZ387" si="664">IFERROR(VLOOKUP(BA387, tabla04, 3, 0), "")</f>
        <v/>
      </c>
      <c r="BA387" s="168" t="str">
        <f>IF(Q387="", "", IF((Q387-MAX(AW387:AW391))&lt;=0, 1, Q387-MAX(AW387:AW391)))</f>
        <v/>
      </c>
      <c r="BB387" s="182"/>
      <c r="BC387" s="182"/>
      <c r="BD387" s="185"/>
      <c r="BE387" s="185"/>
      <c r="BF387" s="158" t="str">
        <f t="shared" ref="BF387:BF389" si="665">IFERROR(VLOOKUP(CONCATENATE(AY387, "-", BA387), cuadrante_sev, 3, 0), "")</f>
        <v/>
      </c>
      <c r="BG387" s="191"/>
    </row>
    <row r="388" spans="1:59" x14ac:dyDescent="0.25">
      <c r="A388" s="167"/>
      <c r="B388" s="195"/>
      <c r="C388" s="161"/>
      <c r="D388" s="160"/>
      <c r="E388" s="161"/>
      <c r="F388" s="164"/>
      <c r="G388" s="167"/>
      <c r="H388" s="167"/>
      <c r="I388" s="167"/>
      <c r="J388" s="167"/>
      <c r="K388" s="167"/>
      <c r="L388" s="166"/>
      <c r="M388" s="166"/>
      <c r="N388" s="166"/>
      <c r="O388" s="166"/>
      <c r="P388" s="166"/>
      <c r="Q388" s="166"/>
      <c r="R388" s="177"/>
      <c r="S388" s="167"/>
      <c r="T388" s="167"/>
      <c r="U388" s="167"/>
      <c r="V388" s="167"/>
      <c r="W388" s="167"/>
      <c r="X388" s="164"/>
      <c r="Y388" s="164"/>
      <c r="Z388" s="172"/>
      <c r="AA388" s="188"/>
      <c r="AB388" s="172"/>
      <c r="AC388" s="172"/>
      <c r="AD388" s="175"/>
      <c r="AE388" s="62" t="s">
        <v>114</v>
      </c>
      <c r="AF388" s="133"/>
      <c r="AG388" s="65"/>
      <c r="AH388" s="64"/>
      <c r="AI388" s="64"/>
      <c r="AJ388" s="64"/>
      <c r="AK388" s="64"/>
      <c r="AL388" s="64"/>
      <c r="AM388" s="80" t="str">
        <f>IFERROR((Tablas!$C$1*VLOOKUP(AH388, tipo_control, 2, 0)+Tablas!$E$1*VLOOKUP(AI388, nat_control, 2, 0)+Tablas!$G$1*VLOOKUP(AJ388, ev_control, 2, 0)+Tablas!$I$1*VLOOKUP(AK388, frec_control, 2, 0)+Tablas!$K$1*VLOOKUP(AL388, doc_control, 2, 0))*0.1*peso_dis, "")</f>
        <v/>
      </c>
      <c r="AN388" s="64"/>
      <c r="AO388" s="64"/>
      <c r="AP388" s="64"/>
      <c r="AQ388" s="80" t="str">
        <f>IFERROR((Tablas!$C$9*VLOOKUP(AN388, amb_control, 2, 0)+Tablas!$E$9*VLOOKUP(AO388, ejec_control, 2, 0)+Tablas!$G$9*VLOOKUP(AP388, cub_control, 2, 0))*0.1*peso_ejec, "")</f>
        <v/>
      </c>
      <c r="AR388" s="91" t="str">
        <f t="shared" si="613"/>
        <v/>
      </c>
      <c r="AS388" s="85" t="str">
        <f t="shared" si="578"/>
        <v/>
      </c>
      <c r="AT388" s="85" t="str">
        <f t="shared" si="579"/>
        <v/>
      </c>
      <c r="AU388" s="85" t="str">
        <f>IF(AR388&lt;Tablas!$G$19, 0, IF(AND(AR388&gt;=Tablas!$G$19, AR388&lt;Tablas!$G$20), 1,  IF(AND(AR388&gt;=Tablas!$G$20, AR388&lt;Tablas!$G$21), 2,  IF(AND(AR388&gt;=Tablas!$G$21, AR388&lt;=Tablas!$G$22), 3,  ""))))</f>
        <v/>
      </c>
      <c r="AV388" s="85" t="str">
        <f t="shared" si="614"/>
        <v/>
      </c>
      <c r="AW388" s="101" t="str">
        <f t="shared" si="615"/>
        <v/>
      </c>
      <c r="AX388" s="177"/>
      <c r="AY388" s="169"/>
      <c r="AZ388" s="158"/>
      <c r="BA388" s="169"/>
      <c r="BB388" s="182"/>
      <c r="BC388" s="182"/>
      <c r="BD388" s="185"/>
      <c r="BE388" s="185"/>
      <c r="BF388" s="158" t="str">
        <f t="shared" si="665"/>
        <v/>
      </c>
      <c r="BG388" s="191"/>
    </row>
    <row r="389" spans="1:59" x14ac:dyDescent="0.25">
      <c r="A389" s="167"/>
      <c r="B389" s="195"/>
      <c r="C389" s="161"/>
      <c r="D389" s="160"/>
      <c r="E389" s="161"/>
      <c r="F389" s="164"/>
      <c r="G389" s="167"/>
      <c r="H389" s="167"/>
      <c r="I389" s="167"/>
      <c r="J389" s="167"/>
      <c r="K389" s="167"/>
      <c r="L389" s="166"/>
      <c r="M389" s="166"/>
      <c r="N389" s="166"/>
      <c r="O389" s="166"/>
      <c r="P389" s="166"/>
      <c r="Q389" s="166"/>
      <c r="R389" s="177"/>
      <c r="S389" s="167"/>
      <c r="T389" s="167"/>
      <c r="U389" s="167"/>
      <c r="V389" s="167"/>
      <c r="W389" s="167"/>
      <c r="X389" s="164"/>
      <c r="Y389" s="164"/>
      <c r="Z389" s="172"/>
      <c r="AA389" s="188"/>
      <c r="AB389" s="172"/>
      <c r="AC389" s="172"/>
      <c r="AD389" s="175"/>
      <c r="AE389" s="62" t="s">
        <v>115</v>
      </c>
      <c r="AF389" s="133"/>
      <c r="AG389" s="65"/>
      <c r="AH389" s="64"/>
      <c r="AI389" s="64"/>
      <c r="AJ389" s="64"/>
      <c r="AK389" s="64"/>
      <c r="AL389" s="64"/>
      <c r="AM389" s="80" t="str">
        <f>IFERROR((Tablas!$C$1*VLOOKUP(AH389, tipo_control, 2, 0)+Tablas!$E$1*VLOOKUP(AI389, nat_control, 2, 0)+Tablas!$G$1*VLOOKUP(AJ389, ev_control, 2, 0)+Tablas!$I$1*VLOOKUP(AK389, frec_control, 2, 0)+Tablas!$K$1*VLOOKUP(AL389, doc_control, 2, 0))*0.1*peso_dis, "")</f>
        <v/>
      </c>
      <c r="AN389" s="64"/>
      <c r="AO389" s="64"/>
      <c r="AP389" s="64"/>
      <c r="AQ389" s="80" t="str">
        <f>IFERROR((Tablas!$C$9*VLOOKUP(AN389, amb_control, 2, 0)+Tablas!$E$9*VLOOKUP(AO389, ejec_control, 2, 0)+Tablas!$G$9*VLOOKUP(AP389, cub_control, 2, 0))*0.1*peso_ejec, "")</f>
        <v/>
      </c>
      <c r="AR389" s="91" t="str">
        <f t="shared" si="613"/>
        <v/>
      </c>
      <c r="AS389" s="85" t="str">
        <f t="shared" si="578"/>
        <v/>
      </c>
      <c r="AT389" s="85" t="str">
        <f t="shared" si="579"/>
        <v/>
      </c>
      <c r="AU389" s="85" t="str">
        <f>IF(AR389&lt;Tablas!$G$19, 0, IF(AND(AR389&gt;=Tablas!$G$19, AR389&lt;Tablas!$G$20), 1,  IF(AND(AR389&gt;=Tablas!$G$20, AR389&lt;Tablas!$G$21), 2,  IF(AND(AR389&gt;=Tablas!$G$21, AR389&lt;=Tablas!$G$22), 3,  ""))))</f>
        <v/>
      </c>
      <c r="AV389" s="85" t="str">
        <f t="shared" si="614"/>
        <v/>
      </c>
      <c r="AW389" s="101" t="str">
        <f t="shared" si="615"/>
        <v/>
      </c>
      <c r="AX389" s="177"/>
      <c r="AY389" s="169"/>
      <c r="AZ389" s="158"/>
      <c r="BA389" s="169"/>
      <c r="BB389" s="182"/>
      <c r="BC389" s="182"/>
      <c r="BD389" s="185"/>
      <c r="BE389" s="185"/>
      <c r="BF389" s="158" t="str">
        <f t="shared" si="665"/>
        <v/>
      </c>
      <c r="BG389" s="191"/>
    </row>
    <row r="390" spans="1:59" x14ac:dyDescent="0.25">
      <c r="A390" s="167"/>
      <c r="B390" s="195"/>
      <c r="C390" s="161"/>
      <c r="D390" s="160"/>
      <c r="E390" s="161"/>
      <c r="F390" s="164"/>
      <c r="G390" s="167"/>
      <c r="H390" s="167"/>
      <c r="I390" s="167"/>
      <c r="J390" s="167"/>
      <c r="K390" s="167"/>
      <c r="L390" s="166"/>
      <c r="M390" s="166"/>
      <c r="N390" s="166"/>
      <c r="O390" s="166"/>
      <c r="P390" s="166"/>
      <c r="Q390" s="166"/>
      <c r="R390" s="177"/>
      <c r="S390" s="167"/>
      <c r="T390" s="167"/>
      <c r="U390" s="167"/>
      <c r="V390" s="167"/>
      <c r="W390" s="167"/>
      <c r="X390" s="164"/>
      <c r="Y390" s="164"/>
      <c r="Z390" s="172"/>
      <c r="AA390" s="188"/>
      <c r="AB390" s="172"/>
      <c r="AC390" s="172"/>
      <c r="AD390" s="175"/>
      <c r="AE390" s="62" t="s">
        <v>153</v>
      </c>
      <c r="AF390" s="133"/>
      <c r="AG390" s="65"/>
      <c r="AH390" s="64"/>
      <c r="AI390" s="64"/>
      <c r="AJ390" s="64"/>
      <c r="AK390" s="64"/>
      <c r="AL390" s="64"/>
      <c r="AM390" s="80" t="str">
        <f>IFERROR((Tablas!$C$1*VLOOKUP(AH390, tipo_control, 2, 0)+Tablas!$E$1*VLOOKUP(AI390, nat_control, 2, 0)+Tablas!$G$1*VLOOKUP(AJ390, ev_control, 2, 0)+Tablas!$I$1*VLOOKUP(AK390, frec_control, 2, 0)+Tablas!$K$1*VLOOKUP(AL390, doc_control, 2, 0))*0.1*peso_dis, "")</f>
        <v/>
      </c>
      <c r="AN390" s="64"/>
      <c r="AO390" s="64"/>
      <c r="AP390" s="64"/>
      <c r="AQ390" s="80" t="str">
        <f>IFERROR((Tablas!$C$9*VLOOKUP(AN390, amb_control, 2, 0)+Tablas!$E$9*VLOOKUP(AO390, ejec_control, 2, 0)+Tablas!$G$9*VLOOKUP(AP390, cub_control, 2, 0))*0.1*peso_ejec, "")</f>
        <v/>
      </c>
      <c r="AR390" s="91" t="str">
        <f t="shared" si="613"/>
        <v/>
      </c>
      <c r="AS390" s="85" t="str">
        <f t="shared" si="578"/>
        <v/>
      </c>
      <c r="AT390" s="85" t="str">
        <f t="shared" si="579"/>
        <v/>
      </c>
      <c r="AU390" s="85" t="str">
        <f>IF(AR390&lt;Tablas!$G$19, 0, IF(AND(AR390&gt;=Tablas!$G$19, AR390&lt;Tablas!$G$20), 1,  IF(AND(AR390&gt;=Tablas!$G$20, AR390&lt;Tablas!$G$21), 2,  IF(AND(AR390&gt;=Tablas!$G$21, AR390&lt;=Tablas!$G$22), 3,  ""))))</f>
        <v/>
      </c>
      <c r="AV390" s="85" t="str">
        <f t="shared" si="614"/>
        <v/>
      </c>
      <c r="AW390" s="101" t="str">
        <f t="shared" si="615"/>
        <v/>
      </c>
      <c r="AX390" s="177"/>
      <c r="AY390" s="169"/>
      <c r="AZ390" s="158"/>
      <c r="BA390" s="169"/>
      <c r="BB390" s="182"/>
      <c r="BC390" s="182"/>
      <c r="BD390" s="185"/>
      <c r="BE390" s="185"/>
      <c r="BF390" s="158"/>
      <c r="BG390" s="191"/>
    </row>
    <row r="391" spans="1:59" ht="15.75" thickBot="1" x14ac:dyDescent="0.3">
      <c r="A391" s="167"/>
      <c r="B391" s="195"/>
      <c r="C391" s="161"/>
      <c r="D391" s="160"/>
      <c r="E391" s="161"/>
      <c r="F391" s="165"/>
      <c r="G391" s="149"/>
      <c r="H391" s="149"/>
      <c r="I391" s="149"/>
      <c r="J391" s="149"/>
      <c r="K391" s="149"/>
      <c r="L391" s="166"/>
      <c r="M391" s="166"/>
      <c r="N391" s="166"/>
      <c r="O391" s="166"/>
      <c r="P391" s="166"/>
      <c r="Q391" s="166"/>
      <c r="R391" s="177"/>
      <c r="S391" s="149"/>
      <c r="T391" s="149"/>
      <c r="U391" s="149"/>
      <c r="V391" s="149"/>
      <c r="W391" s="149"/>
      <c r="X391" s="165"/>
      <c r="Y391" s="165"/>
      <c r="Z391" s="172"/>
      <c r="AA391" s="188"/>
      <c r="AB391" s="172"/>
      <c r="AC391" s="172"/>
      <c r="AD391" s="175"/>
      <c r="AE391" s="66" t="s">
        <v>154</v>
      </c>
      <c r="AF391" s="134"/>
      <c r="AG391" s="67"/>
      <c r="AH391" s="69"/>
      <c r="AI391" s="69"/>
      <c r="AJ391" s="69"/>
      <c r="AK391" s="69"/>
      <c r="AL391" s="69"/>
      <c r="AM391" s="81" t="str">
        <f>IFERROR((Tablas!$C$1*VLOOKUP(AH391, tipo_control, 2, 0)+Tablas!$E$1*VLOOKUP(AI391, nat_control, 2, 0)+Tablas!$G$1*VLOOKUP(AJ391, ev_control, 2, 0)+Tablas!$I$1*VLOOKUP(AK391, frec_control, 2, 0)+Tablas!$K$1*VLOOKUP(AL391, doc_control, 2, 0))*0.1*peso_dis, "")</f>
        <v/>
      </c>
      <c r="AN391" s="69"/>
      <c r="AO391" s="69"/>
      <c r="AP391" s="69"/>
      <c r="AQ391" s="81" t="str">
        <f>IFERROR((Tablas!$C$9*VLOOKUP(AN391, amb_control, 2, 0)+Tablas!$E$9*VLOOKUP(AO391, ejec_control, 2, 0)+Tablas!$G$9*VLOOKUP(AP391, cub_control, 2, 0))*0.1*peso_ejec, "")</f>
        <v/>
      </c>
      <c r="AR391" s="93" t="str">
        <f t="shared" si="613"/>
        <v/>
      </c>
      <c r="AS391" s="94" t="str">
        <f t="shared" si="578"/>
        <v/>
      </c>
      <c r="AT391" s="94" t="str">
        <f t="shared" si="579"/>
        <v/>
      </c>
      <c r="AU391" s="94" t="str">
        <f>IF(AR391&lt;Tablas!$G$19, 0, IF(AND(AR391&gt;=Tablas!$G$19, AR391&lt;Tablas!$G$20), 1,  IF(AND(AR391&gt;=Tablas!$G$20, AR391&lt;Tablas!$G$21), 2,  IF(AND(AR391&gt;=Tablas!$G$21, AR391&lt;=Tablas!$G$22), 3,  ""))))</f>
        <v/>
      </c>
      <c r="AV391" s="94" t="str">
        <f t="shared" si="614"/>
        <v/>
      </c>
      <c r="AW391" s="102" t="str">
        <f t="shared" si="615"/>
        <v/>
      </c>
      <c r="AX391" s="157"/>
      <c r="AY391" s="170"/>
      <c r="AZ391" s="179"/>
      <c r="BA391" s="170"/>
      <c r="BB391" s="182"/>
      <c r="BC391" s="182"/>
      <c r="BD391" s="185"/>
      <c r="BE391" s="185"/>
      <c r="BF391" s="159"/>
      <c r="BG391" s="191"/>
    </row>
    <row r="392" spans="1:59" x14ac:dyDescent="0.25">
      <c r="A392" s="167"/>
      <c r="B392" s="195"/>
      <c r="C392" s="161" t="s">
        <v>181</v>
      </c>
      <c r="D392" s="160"/>
      <c r="E392" s="149"/>
      <c r="F392" s="163" t="str">
        <f t="shared" si="557"/>
        <v/>
      </c>
      <c r="G392" s="148"/>
      <c r="H392" s="148"/>
      <c r="I392" s="148"/>
      <c r="J392" s="148"/>
      <c r="K392" s="148"/>
      <c r="L392" s="165" t="str">
        <f t="shared" ref="L392" si="666">IFERROR(VLOOKUP(G392, tabla02, 2, 0), "")</f>
        <v/>
      </c>
      <c r="M392" s="165" t="str">
        <f t="shared" ref="M392" si="667">IFERROR(VLOOKUP(H392, tabla02, 2, 0), "")</f>
        <v/>
      </c>
      <c r="N392" s="165" t="str">
        <f t="shared" ref="N392" si="668">IFERROR(VLOOKUP(I392, tabla02, 2, 0), "")</f>
        <v/>
      </c>
      <c r="O392" s="165" t="str">
        <f t="shared" ref="O392" si="669">IFERROR(VLOOKUP(J392, tabla02, 2, 0), "")</f>
        <v/>
      </c>
      <c r="P392" s="165" t="str">
        <f t="shared" ref="P392" si="670">IFERROR(VLOOKUP(K392, tabla02, 2, 0), "")</f>
        <v/>
      </c>
      <c r="Q392" s="165" t="str">
        <f t="shared" ref="Q392" si="671">IF(SUM(L392:P392)=0, "", MAX(L392:P392))</f>
        <v/>
      </c>
      <c r="R392" s="159" t="str">
        <f>IFERROR(VLOOKUP(Q392, tabla04, 3, 0), "")</f>
        <v/>
      </c>
      <c r="S392" s="148"/>
      <c r="T392" s="148"/>
      <c r="U392" s="148"/>
      <c r="V392" s="148"/>
      <c r="W392" s="148"/>
      <c r="X392" s="163" t="str">
        <f>IFERROR(VLOOKUP(CONCATENATE(F392, "-", Q392), cuadrante_sev, 3, 0), "")</f>
        <v/>
      </c>
      <c r="Y392" s="163" t="str">
        <f t="shared" ref="Y392" si="672">IFERROR(IF(X392="Baja", 1, IF(X392="Moderada", 2, IF(X392="Alta", 3, IF(X392="Extrema", 4, "")))), "")</f>
        <v/>
      </c>
      <c r="Z392" s="172"/>
      <c r="AA392" s="188"/>
      <c r="AB392" s="172"/>
      <c r="AC392" s="172"/>
      <c r="AD392" s="175"/>
      <c r="AE392" s="70" t="s">
        <v>113</v>
      </c>
      <c r="AF392" s="135"/>
      <c r="AG392" s="74"/>
      <c r="AH392" s="72"/>
      <c r="AI392" s="72"/>
      <c r="AJ392" s="72"/>
      <c r="AK392" s="72"/>
      <c r="AL392" s="72"/>
      <c r="AM392" s="82" t="str">
        <f>IFERROR((Tablas!$C$1*VLOOKUP(AH392, tipo_control, 2, 0)+Tablas!$E$1*VLOOKUP(AI392, nat_control, 2, 0)+Tablas!$G$1*VLOOKUP(AJ392, ev_control, 2, 0)+Tablas!$I$1*VLOOKUP(AK392, frec_control, 2, 0)+Tablas!$K$1*VLOOKUP(AL392, doc_control, 2, 0))*0.1*peso_dis, "")</f>
        <v/>
      </c>
      <c r="AN392" s="72"/>
      <c r="AO392" s="72"/>
      <c r="AP392" s="72"/>
      <c r="AQ392" s="82" t="str">
        <f>IFERROR((Tablas!$C$9*VLOOKUP(AN392, amb_control, 2, 0)+Tablas!$E$9*VLOOKUP(AO392, ejec_control, 2, 0)+Tablas!$G$9*VLOOKUP(AP392, cub_control, 2, 0))*0.1*peso_ejec, "")</f>
        <v/>
      </c>
      <c r="AR392" s="96" t="str">
        <f t="shared" si="613"/>
        <v/>
      </c>
      <c r="AS392" s="97" t="str">
        <f t="shared" si="578"/>
        <v/>
      </c>
      <c r="AT392" s="87" t="str">
        <f t="shared" si="579"/>
        <v/>
      </c>
      <c r="AU392" s="97" t="str">
        <f>IF(AR392&lt;Tablas!$G$19, 0, IF(AND(AR392&gt;=Tablas!$G$19, AR392&lt;Tablas!$G$20), 1,  IF(AND(AR392&gt;=Tablas!$G$20, AR392&lt;Tablas!$G$21), 2,  IF(AND(AR392&gt;=Tablas!$G$21, AR392&lt;=Tablas!$G$22), 3,  ""))))</f>
        <v/>
      </c>
      <c r="AV392" s="97" t="str">
        <f t="shared" si="614"/>
        <v/>
      </c>
      <c r="AW392" s="103" t="str">
        <f t="shared" si="615"/>
        <v/>
      </c>
      <c r="AX392" s="176" t="str">
        <f t="shared" ref="AX392" si="673">IFERROR(VLOOKUP(AY392, tabla04, 2, 0), "")</f>
        <v/>
      </c>
      <c r="AY392" s="168" t="str">
        <f>IF(F392="", "", IF((F392-MAX(AV392:AV396))&lt;=0, 1, F392-MAX(AV392:AV396)))</f>
        <v/>
      </c>
      <c r="AZ392" s="178" t="str">
        <f t="shared" ref="AZ392" si="674">IFERROR(VLOOKUP(BA392, tabla04, 3, 0), "")</f>
        <v/>
      </c>
      <c r="BA392" s="168" t="str">
        <f>IF(Q392="", "", IF((Q392-MAX(AW392:AW396))&lt;=0, 1, Q392-MAX(AW392:AW396)))</f>
        <v/>
      </c>
      <c r="BB392" s="182"/>
      <c r="BC392" s="182"/>
      <c r="BD392" s="185"/>
      <c r="BE392" s="185"/>
      <c r="BF392" s="158" t="str">
        <f t="shared" ref="BF392:BF394" si="675">IFERROR(VLOOKUP(CONCATENATE(AY392, "-", BA392), cuadrante_sev, 3, 0), "")</f>
        <v/>
      </c>
      <c r="BG392" s="191"/>
    </row>
    <row r="393" spans="1:59" x14ac:dyDescent="0.25">
      <c r="A393" s="167"/>
      <c r="B393" s="195"/>
      <c r="C393" s="161"/>
      <c r="D393" s="160"/>
      <c r="E393" s="161"/>
      <c r="F393" s="164"/>
      <c r="G393" s="167"/>
      <c r="H393" s="167"/>
      <c r="I393" s="167"/>
      <c r="J393" s="167"/>
      <c r="K393" s="167"/>
      <c r="L393" s="166"/>
      <c r="M393" s="166"/>
      <c r="N393" s="166"/>
      <c r="O393" s="166"/>
      <c r="P393" s="166"/>
      <c r="Q393" s="166"/>
      <c r="R393" s="177"/>
      <c r="S393" s="167"/>
      <c r="T393" s="167"/>
      <c r="U393" s="167"/>
      <c r="V393" s="167"/>
      <c r="W393" s="167"/>
      <c r="X393" s="164"/>
      <c r="Y393" s="164"/>
      <c r="Z393" s="172"/>
      <c r="AA393" s="188"/>
      <c r="AB393" s="172"/>
      <c r="AC393" s="172"/>
      <c r="AD393" s="175"/>
      <c r="AE393" s="62" t="s">
        <v>114</v>
      </c>
      <c r="AF393" s="133"/>
      <c r="AG393" s="65"/>
      <c r="AH393" s="64"/>
      <c r="AI393" s="64"/>
      <c r="AJ393" s="64"/>
      <c r="AK393" s="64"/>
      <c r="AL393" s="64"/>
      <c r="AM393" s="80" t="str">
        <f>IFERROR((Tablas!$C$1*VLOOKUP(AH393, tipo_control, 2, 0)+Tablas!$E$1*VLOOKUP(AI393, nat_control, 2, 0)+Tablas!$G$1*VLOOKUP(AJ393, ev_control, 2, 0)+Tablas!$I$1*VLOOKUP(AK393, frec_control, 2, 0)+Tablas!$K$1*VLOOKUP(AL393, doc_control, 2, 0))*0.1*peso_dis, "")</f>
        <v/>
      </c>
      <c r="AN393" s="64"/>
      <c r="AO393" s="64"/>
      <c r="AP393" s="64"/>
      <c r="AQ393" s="80" t="str">
        <f>IFERROR((Tablas!$C$9*VLOOKUP(AN393, amb_control, 2, 0)+Tablas!$E$9*VLOOKUP(AO393, ejec_control, 2, 0)+Tablas!$G$9*VLOOKUP(AP393, cub_control, 2, 0))*0.1*peso_ejec, "")</f>
        <v/>
      </c>
      <c r="AR393" s="91" t="str">
        <f t="shared" si="613"/>
        <v/>
      </c>
      <c r="AS393" s="85" t="str">
        <f t="shared" si="578"/>
        <v/>
      </c>
      <c r="AT393" s="85" t="str">
        <f t="shared" si="579"/>
        <v/>
      </c>
      <c r="AU393" s="85" t="str">
        <f>IF(AR393&lt;Tablas!$G$19, 0, IF(AND(AR393&gt;=Tablas!$G$19, AR393&lt;Tablas!$G$20), 1,  IF(AND(AR393&gt;=Tablas!$G$20, AR393&lt;Tablas!$G$21), 2,  IF(AND(AR393&gt;=Tablas!$G$21, AR393&lt;=Tablas!$G$22), 3,  ""))))</f>
        <v/>
      </c>
      <c r="AV393" s="85" t="str">
        <f t="shared" si="614"/>
        <v/>
      </c>
      <c r="AW393" s="101" t="str">
        <f t="shared" si="615"/>
        <v/>
      </c>
      <c r="AX393" s="177"/>
      <c r="AY393" s="169"/>
      <c r="AZ393" s="158"/>
      <c r="BA393" s="169"/>
      <c r="BB393" s="182"/>
      <c r="BC393" s="182"/>
      <c r="BD393" s="185"/>
      <c r="BE393" s="185"/>
      <c r="BF393" s="158" t="str">
        <f t="shared" si="675"/>
        <v/>
      </c>
      <c r="BG393" s="191"/>
    </row>
    <row r="394" spans="1:59" x14ac:dyDescent="0.25">
      <c r="A394" s="167"/>
      <c r="B394" s="195"/>
      <c r="C394" s="161"/>
      <c r="D394" s="160"/>
      <c r="E394" s="161"/>
      <c r="F394" s="164"/>
      <c r="G394" s="167"/>
      <c r="H394" s="167"/>
      <c r="I394" s="167"/>
      <c r="J394" s="167"/>
      <c r="K394" s="167"/>
      <c r="L394" s="166"/>
      <c r="M394" s="166"/>
      <c r="N394" s="166"/>
      <c r="O394" s="166"/>
      <c r="P394" s="166"/>
      <c r="Q394" s="166"/>
      <c r="R394" s="177"/>
      <c r="S394" s="167"/>
      <c r="T394" s="167"/>
      <c r="U394" s="167"/>
      <c r="V394" s="167"/>
      <c r="W394" s="167"/>
      <c r="X394" s="164"/>
      <c r="Y394" s="164"/>
      <c r="Z394" s="172"/>
      <c r="AA394" s="188"/>
      <c r="AB394" s="172"/>
      <c r="AC394" s="172"/>
      <c r="AD394" s="175"/>
      <c r="AE394" s="62" t="s">
        <v>115</v>
      </c>
      <c r="AF394" s="133"/>
      <c r="AG394" s="65"/>
      <c r="AH394" s="64"/>
      <c r="AI394" s="64"/>
      <c r="AJ394" s="64"/>
      <c r="AK394" s="64"/>
      <c r="AL394" s="64"/>
      <c r="AM394" s="80" t="str">
        <f>IFERROR((Tablas!$C$1*VLOOKUP(AH394, tipo_control, 2, 0)+Tablas!$E$1*VLOOKUP(AI394, nat_control, 2, 0)+Tablas!$G$1*VLOOKUP(AJ394, ev_control, 2, 0)+Tablas!$I$1*VLOOKUP(AK394, frec_control, 2, 0)+Tablas!$K$1*VLOOKUP(AL394, doc_control, 2, 0))*0.1*peso_dis, "")</f>
        <v/>
      </c>
      <c r="AN394" s="64"/>
      <c r="AO394" s="64"/>
      <c r="AP394" s="64"/>
      <c r="AQ394" s="80" t="str">
        <f>IFERROR((Tablas!$C$9*VLOOKUP(AN394, amb_control, 2, 0)+Tablas!$E$9*VLOOKUP(AO394, ejec_control, 2, 0)+Tablas!$G$9*VLOOKUP(AP394, cub_control, 2, 0))*0.1*peso_ejec, "")</f>
        <v/>
      </c>
      <c r="AR394" s="91" t="str">
        <f t="shared" si="613"/>
        <v/>
      </c>
      <c r="AS394" s="85" t="str">
        <f t="shared" si="578"/>
        <v/>
      </c>
      <c r="AT394" s="85" t="str">
        <f t="shared" si="579"/>
        <v/>
      </c>
      <c r="AU394" s="85" t="str">
        <f>IF(AR394&lt;Tablas!$G$19, 0, IF(AND(AR394&gt;=Tablas!$G$19, AR394&lt;Tablas!$G$20), 1,  IF(AND(AR394&gt;=Tablas!$G$20, AR394&lt;Tablas!$G$21), 2,  IF(AND(AR394&gt;=Tablas!$G$21, AR394&lt;=Tablas!$G$22), 3,  ""))))</f>
        <v/>
      </c>
      <c r="AV394" s="85" t="str">
        <f t="shared" si="614"/>
        <v/>
      </c>
      <c r="AW394" s="101" t="str">
        <f t="shared" si="615"/>
        <v/>
      </c>
      <c r="AX394" s="177"/>
      <c r="AY394" s="169"/>
      <c r="AZ394" s="158"/>
      <c r="BA394" s="169"/>
      <c r="BB394" s="182"/>
      <c r="BC394" s="182"/>
      <c r="BD394" s="185"/>
      <c r="BE394" s="185"/>
      <c r="BF394" s="158" t="str">
        <f t="shared" si="675"/>
        <v/>
      </c>
      <c r="BG394" s="191"/>
    </row>
    <row r="395" spans="1:59" x14ac:dyDescent="0.25">
      <c r="A395" s="167"/>
      <c r="B395" s="195"/>
      <c r="C395" s="161"/>
      <c r="D395" s="160"/>
      <c r="E395" s="161"/>
      <c r="F395" s="164"/>
      <c r="G395" s="167"/>
      <c r="H395" s="167"/>
      <c r="I395" s="167"/>
      <c r="J395" s="167"/>
      <c r="K395" s="167"/>
      <c r="L395" s="166"/>
      <c r="M395" s="166"/>
      <c r="N395" s="166"/>
      <c r="O395" s="166"/>
      <c r="P395" s="166"/>
      <c r="Q395" s="166"/>
      <c r="R395" s="177"/>
      <c r="S395" s="167"/>
      <c r="T395" s="167"/>
      <c r="U395" s="167"/>
      <c r="V395" s="167"/>
      <c r="W395" s="167"/>
      <c r="X395" s="164"/>
      <c r="Y395" s="164"/>
      <c r="Z395" s="172"/>
      <c r="AA395" s="188"/>
      <c r="AB395" s="172"/>
      <c r="AC395" s="172"/>
      <c r="AD395" s="175"/>
      <c r="AE395" s="62" t="s">
        <v>153</v>
      </c>
      <c r="AF395" s="133"/>
      <c r="AG395" s="65"/>
      <c r="AH395" s="64"/>
      <c r="AI395" s="64"/>
      <c r="AJ395" s="64"/>
      <c r="AK395" s="64"/>
      <c r="AL395" s="64"/>
      <c r="AM395" s="80" t="str">
        <f>IFERROR((Tablas!$C$1*VLOOKUP(AH395, tipo_control, 2, 0)+Tablas!$E$1*VLOOKUP(AI395, nat_control, 2, 0)+Tablas!$G$1*VLOOKUP(AJ395, ev_control, 2, 0)+Tablas!$I$1*VLOOKUP(AK395, frec_control, 2, 0)+Tablas!$K$1*VLOOKUP(AL395, doc_control, 2, 0))*0.1*peso_dis, "")</f>
        <v/>
      </c>
      <c r="AN395" s="64"/>
      <c r="AO395" s="64"/>
      <c r="AP395" s="64"/>
      <c r="AQ395" s="80" t="str">
        <f>IFERROR((Tablas!$C$9*VLOOKUP(AN395, amb_control, 2, 0)+Tablas!$E$9*VLOOKUP(AO395, ejec_control, 2, 0)+Tablas!$G$9*VLOOKUP(AP395, cub_control, 2, 0))*0.1*peso_ejec, "")</f>
        <v/>
      </c>
      <c r="AR395" s="91" t="str">
        <f t="shared" si="613"/>
        <v/>
      </c>
      <c r="AS395" s="85" t="str">
        <f t="shared" si="578"/>
        <v/>
      </c>
      <c r="AT395" s="85" t="str">
        <f t="shared" si="579"/>
        <v/>
      </c>
      <c r="AU395" s="85" t="str">
        <f>IF(AR395&lt;Tablas!$G$19, 0, IF(AND(AR395&gt;=Tablas!$G$19, AR395&lt;Tablas!$G$20), 1,  IF(AND(AR395&gt;=Tablas!$G$20, AR395&lt;Tablas!$G$21), 2,  IF(AND(AR395&gt;=Tablas!$G$21, AR395&lt;=Tablas!$G$22), 3,  ""))))</f>
        <v/>
      </c>
      <c r="AV395" s="85" t="str">
        <f t="shared" si="614"/>
        <v/>
      </c>
      <c r="AW395" s="101" t="str">
        <f t="shared" si="615"/>
        <v/>
      </c>
      <c r="AX395" s="177"/>
      <c r="AY395" s="169"/>
      <c r="AZ395" s="158"/>
      <c r="BA395" s="169"/>
      <c r="BB395" s="182"/>
      <c r="BC395" s="182"/>
      <c r="BD395" s="185"/>
      <c r="BE395" s="185"/>
      <c r="BF395" s="158"/>
      <c r="BG395" s="191"/>
    </row>
    <row r="396" spans="1:59" ht="15.75" thickBot="1" x14ac:dyDescent="0.3">
      <c r="A396" s="167"/>
      <c r="B396" s="195"/>
      <c r="C396" s="161"/>
      <c r="D396" s="160"/>
      <c r="E396" s="161"/>
      <c r="F396" s="165"/>
      <c r="G396" s="149"/>
      <c r="H396" s="149"/>
      <c r="I396" s="149"/>
      <c r="J396" s="149"/>
      <c r="K396" s="149"/>
      <c r="L396" s="166"/>
      <c r="M396" s="166"/>
      <c r="N396" s="166"/>
      <c r="O396" s="166"/>
      <c r="P396" s="166"/>
      <c r="Q396" s="166"/>
      <c r="R396" s="177"/>
      <c r="S396" s="149"/>
      <c r="T396" s="149"/>
      <c r="U396" s="149"/>
      <c r="V396" s="149"/>
      <c r="W396" s="149"/>
      <c r="X396" s="165"/>
      <c r="Y396" s="165"/>
      <c r="Z396" s="172"/>
      <c r="AA396" s="188"/>
      <c r="AB396" s="172"/>
      <c r="AC396" s="172"/>
      <c r="AD396" s="175"/>
      <c r="AE396" s="66" t="s">
        <v>154</v>
      </c>
      <c r="AF396" s="134"/>
      <c r="AG396" s="67"/>
      <c r="AH396" s="69"/>
      <c r="AI396" s="69"/>
      <c r="AJ396" s="69"/>
      <c r="AK396" s="69"/>
      <c r="AL396" s="69"/>
      <c r="AM396" s="81" t="str">
        <f>IFERROR((Tablas!$C$1*VLOOKUP(AH396, tipo_control, 2, 0)+Tablas!$E$1*VLOOKUP(AI396, nat_control, 2, 0)+Tablas!$G$1*VLOOKUP(AJ396, ev_control, 2, 0)+Tablas!$I$1*VLOOKUP(AK396, frec_control, 2, 0)+Tablas!$K$1*VLOOKUP(AL396, doc_control, 2, 0))*0.1*peso_dis, "")</f>
        <v/>
      </c>
      <c r="AN396" s="69"/>
      <c r="AO396" s="69"/>
      <c r="AP396" s="69"/>
      <c r="AQ396" s="81" t="str">
        <f>IFERROR((Tablas!$C$9*VLOOKUP(AN396, amb_control, 2, 0)+Tablas!$E$9*VLOOKUP(AO396, ejec_control, 2, 0)+Tablas!$G$9*VLOOKUP(AP396, cub_control, 2, 0))*0.1*peso_ejec, "")</f>
        <v/>
      </c>
      <c r="AR396" s="93" t="str">
        <f t="shared" si="613"/>
        <v/>
      </c>
      <c r="AS396" s="94" t="str">
        <f t="shared" si="578"/>
        <v/>
      </c>
      <c r="AT396" s="94" t="str">
        <f t="shared" si="579"/>
        <v/>
      </c>
      <c r="AU396" s="94" t="str">
        <f>IF(AR396&lt;Tablas!$G$19, 0, IF(AND(AR396&gt;=Tablas!$G$19, AR396&lt;Tablas!$G$20), 1,  IF(AND(AR396&gt;=Tablas!$G$20, AR396&lt;Tablas!$G$21), 2,  IF(AND(AR396&gt;=Tablas!$G$21, AR396&lt;=Tablas!$G$22), 3,  ""))))</f>
        <v/>
      </c>
      <c r="AV396" s="94" t="str">
        <f t="shared" si="614"/>
        <v/>
      </c>
      <c r="AW396" s="102" t="str">
        <f t="shared" si="615"/>
        <v/>
      </c>
      <c r="AX396" s="157"/>
      <c r="AY396" s="170"/>
      <c r="AZ396" s="179"/>
      <c r="BA396" s="170"/>
      <c r="BB396" s="182"/>
      <c r="BC396" s="182"/>
      <c r="BD396" s="185"/>
      <c r="BE396" s="185"/>
      <c r="BF396" s="159"/>
      <c r="BG396" s="191"/>
    </row>
    <row r="397" spans="1:59" x14ac:dyDescent="0.25">
      <c r="A397" s="167"/>
      <c r="B397" s="195"/>
      <c r="C397" s="161" t="s">
        <v>182</v>
      </c>
      <c r="D397" s="160"/>
      <c r="E397" s="149"/>
      <c r="F397" s="163" t="str">
        <f t="shared" ref="F397:F457" si="676">IFERROR(VLOOKUP(E397, tabla01, 3, 0), "")</f>
        <v/>
      </c>
      <c r="G397" s="148"/>
      <c r="H397" s="148"/>
      <c r="I397" s="148"/>
      <c r="J397" s="148"/>
      <c r="K397" s="148"/>
      <c r="L397" s="165" t="str">
        <f t="shared" ref="L397" si="677">IFERROR(VLOOKUP(G397, tabla02, 2, 0), "")</f>
        <v/>
      </c>
      <c r="M397" s="165" t="str">
        <f t="shared" ref="M397" si="678">IFERROR(VLOOKUP(H397, tabla02, 2, 0), "")</f>
        <v/>
      </c>
      <c r="N397" s="165" t="str">
        <f t="shared" ref="N397" si="679">IFERROR(VLOOKUP(I397, tabla02, 2, 0), "")</f>
        <v/>
      </c>
      <c r="O397" s="165" t="str">
        <f t="shared" ref="O397" si="680">IFERROR(VLOOKUP(J397, tabla02, 2, 0), "")</f>
        <v/>
      </c>
      <c r="P397" s="165" t="str">
        <f t="shared" ref="P397" si="681">IFERROR(VLOOKUP(K397, tabla02, 2, 0), "")</f>
        <v/>
      </c>
      <c r="Q397" s="165" t="str">
        <f t="shared" ref="Q397" si="682">IF(SUM(L397:P397)=0, "", MAX(L397:P397))</f>
        <v/>
      </c>
      <c r="R397" s="159" t="str">
        <f>IFERROR(VLOOKUP(Q397, tabla04, 3, 0), "")</f>
        <v/>
      </c>
      <c r="S397" s="148"/>
      <c r="T397" s="148"/>
      <c r="U397" s="148"/>
      <c r="V397" s="148"/>
      <c r="W397" s="148"/>
      <c r="X397" s="163" t="str">
        <f>IFERROR(VLOOKUP(CONCATENATE(F397, "-", Q397), cuadrante_sev, 3, 0), "")</f>
        <v/>
      </c>
      <c r="Y397" s="163" t="str">
        <f t="shared" ref="Y397" si="683">IFERROR(IF(X397="Baja", 1, IF(X397="Moderada", 2, IF(X397="Alta", 3, IF(X397="Extrema", 4, "")))), "")</f>
        <v/>
      </c>
      <c r="Z397" s="172"/>
      <c r="AA397" s="188"/>
      <c r="AB397" s="172"/>
      <c r="AC397" s="172"/>
      <c r="AD397" s="175"/>
      <c r="AE397" s="70" t="s">
        <v>113</v>
      </c>
      <c r="AF397" s="135"/>
      <c r="AG397" s="74"/>
      <c r="AH397" s="72"/>
      <c r="AI397" s="72"/>
      <c r="AJ397" s="72"/>
      <c r="AK397" s="72"/>
      <c r="AL397" s="72"/>
      <c r="AM397" s="82" t="str">
        <f>IFERROR((Tablas!$C$1*VLOOKUP(AH397, tipo_control, 2, 0)+Tablas!$E$1*VLOOKUP(AI397, nat_control, 2, 0)+Tablas!$G$1*VLOOKUP(AJ397, ev_control, 2, 0)+Tablas!$I$1*VLOOKUP(AK397, frec_control, 2, 0)+Tablas!$K$1*VLOOKUP(AL397, doc_control, 2, 0))*0.1*peso_dis, "")</f>
        <v/>
      </c>
      <c r="AN397" s="72"/>
      <c r="AO397" s="72"/>
      <c r="AP397" s="72"/>
      <c r="AQ397" s="82" t="str">
        <f>IFERROR((Tablas!$C$9*VLOOKUP(AN397, amb_control, 2, 0)+Tablas!$E$9*VLOOKUP(AO397, ejec_control, 2, 0)+Tablas!$G$9*VLOOKUP(AP397, cub_control, 2, 0))*0.1*peso_ejec, "")</f>
        <v/>
      </c>
      <c r="AR397" s="96" t="str">
        <f t="shared" si="613"/>
        <v/>
      </c>
      <c r="AS397" s="97" t="str">
        <f t="shared" si="578"/>
        <v/>
      </c>
      <c r="AT397" s="87" t="str">
        <f t="shared" si="579"/>
        <v/>
      </c>
      <c r="AU397" s="97" t="str">
        <f>IF(AR397&lt;Tablas!$G$19, 0, IF(AND(AR397&gt;=Tablas!$G$19, AR397&lt;Tablas!$G$20), 1,  IF(AND(AR397&gt;=Tablas!$G$20, AR397&lt;Tablas!$G$21), 2,  IF(AND(AR397&gt;=Tablas!$G$21, AR397&lt;=Tablas!$G$22), 3,  ""))))</f>
        <v/>
      </c>
      <c r="AV397" s="97" t="str">
        <f t="shared" si="614"/>
        <v/>
      </c>
      <c r="AW397" s="103" t="str">
        <f t="shared" si="615"/>
        <v/>
      </c>
      <c r="AX397" s="176" t="str">
        <f t="shared" ref="AX397" si="684">IFERROR(VLOOKUP(AY397, tabla04, 2, 0), "")</f>
        <v/>
      </c>
      <c r="AY397" s="168" t="str">
        <f>IF(F397="", "", IF((F397-MAX(AV397:AV401))&lt;=0, 1, F397-MAX(AV397:AV401)))</f>
        <v/>
      </c>
      <c r="AZ397" s="178" t="str">
        <f t="shared" ref="AZ397" si="685">IFERROR(VLOOKUP(BA397, tabla04, 3, 0), "")</f>
        <v/>
      </c>
      <c r="BA397" s="168" t="str">
        <f>IF(Q397="", "", IF((Q397-MAX(AW397:AW401))&lt;=0, 1, Q397-MAX(AW397:AW401)))</f>
        <v/>
      </c>
      <c r="BB397" s="182"/>
      <c r="BC397" s="182"/>
      <c r="BD397" s="185"/>
      <c r="BE397" s="185"/>
      <c r="BF397" s="158" t="str">
        <f t="shared" ref="BF397:BF399" si="686">IFERROR(VLOOKUP(CONCATENATE(AY397, "-", BA397), cuadrante_sev, 3, 0), "")</f>
        <v/>
      </c>
      <c r="BG397" s="191"/>
    </row>
    <row r="398" spans="1:59" x14ac:dyDescent="0.25">
      <c r="A398" s="167"/>
      <c r="B398" s="195"/>
      <c r="C398" s="161"/>
      <c r="D398" s="160"/>
      <c r="E398" s="161"/>
      <c r="F398" s="164"/>
      <c r="G398" s="167"/>
      <c r="H398" s="167"/>
      <c r="I398" s="167"/>
      <c r="J398" s="167"/>
      <c r="K398" s="167"/>
      <c r="L398" s="166"/>
      <c r="M398" s="166"/>
      <c r="N398" s="166"/>
      <c r="O398" s="166"/>
      <c r="P398" s="166"/>
      <c r="Q398" s="166"/>
      <c r="R398" s="177"/>
      <c r="S398" s="167"/>
      <c r="T398" s="167"/>
      <c r="U398" s="167"/>
      <c r="V398" s="167"/>
      <c r="W398" s="167"/>
      <c r="X398" s="164"/>
      <c r="Y398" s="164"/>
      <c r="Z398" s="172"/>
      <c r="AA398" s="188"/>
      <c r="AB398" s="172"/>
      <c r="AC398" s="172"/>
      <c r="AD398" s="175"/>
      <c r="AE398" s="62" t="s">
        <v>114</v>
      </c>
      <c r="AF398" s="133"/>
      <c r="AG398" s="65"/>
      <c r="AH398" s="64"/>
      <c r="AI398" s="64"/>
      <c r="AJ398" s="64"/>
      <c r="AK398" s="64"/>
      <c r="AL398" s="64"/>
      <c r="AM398" s="80" t="str">
        <f>IFERROR((Tablas!$C$1*VLOOKUP(AH398, tipo_control, 2, 0)+Tablas!$E$1*VLOOKUP(AI398, nat_control, 2, 0)+Tablas!$G$1*VLOOKUP(AJ398, ev_control, 2, 0)+Tablas!$I$1*VLOOKUP(AK398, frec_control, 2, 0)+Tablas!$K$1*VLOOKUP(AL398, doc_control, 2, 0))*0.1*peso_dis, "")</f>
        <v/>
      </c>
      <c r="AN398" s="64"/>
      <c r="AO398" s="64"/>
      <c r="AP398" s="64"/>
      <c r="AQ398" s="80" t="str">
        <f>IFERROR((Tablas!$C$9*VLOOKUP(AN398, amb_control, 2, 0)+Tablas!$E$9*VLOOKUP(AO398, ejec_control, 2, 0)+Tablas!$G$9*VLOOKUP(AP398, cub_control, 2, 0))*0.1*peso_ejec, "")</f>
        <v/>
      </c>
      <c r="AR398" s="91" t="str">
        <f t="shared" si="613"/>
        <v/>
      </c>
      <c r="AS398" s="85" t="str">
        <f t="shared" si="578"/>
        <v/>
      </c>
      <c r="AT398" s="85" t="str">
        <f t="shared" si="579"/>
        <v/>
      </c>
      <c r="AU398" s="85" t="str">
        <f>IF(AR398&lt;Tablas!$G$19, 0, IF(AND(AR398&gt;=Tablas!$G$19, AR398&lt;Tablas!$G$20), 1,  IF(AND(AR398&gt;=Tablas!$G$20, AR398&lt;Tablas!$G$21), 2,  IF(AND(AR398&gt;=Tablas!$G$21, AR398&lt;=Tablas!$G$22), 3,  ""))))</f>
        <v/>
      </c>
      <c r="AV398" s="85" t="str">
        <f t="shared" si="614"/>
        <v/>
      </c>
      <c r="AW398" s="101" t="str">
        <f t="shared" si="615"/>
        <v/>
      </c>
      <c r="AX398" s="177"/>
      <c r="AY398" s="169"/>
      <c r="AZ398" s="158"/>
      <c r="BA398" s="169"/>
      <c r="BB398" s="182"/>
      <c r="BC398" s="182"/>
      <c r="BD398" s="185"/>
      <c r="BE398" s="185"/>
      <c r="BF398" s="158" t="str">
        <f t="shared" si="686"/>
        <v/>
      </c>
      <c r="BG398" s="191"/>
    </row>
    <row r="399" spans="1:59" x14ac:dyDescent="0.25">
      <c r="A399" s="167"/>
      <c r="B399" s="195"/>
      <c r="C399" s="161"/>
      <c r="D399" s="160"/>
      <c r="E399" s="161"/>
      <c r="F399" s="164"/>
      <c r="G399" s="167"/>
      <c r="H399" s="167"/>
      <c r="I399" s="167"/>
      <c r="J399" s="167"/>
      <c r="K399" s="167"/>
      <c r="L399" s="166"/>
      <c r="M399" s="166"/>
      <c r="N399" s="166"/>
      <c r="O399" s="166"/>
      <c r="P399" s="166"/>
      <c r="Q399" s="166"/>
      <c r="R399" s="177"/>
      <c r="S399" s="167"/>
      <c r="T399" s="167"/>
      <c r="U399" s="167"/>
      <c r="V399" s="167"/>
      <c r="W399" s="167"/>
      <c r="X399" s="164"/>
      <c r="Y399" s="164"/>
      <c r="Z399" s="172"/>
      <c r="AA399" s="188"/>
      <c r="AB399" s="172"/>
      <c r="AC399" s="172"/>
      <c r="AD399" s="175"/>
      <c r="AE399" s="62" t="s">
        <v>115</v>
      </c>
      <c r="AF399" s="133"/>
      <c r="AG399" s="65"/>
      <c r="AH399" s="64"/>
      <c r="AI399" s="64"/>
      <c r="AJ399" s="64"/>
      <c r="AK399" s="64"/>
      <c r="AL399" s="64"/>
      <c r="AM399" s="80" t="str">
        <f>IFERROR((Tablas!$C$1*VLOOKUP(AH399, tipo_control, 2, 0)+Tablas!$E$1*VLOOKUP(AI399, nat_control, 2, 0)+Tablas!$G$1*VLOOKUP(AJ399, ev_control, 2, 0)+Tablas!$I$1*VLOOKUP(AK399, frec_control, 2, 0)+Tablas!$K$1*VLOOKUP(AL399, doc_control, 2, 0))*0.1*peso_dis, "")</f>
        <v/>
      </c>
      <c r="AN399" s="64"/>
      <c r="AO399" s="64"/>
      <c r="AP399" s="64"/>
      <c r="AQ399" s="80" t="str">
        <f>IFERROR((Tablas!$C$9*VLOOKUP(AN399, amb_control, 2, 0)+Tablas!$E$9*VLOOKUP(AO399, ejec_control, 2, 0)+Tablas!$G$9*VLOOKUP(AP399, cub_control, 2, 0))*0.1*peso_ejec, "")</f>
        <v/>
      </c>
      <c r="AR399" s="91" t="str">
        <f t="shared" si="613"/>
        <v/>
      </c>
      <c r="AS399" s="85" t="str">
        <f t="shared" si="578"/>
        <v/>
      </c>
      <c r="AT399" s="85" t="str">
        <f t="shared" si="579"/>
        <v/>
      </c>
      <c r="AU399" s="85" t="str">
        <f>IF(AR399&lt;Tablas!$G$19, 0, IF(AND(AR399&gt;=Tablas!$G$19, AR399&lt;Tablas!$G$20), 1,  IF(AND(AR399&gt;=Tablas!$G$20, AR399&lt;Tablas!$G$21), 2,  IF(AND(AR399&gt;=Tablas!$G$21, AR399&lt;=Tablas!$G$22), 3,  ""))))</f>
        <v/>
      </c>
      <c r="AV399" s="85" t="str">
        <f t="shared" si="614"/>
        <v/>
      </c>
      <c r="AW399" s="101" t="str">
        <f t="shared" si="615"/>
        <v/>
      </c>
      <c r="AX399" s="177"/>
      <c r="AY399" s="169"/>
      <c r="AZ399" s="158"/>
      <c r="BA399" s="169"/>
      <c r="BB399" s="182"/>
      <c r="BC399" s="182"/>
      <c r="BD399" s="185"/>
      <c r="BE399" s="185"/>
      <c r="BF399" s="158" t="str">
        <f t="shared" si="686"/>
        <v/>
      </c>
      <c r="BG399" s="191"/>
    </row>
    <row r="400" spans="1:59" x14ac:dyDescent="0.25">
      <c r="A400" s="167"/>
      <c r="B400" s="195"/>
      <c r="C400" s="161"/>
      <c r="D400" s="160"/>
      <c r="E400" s="161"/>
      <c r="F400" s="164"/>
      <c r="G400" s="167"/>
      <c r="H400" s="167"/>
      <c r="I400" s="167"/>
      <c r="J400" s="167"/>
      <c r="K400" s="167"/>
      <c r="L400" s="166"/>
      <c r="M400" s="166"/>
      <c r="N400" s="166"/>
      <c r="O400" s="166"/>
      <c r="P400" s="166"/>
      <c r="Q400" s="166"/>
      <c r="R400" s="177"/>
      <c r="S400" s="167"/>
      <c r="T400" s="167"/>
      <c r="U400" s="167"/>
      <c r="V400" s="167"/>
      <c r="W400" s="167"/>
      <c r="X400" s="164"/>
      <c r="Y400" s="164"/>
      <c r="Z400" s="172"/>
      <c r="AA400" s="188"/>
      <c r="AB400" s="172"/>
      <c r="AC400" s="172"/>
      <c r="AD400" s="175"/>
      <c r="AE400" s="62" t="s">
        <v>153</v>
      </c>
      <c r="AF400" s="133"/>
      <c r="AG400" s="65"/>
      <c r="AH400" s="64"/>
      <c r="AI400" s="64"/>
      <c r="AJ400" s="64"/>
      <c r="AK400" s="64"/>
      <c r="AL400" s="64"/>
      <c r="AM400" s="80" t="str">
        <f>IFERROR((Tablas!$C$1*VLOOKUP(AH400, tipo_control, 2, 0)+Tablas!$E$1*VLOOKUP(AI400, nat_control, 2, 0)+Tablas!$G$1*VLOOKUP(AJ400, ev_control, 2, 0)+Tablas!$I$1*VLOOKUP(AK400, frec_control, 2, 0)+Tablas!$K$1*VLOOKUP(AL400, doc_control, 2, 0))*0.1*peso_dis, "")</f>
        <v/>
      </c>
      <c r="AN400" s="64"/>
      <c r="AO400" s="64"/>
      <c r="AP400" s="64"/>
      <c r="AQ400" s="80" t="str">
        <f>IFERROR((Tablas!$C$9*VLOOKUP(AN400, amb_control, 2, 0)+Tablas!$E$9*VLOOKUP(AO400, ejec_control, 2, 0)+Tablas!$G$9*VLOOKUP(AP400, cub_control, 2, 0))*0.1*peso_ejec, "")</f>
        <v/>
      </c>
      <c r="AR400" s="91" t="str">
        <f t="shared" si="613"/>
        <v/>
      </c>
      <c r="AS400" s="85" t="str">
        <f t="shared" si="578"/>
        <v/>
      </c>
      <c r="AT400" s="85" t="str">
        <f t="shared" si="579"/>
        <v/>
      </c>
      <c r="AU400" s="85" t="str">
        <f>IF(AR400&lt;Tablas!$G$19, 0, IF(AND(AR400&gt;=Tablas!$G$19, AR400&lt;Tablas!$G$20), 1,  IF(AND(AR400&gt;=Tablas!$G$20, AR400&lt;Tablas!$G$21), 2,  IF(AND(AR400&gt;=Tablas!$G$21, AR400&lt;=Tablas!$G$22), 3,  ""))))</f>
        <v/>
      </c>
      <c r="AV400" s="85" t="str">
        <f t="shared" si="614"/>
        <v/>
      </c>
      <c r="AW400" s="101" t="str">
        <f t="shared" si="615"/>
        <v/>
      </c>
      <c r="AX400" s="177"/>
      <c r="AY400" s="169"/>
      <c r="AZ400" s="158"/>
      <c r="BA400" s="169"/>
      <c r="BB400" s="182"/>
      <c r="BC400" s="182"/>
      <c r="BD400" s="185"/>
      <c r="BE400" s="185"/>
      <c r="BF400" s="158"/>
      <c r="BG400" s="191"/>
    </row>
    <row r="401" spans="1:59" ht="15.75" thickBot="1" x14ac:dyDescent="0.3">
      <c r="A401" s="167"/>
      <c r="B401" s="195"/>
      <c r="C401" s="161"/>
      <c r="D401" s="160"/>
      <c r="E401" s="161"/>
      <c r="F401" s="165"/>
      <c r="G401" s="149"/>
      <c r="H401" s="149"/>
      <c r="I401" s="149"/>
      <c r="J401" s="149"/>
      <c r="K401" s="149"/>
      <c r="L401" s="166"/>
      <c r="M401" s="166"/>
      <c r="N401" s="166"/>
      <c r="O401" s="166"/>
      <c r="P401" s="166"/>
      <c r="Q401" s="166"/>
      <c r="R401" s="177"/>
      <c r="S401" s="149"/>
      <c r="T401" s="149"/>
      <c r="U401" s="149"/>
      <c r="V401" s="149"/>
      <c r="W401" s="149"/>
      <c r="X401" s="165"/>
      <c r="Y401" s="165"/>
      <c r="Z401" s="172"/>
      <c r="AA401" s="188"/>
      <c r="AB401" s="172"/>
      <c r="AC401" s="172"/>
      <c r="AD401" s="175"/>
      <c r="AE401" s="66" t="s">
        <v>154</v>
      </c>
      <c r="AF401" s="134"/>
      <c r="AG401" s="67"/>
      <c r="AH401" s="69"/>
      <c r="AI401" s="69"/>
      <c r="AJ401" s="69"/>
      <c r="AK401" s="69"/>
      <c r="AL401" s="69"/>
      <c r="AM401" s="81" t="str">
        <f>IFERROR((Tablas!$C$1*VLOOKUP(AH401, tipo_control, 2, 0)+Tablas!$E$1*VLOOKUP(AI401, nat_control, 2, 0)+Tablas!$G$1*VLOOKUP(AJ401, ev_control, 2, 0)+Tablas!$I$1*VLOOKUP(AK401, frec_control, 2, 0)+Tablas!$K$1*VLOOKUP(AL401, doc_control, 2, 0))*0.1*peso_dis, "")</f>
        <v/>
      </c>
      <c r="AN401" s="69"/>
      <c r="AO401" s="69"/>
      <c r="AP401" s="69"/>
      <c r="AQ401" s="81" t="str">
        <f>IFERROR((Tablas!$C$9*VLOOKUP(AN401, amb_control, 2, 0)+Tablas!$E$9*VLOOKUP(AO401, ejec_control, 2, 0)+Tablas!$G$9*VLOOKUP(AP401, cub_control, 2, 0))*0.1*peso_ejec, "")</f>
        <v/>
      </c>
      <c r="AR401" s="93" t="str">
        <f t="shared" si="613"/>
        <v/>
      </c>
      <c r="AS401" s="94" t="str">
        <f t="shared" si="578"/>
        <v/>
      </c>
      <c r="AT401" s="94" t="str">
        <f t="shared" si="579"/>
        <v/>
      </c>
      <c r="AU401" s="94" t="str">
        <f>IF(AR401&lt;Tablas!$G$19, 0, IF(AND(AR401&gt;=Tablas!$G$19, AR401&lt;Tablas!$G$20), 1,  IF(AND(AR401&gt;=Tablas!$G$20, AR401&lt;Tablas!$G$21), 2,  IF(AND(AR401&gt;=Tablas!$G$21, AR401&lt;=Tablas!$G$22), 3,  ""))))</f>
        <v/>
      </c>
      <c r="AV401" s="94" t="str">
        <f t="shared" si="614"/>
        <v/>
      </c>
      <c r="AW401" s="102" t="str">
        <f t="shared" si="615"/>
        <v/>
      </c>
      <c r="AX401" s="157"/>
      <c r="AY401" s="170"/>
      <c r="AZ401" s="179"/>
      <c r="BA401" s="170"/>
      <c r="BB401" s="182"/>
      <c r="BC401" s="182"/>
      <c r="BD401" s="185"/>
      <c r="BE401" s="185"/>
      <c r="BF401" s="159"/>
      <c r="BG401" s="191"/>
    </row>
    <row r="402" spans="1:59" ht="15" customHeight="1" x14ac:dyDescent="0.25">
      <c r="A402" s="167"/>
      <c r="B402" s="195"/>
      <c r="C402" s="161" t="s">
        <v>183</v>
      </c>
      <c r="D402" s="160" t="s">
        <v>158</v>
      </c>
      <c r="E402" s="162"/>
      <c r="F402" s="163" t="str">
        <f t="shared" si="676"/>
        <v/>
      </c>
      <c r="G402" s="149"/>
      <c r="H402" s="149"/>
      <c r="I402" s="149"/>
      <c r="J402" s="149"/>
      <c r="K402" s="149"/>
      <c r="L402" s="165" t="str">
        <f t="shared" ref="L402" si="687">IFERROR(VLOOKUP(G402, tabla02, 2, 0), "")</f>
        <v/>
      </c>
      <c r="M402" s="165" t="str">
        <f t="shared" ref="M402" si="688">IFERROR(VLOOKUP(H402, tabla02, 2, 0), "")</f>
        <v/>
      </c>
      <c r="N402" s="165" t="str">
        <f t="shared" ref="N402" si="689">IFERROR(VLOOKUP(I402, tabla02, 2, 0), "")</f>
        <v/>
      </c>
      <c r="O402" s="165" t="str">
        <f t="shared" ref="O402" si="690">IFERROR(VLOOKUP(J402, tabla02, 2, 0), "")</f>
        <v/>
      </c>
      <c r="P402" s="165" t="str">
        <f t="shared" ref="P402" si="691">IFERROR(VLOOKUP(K402, tabla02, 2, 0), "")</f>
        <v/>
      </c>
      <c r="Q402" s="165" t="str">
        <f t="shared" ref="Q402" si="692">IF(SUM(L402:O406)=0, "", MAX(L402:P402))</f>
        <v/>
      </c>
      <c r="R402" s="165" t="str">
        <f>IFERROR(VLOOKUP(Q402, tabla04, 3, 0), "")</f>
        <v/>
      </c>
      <c r="S402" s="148"/>
      <c r="T402" s="148"/>
      <c r="U402" s="148"/>
      <c r="V402" s="148"/>
      <c r="W402" s="148"/>
      <c r="X402" s="163" t="str">
        <f>IFERROR(VLOOKUP(CONCATENATE(F402, "-", Q402), cuadrante_sev, 3, 0), "")</f>
        <v/>
      </c>
      <c r="Y402" s="163" t="str">
        <f t="shared" ref="Y402" si="693">IFERROR(IF(X402="Baja", 1, IF(X402="Moderada", 2, IF(X402="Alta", 3, IF(X402="Extrema", 4, "")))), "")</f>
        <v/>
      </c>
      <c r="Z402" s="172"/>
      <c r="AA402" s="188"/>
      <c r="AB402" s="172"/>
      <c r="AC402" s="172"/>
      <c r="AD402" s="175"/>
      <c r="AE402" s="70" t="s">
        <v>113</v>
      </c>
      <c r="AF402" s="135"/>
      <c r="AG402" s="74"/>
      <c r="AH402" s="72"/>
      <c r="AI402" s="72"/>
      <c r="AJ402" s="72"/>
      <c r="AK402" s="72"/>
      <c r="AL402" s="72"/>
      <c r="AM402" s="82" t="str">
        <f>IFERROR((Tablas!$C$1*VLOOKUP(AH402, tipo_control, 2, 0)+Tablas!$E$1*VLOOKUP(AI402, nat_control, 2, 0)+Tablas!$G$1*VLOOKUP(AJ402, ev_control, 2, 0)+Tablas!$I$1*VLOOKUP(AK402, frec_control, 2, 0)+Tablas!$K$1*VLOOKUP(AL402, doc_control, 2, 0))*0.1*peso_dis, "")</f>
        <v/>
      </c>
      <c r="AN402" s="72"/>
      <c r="AO402" s="72"/>
      <c r="AP402" s="72"/>
      <c r="AQ402" s="82" t="str">
        <f>IFERROR((Tablas!$C$9*VLOOKUP(AN402, amb_control, 2, 0)+Tablas!$E$9*VLOOKUP(AO402, ejec_control, 2, 0)+Tablas!$G$9*VLOOKUP(AP402, cub_control, 2, 0))*0.1*peso_ejec, "")</f>
        <v/>
      </c>
      <c r="AR402" s="96" t="str">
        <f t="shared" si="613"/>
        <v/>
      </c>
      <c r="AS402" s="97" t="str">
        <f t="shared" ref="AS402:AS465" si="694">IFERROR(VLOOKUP(AH402, tabla03, 12, 0), "")</f>
        <v/>
      </c>
      <c r="AT402" s="87" t="str">
        <f t="shared" ref="AT402:AT465" si="695">IFERROR(VLOOKUP(AH402, tabla03, 13, 0), "")</f>
        <v/>
      </c>
      <c r="AU402" s="97" t="str">
        <f>IF(AR402&lt;Tablas!$G$19, 0, IF(AND(AR402&gt;=Tablas!$G$19, AR402&lt;Tablas!$G$20), 1,  IF(AND(AR402&gt;=Tablas!$G$20, AR402&lt;Tablas!$G$21), 2,  IF(AND(AR402&gt;=Tablas!$G$21, AR402&lt;=Tablas!$G$22), 3,  ""))))</f>
        <v/>
      </c>
      <c r="AV402" s="97" t="str">
        <f t="shared" si="614"/>
        <v/>
      </c>
      <c r="AW402" s="103" t="str">
        <f t="shared" si="615"/>
        <v/>
      </c>
      <c r="AX402" s="176" t="str">
        <f t="shared" ref="AX402" si="696">IFERROR(VLOOKUP(AY402, tabla04, 2, 0), "")</f>
        <v/>
      </c>
      <c r="AY402" s="168" t="str">
        <f>IF(F402="", "", IF((F402-MAX(AV402:AV406))&lt;=0, 1, F402-MAX(AV402:AV406)))</f>
        <v/>
      </c>
      <c r="AZ402" s="178" t="str">
        <f t="shared" ref="AZ402" si="697">IFERROR(VLOOKUP(BA402, tabla04, 3, 0), "")</f>
        <v/>
      </c>
      <c r="BA402" s="168" t="str">
        <f>IF(Q402="", "", IF((Q402-MAX(AW402:AW406))&lt;=0, 1, Q402-MAX(AW402:AW406)))</f>
        <v/>
      </c>
      <c r="BB402" s="182"/>
      <c r="BC402" s="182"/>
      <c r="BD402" s="185"/>
      <c r="BE402" s="185"/>
      <c r="BF402" s="158" t="str">
        <f t="shared" ref="BF402:BF404" si="698">IFERROR(VLOOKUP(CONCATENATE(AY402, "-", BA402), cuadrante_sev, 3, 0), "")</f>
        <v/>
      </c>
      <c r="BG402" s="191"/>
    </row>
    <row r="403" spans="1:59" ht="15" customHeight="1" x14ac:dyDescent="0.25">
      <c r="A403" s="167"/>
      <c r="B403" s="195"/>
      <c r="C403" s="161"/>
      <c r="D403" s="160"/>
      <c r="E403" s="162"/>
      <c r="F403" s="164"/>
      <c r="G403" s="161"/>
      <c r="H403" s="161"/>
      <c r="I403" s="161"/>
      <c r="J403" s="161"/>
      <c r="K403" s="161"/>
      <c r="L403" s="166"/>
      <c r="M403" s="166"/>
      <c r="N403" s="166"/>
      <c r="O403" s="166"/>
      <c r="P403" s="166"/>
      <c r="Q403" s="166"/>
      <c r="R403" s="166"/>
      <c r="S403" s="167"/>
      <c r="T403" s="167"/>
      <c r="U403" s="167"/>
      <c r="V403" s="167"/>
      <c r="W403" s="167"/>
      <c r="X403" s="164"/>
      <c r="Y403" s="164"/>
      <c r="Z403" s="172"/>
      <c r="AA403" s="188"/>
      <c r="AB403" s="172"/>
      <c r="AC403" s="172"/>
      <c r="AD403" s="175"/>
      <c r="AE403" s="62" t="s">
        <v>114</v>
      </c>
      <c r="AF403" s="133"/>
      <c r="AG403" s="65"/>
      <c r="AH403" s="64"/>
      <c r="AI403" s="64"/>
      <c r="AJ403" s="64"/>
      <c r="AK403" s="64"/>
      <c r="AL403" s="64"/>
      <c r="AM403" s="80" t="str">
        <f>IFERROR((Tablas!$C$1*VLOOKUP(AH403, tipo_control, 2, 0)+Tablas!$E$1*VLOOKUP(AI403, nat_control, 2, 0)+Tablas!$G$1*VLOOKUP(AJ403, ev_control, 2, 0)+Tablas!$I$1*VLOOKUP(AK403, frec_control, 2, 0)+Tablas!$K$1*VLOOKUP(AL403, doc_control, 2, 0))*0.1*peso_dis, "")</f>
        <v/>
      </c>
      <c r="AN403" s="64"/>
      <c r="AO403" s="64"/>
      <c r="AP403" s="64"/>
      <c r="AQ403" s="80" t="str">
        <f>IFERROR((Tablas!$C$9*VLOOKUP(AN403, amb_control, 2, 0)+Tablas!$E$9*VLOOKUP(AO403, ejec_control, 2, 0)+Tablas!$G$9*VLOOKUP(AP403, cub_control, 2, 0))*0.1*peso_ejec, "")</f>
        <v/>
      </c>
      <c r="AR403" s="91" t="str">
        <f t="shared" si="613"/>
        <v/>
      </c>
      <c r="AS403" s="85" t="str">
        <f t="shared" si="694"/>
        <v/>
      </c>
      <c r="AT403" s="85" t="str">
        <f t="shared" si="695"/>
        <v/>
      </c>
      <c r="AU403" s="85" t="str">
        <f>IF(AR403&lt;Tablas!$G$19, 0, IF(AND(AR403&gt;=Tablas!$G$19, AR403&lt;Tablas!$G$20), 1,  IF(AND(AR403&gt;=Tablas!$G$20, AR403&lt;Tablas!$G$21), 2,  IF(AND(AR403&gt;=Tablas!$G$21, AR403&lt;=Tablas!$G$22), 3,  ""))))</f>
        <v/>
      </c>
      <c r="AV403" s="85" t="str">
        <f t="shared" si="614"/>
        <v/>
      </c>
      <c r="AW403" s="101" t="str">
        <f t="shared" si="615"/>
        <v/>
      </c>
      <c r="AX403" s="177"/>
      <c r="AY403" s="169"/>
      <c r="AZ403" s="158"/>
      <c r="BA403" s="169"/>
      <c r="BB403" s="182"/>
      <c r="BC403" s="182"/>
      <c r="BD403" s="185"/>
      <c r="BE403" s="185"/>
      <c r="BF403" s="158" t="str">
        <f t="shared" si="698"/>
        <v/>
      </c>
      <c r="BG403" s="191"/>
    </row>
    <row r="404" spans="1:59" ht="15" customHeight="1" x14ac:dyDescent="0.25">
      <c r="A404" s="167"/>
      <c r="B404" s="195"/>
      <c r="C404" s="161"/>
      <c r="D404" s="160"/>
      <c r="E404" s="162"/>
      <c r="F404" s="164"/>
      <c r="G404" s="161"/>
      <c r="H404" s="161"/>
      <c r="I404" s="161"/>
      <c r="J404" s="161"/>
      <c r="K404" s="161"/>
      <c r="L404" s="166"/>
      <c r="M404" s="166"/>
      <c r="N404" s="166"/>
      <c r="O404" s="166"/>
      <c r="P404" s="166"/>
      <c r="Q404" s="166"/>
      <c r="R404" s="166"/>
      <c r="S404" s="167"/>
      <c r="T404" s="167"/>
      <c r="U404" s="167"/>
      <c r="V404" s="167"/>
      <c r="W404" s="167"/>
      <c r="X404" s="164"/>
      <c r="Y404" s="164"/>
      <c r="Z404" s="172"/>
      <c r="AA404" s="188"/>
      <c r="AB404" s="172"/>
      <c r="AC404" s="172"/>
      <c r="AD404" s="175"/>
      <c r="AE404" s="62" t="s">
        <v>115</v>
      </c>
      <c r="AF404" s="133"/>
      <c r="AG404" s="65"/>
      <c r="AH404" s="64"/>
      <c r="AI404" s="64"/>
      <c r="AJ404" s="64"/>
      <c r="AK404" s="64"/>
      <c r="AL404" s="64"/>
      <c r="AM404" s="80" t="str">
        <f>IFERROR((Tablas!$C$1*VLOOKUP(AH404, tipo_control, 2, 0)+Tablas!$E$1*VLOOKUP(AI404, nat_control, 2, 0)+Tablas!$G$1*VLOOKUP(AJ404, ev_control, 2, 0)+Tablas!$I$1*VLOOKUP(AK404, frec_control, 2, 0)+Tablas!$K$1*VLOOKUP(AL404, doc_control, 2, 0))*0.1*peso_dis, "")</f>
        <v/>
      </c>
      <c r="AN404" s="64"/>
      <c r="AO404" s="64"/>
      <c r="AP404" s="64"/>
      <c r="AQ404" s="80" t="str">
        <f>IFERROR((Tablas!$C$9*VLOOKUP(AN404, amb_control, 2, 0)+Tablas!$E$9*VLOOKUP(AO404, ejec_control, 2, 0)+Tablas!$G$9*VLOOKUP(AP404, cub_control, 2, 0))*0.1*peso_ejec, "")</f>
        <v/>
      </c>
      <c r="AR404" s="91" t="str">
        <f t="shared" si="613"/>
        <v/>
      </c>
      <c r="AS404" s="85" t="str">
        <f t="shared" si="694"/>
        <v/>
      </c>
      <c r="AT404" s="85" t="str">
        <f t="shared" si="695"/>
        <v/>
      </c>
      <c r="AU404" s="85" t="str">
        <f>IF(AR404&lt;Tablas!$G$19, 0, IF(AND(AR404&gt;=Tablas!$G$19, AR404&lt;Tablas!$G$20), 1,  IF(AND(AR404&gt;=Tablas!$G$20, AR404&lt;Tablas!$G$21), 2,  IF(AND(AR404&gt;=Tablas!$G$21, AR404&lt;=Tablas!$G$22), 3,  ""))))</f>
        <v/>
      </c>
      <c r="AV404" s="85" t="str">
        <f t="shared" si="614"/>
        <v/>
      </c>
      <c r="AW404" s="101" t="str">
        <f t="shared" si="615"/>
        <v/>
      </c>
      <c r="AX404" s="177"/>
      <c r="AY404" s="169"/>
      <c r="AZ404" s="158"/>
      <c r="BA404" s="169"/>
      <c r="BB404" s="182"/>
      <c r="BC404" s="182"/>
      <c r="BD404" s="185"/>
      <c r="BE404" s="185"/>
      <c r="BF404" s="158" t="str">
        <f t="shared" si="698"/>
        <v/>
      </c>
      <c r="BG404" s="191"/>
    </row>
    <row r="405" spans="1:59" ht="15" customHeight="1" x14ac:dyDescent="0.25">
      <c r="A405" s="167"/>
      <c r="B405" s="195"/>
      <c r="C405" s="161"/>
      <c r="D405" s="160"/>
      <c r="E405" s="162"/>
      <c r="F405" s="164"/>
      <c r="G405" s="161"/>
      <c r="H405" s="161"/>
      <c r="I405" s="161"/>
      <c r="J405" s="161"/>
      <c r="K405" s="161"/>
      <c r="L405" s="166"/>
      <c r="M405" s="166"/>
      <c r="N405" s="166"/>
      <c r="O405" s="166"/>
      <c r="P405" s="166"/>
      <c r="Q405" s="166"/>
      <c r="R405" s="166"/>
      <c r="S405" s="167"/>
      <c r="T405" s="167"/>
      <c r="U405" s="167"/>
      <c r="V405" s="167"/>
      <c r="W405" s="167"/>
      <c r="X405" s="164"/>
      <c r="Y405" s="164"/>
      <c r="Z405" s="172"/>
      <c r="AA405" s="188"/>
      <c r="AB405" s="172"/>
      <c r="AC405" s="172"/>
      <c r="AD405" s="175"/>
      <c r="AE405" s="62" t="s">
        <v>153</v>
      </c>
      <c r="AF405" s="133"/>
      <c r="AG405" s="65"/>
      <c r="AH405" s="64"/>
      <c r="AI405" s="64"/>
      <c r="AJ405" s="64"/>
      <c r="AK405" s="64"/>
      <c r="AL405" s="64"/>
      <c r="AM405" s="80" t="str">
        <f>IFERROR((Tablas!$C$1*VLOOKUP(AH405, tipo_control, 2, 0)+Tablas!$E$1*VLOOKUP(AI405, nat_control, 2, 0)+Tablas!$G$1*VLOOKUP(AJ405, ev_control, 2, 0)+Tablas!$I$1*VLOOKUP(AK405, frec_control, 2, 0)+Tablas!$K$1*VLOOKUP(AL405, doc_control, 2, 0))*0.1*peso_dis, "")</f>
        <v/>
      </c>
      <c r="AN405" s="64"/>
      <c r="AO405" s="64"/>
      <c r="AP405" s="64"/>
      <c r="AQ405" s="80" t="str">
        <f>IFERROR((Tablas!$C$9*VLOOKUP(AN405, amb_control, 2, 0)+Tablas!$E$9*VLOOKUP(AO405, ejec_control, 2, 0)+Tablas!$G$9*VLOOKUP(AP405, cub_control, 2, 0))*0.1*peso_ejec, "")</f>
        <v/>
      </c>
      <c r="AR405" s="91" t="str">
        <f t="shared" si="613"/>
        <v/>
      </c>
      <c r="AS405" s="85" t="str">
        <f t="shared" si="694"/>
        <v/>
      </c>
      <c r="AT405" s="85" t="str">
        <f t="shared" si="695"/>
        <v/>
      </c>
      <c r="AU405" s="85" t="str">
        <f>IF(AR405&lt;Tablas!$G$19, 0, IF(AND(AR405&gt;=Tablas!$G$19, AR405&lt;Tablas!$G$20), 1,  IF(AND(AR405&gt;=Tablas!$G$20, AR405&lt;Tablas!$G$21), 2,  IF(AND(AR405&gt;=Tablas!$G$21, AR405&lt;=Tablas!$G$22), 3,  ""))))</f>
        <v/>
      </c>
      <c r="AV405" s="85" t="str">
        <f t="shared" si="614"/>
        <v/>
      </c>
      <c r="AW405" s="101" t="str">
        <f t="shared" si="615"/>
        <v/>
      </c>
      <c r="AX405" s="177"/>
      <c r="AY405" s="169"/>
      <c r="AZ405" s="158"/>
      <c r="BA405" s="169"/>
      <c r="BB405" s="182"/>
      <c r="BC405" s="182"/>
      <c r="BD405" s="185"/>
      <c r="BE405" s="185"/>
      <c r="BF405" s="158"/>
      <c r="BG405" s="191"/>
    </row>
    <row r="406" spans="1:59" ht="15.75" customHeight="1" thickBot="1" x14ac:dyDescent="0.3">
      <c r="A406" s="149"/>
      <c r="B406" s="196"/>
      <c r="C406" s="161"/>
      <c r="D406" s="160"/>
      <c r="E406" s="162"/>
      <c r="F406" s="165"/>
      <c r="G406" s="161"/>
      <c r="H406" s="161"/>
      <c r="I406" s="161"/>
      <c r="J406" s="161"/>
      <c r="K406" s="161"/>
      <c r="L406" s="166"/>
      <c r="M406" s="166"/>
      <c r="N406" s="166"/>
      <c r="O406" s="166"/>
      <c r="P406" s="166"/>
      <c r="Q406" s="166"/>
      <c r="R406" s="166"/>
      <c r="S406" s="149"/>
      <c r="T406" s="149"/>
      <c r="U406" s="149"/>
      <c r="V406" s="149"/>
      <c r="W406" s="149"/>
      <c r="X406" s="165"/>
      <c r="Y406" s="165"/>
      <c r="Z406" s="173"/>
      <c r="AA406" s="189"/>
      <c r="AB406" s="173"/>
      <c r="AC406" s="173"/>
      <c r="AD406" s="175"/>
      <c r="AE406" s="75" t="s">
        <v>154</v>
      </c>
      <c r="AF406" s="136"/>
      <c r="AG406" s="68"/>
      <c r="AH406" s="76"/>
      <c r="AI406" s="76"/>
      <c r="AJ406" s="76"/>
      <c r="AK406" s="76"/>
      <c r="AL406" s="76"/>
      <c r="AM406" s="83" t="str">
        <f>IFERROR((Tablas!$C$1*VLOOKUP(AH406, tipo_control, 2, 0)+Tablas!$E$1*VLOOKUP(AI406, nat_control, 2, 0)+Tablas!$G$1*VLOOKUP(AJ406, ev_control, 2, 0)+Tablas!$I$1*VLOOKUP(AK406, frec_control, 2, 0)+Tablas!$K$1*VLOOKUP(AL406, doc_control, 2, 0))*0.1*peso_dis, "")</f>
        <v/>
      </c>
      <c r="AN406" s="76"/>
      <c r="AO406" s="76"/>
      <c r="AP406" s="76"/>
      <c r="AQ406" s="83" t="str">
        <f>IFERROR((Tablas!$C$9*VLOOKUP(AN406, amb_control, 2, 0)+Tablas!$E$9*VLOOKUP(AO406, ejec_control, 2, 0)+Tablas!$G$9*VLOOKUP(AP406, cub_control, 2, 0))*0.1*peso_ejec, "")</f>
        <v/>
      </c>
      <c r="AR406" s="99" t="str">
        <f t="shared" si="613"/>
        <v/>
      </c>
      <c r="AS406" s="86" t="str">
        <f t="shared" si="694"/>
        <v/>
      </c>
      <c r="AT406" s="86" t="str">
        <f t="shared" si="695"/>
        <v/>
      </c>
      <c r="AU406" s="86" t="str">
        <f>IF(AR406&lt;Tablas!$G$19, 0, IF(AND(AR406&gt;=Tablas!$G$19, AR406&lt;Tablas!$G$20), 1,  IF(AND(AR406&gt;=Tablas!$G$20, AR406&lt;Tablas!$G$21), 2,  IF(AND(AR406&gt;=Tablas!$G$21, AR406&lt;=Tablas!$G$22), 3,  ""))))</f>
        <v/>
      </c>
      <c r="AV406" s="86" t="str">
        <f t="shared" si="614"/>
        <v/>
      </c>
      <c r="AW406" s="84" t="str">
        <f t="shared" si="615"/>
        <v/>
      </c>
      <c r="AX406" s="157"/>
      <c r="AY406" s="170"/>
      <c r="AZ406" s="179"/>
      <c r="BA406" s="170"/>
      <c r="BB406" s="183"/>
      <c r="BC406" s="183"/>
      <c r="BD406" s="186"/>
      <c r="BE406" s="186"/>
      <c r="BF406" s="159"/>
      <c r="BG406" s="191"/>
    </row>
    <row r="407" spans="1:59" x14ac:dyDescent="0.25">
      <c r="A407" s="148" t="s">
        <v>191</v>
      </c>
      <c r="B407" s="148" t="s">
        <v>192</v>
      </c>
      <c r="C407" s="161" t="s">
        <v>14</v>
      </c>
      <c r="D407" s="160" t="s">
        <v>158</v>
      </c>
      <c r="E407" s="193"/>
      <c r="F407" s="163" t="str">
        <f t="shared" si="676"/>
        <v/>
      </c>
      <c r="G407" s="149"/>
      <c r="H407" s="149"/>
      <c r="I407" s="149"/>
      <c r="J407" s="149"/>
      <c r="K407" s="149"/>
      <c r="L407" s="165" t="str">
        <f>IFERROR(VLOOKUP(G407, tabla02, 2, 0), "")</f>
        <v/>
      </c>
      <c r="M407" s="165" t="str">
        <f>IFERROR(VLOOKUP(H407, tabla02, 2, 0), "")</f>
        <v/>
      </c>
      <c r="N407" s="165" t="str">
        <f>IFERROR(VLOOKUP(I407, tabla02, 2, 0), "")</f>
        <v/>
      </c>
      <c r="O407" s="165" t="str">
        <f>IFERROR(VLOOKUP(J407, tabla02, 2, 0), "")</f>
        <v/>
      </c>
      <c r="P407" s="165" t="str">
        <f>IFERROR(VLOOKUP(K407, tabla02, 2, 0), "")</f>
        <v/>
      </c>
      <c r="Q407" s="165" t="str">
        <f t="shared" ref="Q407" si="699">IF(SUM(L407:O411)=0, "", MAX(L407:P407))</f>
        <v/>
      </c>
      <c r="R407" s="165" t="str">
        <f>IFERROR(VLOOKUP(Q407, tabla04, 3, 0), "")</f>
        <v/>
      </c>
      <c r="S407" s="148"/>
      <c r="T407" s="148"/>
      <c r="U407" s="148"/>
      <c r="V407" s="148"/>
      <c r="W407" s="148"/>
      <c r="X407" s="164" t="str">
        <f>IFERROR(VLOOKUP(CONCATENATE(F407, "-", Q407), cuadrante_sev, 3, 0), "")</f>
        <v/>
      </c>
      <c r="Y407" s="163" t="str">
        <f>IFERROR(IF(X407="Baja", 1, IF(X407="Moderada", 2, IF(X407="Alta", 3, IF(X407="Extrema", 4, "")))), "")</f>
        <v/>
      </c>
      <c r="Z407" s="171">
        <f t="shared" ref="Z407" si="700">MAX(F407:F456)</f>
        <v>0</v>
      </c>
      <c r="AA407" s="187">
        <f t="shared" ref="AA407" si="701">MAX(Q407:Q456)</f>
        <v>0</v>
      </c>
      <c r="AB407" s="171" t="str">
        <f>IFERROR(VLOOKUP(Z407, tabla04, 2, 0), "")</f>
        <v/>
      </c>
      <c r="AC407" s="171" t="str">
        <f>IFERROR(VLOOKUP(AA407, tabla04, 3, 0), "")</f>
        <v/>
      </c>
      <c r="AD407" s="174" t="str">
        <f>IFERROR(VLOOKUP(CONCATENATE(Z407, "-", AA407), cuadrante_sev, 3, 0), "")</f>
        <v/>
      </c>
      <c r="AE407" s="59" t="s">
        <v>113</v>
      </c>
      <c r="AF407" s="132"/>
      <c r="AG407" s="77"/>
      <c r="AH407" s="61"/>
      <c r="AI407" s="61"/>
      <c r="AJ407" s="61"/>
      <c r="AK407" s="61"/>
      <c r="AL407" s="61"/>
      <c r="AM407" s="79" t="str">
        <f>IFERROR((Tablas!$C$1*VLOOKUP(AH407, tipo_control, 2, 0)+Tablas!$E$1*VLOOKUP(AI407, nat_control, 2, 0)+Tablas!$G$1*VLOOKUP(AJ407, ev_control, 2, 0)+Tablas!$I$1*VLOOKUP(AK407, frec_control, 2, 0)+Tablas!$K$1*VLOOKUP(AL407, doc_control, 2, 0))*0.1*peso_dis, "")</f>
        <v/>
      </c>
      <c r="AN407" s="61"/>
      <c r="AO407" s="61"/>
      <c r="AP407" s="61"/>
      <c r="AQ407" s="79" t="str">
        <f>IFERROR((Tablas!$C$9*VLOOKUP(AN407, amb_control, 2, 0)+Tablas!$E$9*VLOOKUP(AO407, ejec_control, 2, 0)+Tablas!$G$9*VLOOKUP(AP407, cub_control, 2, 0))*0.1*peso_ejec, "")</f>
        <v/>
      </c>
      <c r="AR407" s="89" t="str">
        <f>IFERROR(AM407+AQ407, "")</f>
        <v/>
      </c>
      <c r="AS407" s="87" t="str">
        <f t="shared" si="694"/>
        <v/>
      </c>
      <c r="AT407" s="87" t="str">
        <f t="shared" si="695"/>
        <v/>
      </c>
      <c r="AU407" s="87" t="str">
        <f>IF(AR407&lt;Tablas!$G$19, 0, IF(AND(AR407&gt;=Tablas!$G$19, AR407&lt;Tablas!$G$20), 1,  IF(AND(AR407&gt;=Tablas!$G$20, AR407&lt;Tablas!$G$21), 2,  IF(AND(AR407&gt;=Tablas!$G$21, AR407&lt;=Tablas!$G$22), 3,  ""))))</f>
        <v/>
      </c>
      <c r="AV407" s="87" t="str">
        <f>IF(AS407="Sí",AU407,"")</f>
        <v/>
      </c>
      <c r="AW407" s="100" t="str">
        <f>IF(AT407="Sí",AU407,"")</f>
        <v/>
      </c>
      <c r="AX407" s="176" t="str">
        <f>IFERROR(VLOOKUP(AY407, tabla04, 2, 0), "")</f>
        <v/>
      </c>
      <c r="AY407" s="168" t="str">
        <f>IF(F407="", "", IF((F407-MAX(AV407:AV411))&lt;=0, 1, F407-MAX(AV407:AV411)))</f>
        <v/>
      </c>
      <c r="AZ407" s="178" t="str">
        <f>IFERROR(VLOOKUP(BA407, tabla04, 3, 0), "")</f>
        <v/>
      </c>
      <c r="BA407" s="168" t="str">
        <f>IF(Q407="", "", IF((Q407-MAX(AW407:AW411))&lt;=0, 1, Q407-MAX(AW407:AW411)))</f>
        <v/>
      </c>
      <c r="BB407" s="170">
        <f>IFERROR(MAX(AY407:AY456), "")</f>
        <v>0</v>
      </c>
      <c r="BC407" s="170">
        <f>IFERROR(MAX(BA407:BA456), "")</f>
        <v>0</v>
      </c>
      <c r="BD407" s="184" t="str">
        <f>IFERROR(VLOOKUP(BB407, tabla04, 2, 0), "")</f>
        <v/>
      </c>
      <c r="BE407" s="184" t="str">
        <f>IFERROR(VLOOKUP(BC407, tabla04, 3, 0), "")</f>
        <v/>
      </c>
      <c r="BF407" s="158" t="str">
        <f>IFERROR(VLOOKUP(CONCATENATE(AY407, "-", BA407), cuadrante_sev, 3, 0), "")</f>
        <v/>
      </c>
      <c r="BG407" s="190" t="str">
        <f>IFERROR(VLOOKUP(CONCATENATE(BB407, "-", BC407), cuadrante_sev, 3, 0), "")</f>
        <v/>
      </c>
    </row>
    <row r="408" spans="1:59" x14ac:dyDescent="0.25">
      <c r="A408" s="167"/>
      <c r="B408" s="167"/>
      <c r="C408" s="161"/>
      <c r="D408" s="160"/>
      <c r="E408" s="162"/>
      <c r="F408" s="164"/>
      <c r="G408" s="161"/>
      <c r="H408" s="161"/>
      <c r="I408" s="161"/>
      <c r="J408" s="161"/>
      <c r="K408" s="161"/>
      <c r="L408" s="166"/>
      <c r="M408" s="166"/>
      <c r="N408" s="166"/>
      <c r="O408" s="166"/>
      <c r="P408" s="166"/>
      <c r="Q408" s="166"/>
      <c r="R408" s="166"/>
      <c r="S408" s="167"/>
      <c r="T408" s="167"/>
      <c r="U408" s="167"/>
      <c r="V408" s="167"/>
      <c r="W408" s="167"/>
      <c r="X408" s="164"/>
      <c r="Y408" s="164"/>
      <c r="Z408" s="172"/>
      <c r="AA408" s="188"/>
      <c r="AB408" s="172"/>
      <c r="AC408" s="172"/>
      <c r="AD408" s="175"/>
      <c r="AE408" s="62" t="s">
        <v>114</v>
      </c>
      <c r="AF408" s="133"/>
      <c r="AG408" s="65"/>
      <c r="AH408" s="64"/>
      <c r="AI408" s="64"/>
      <c r="AJ408" s="64"/>
      <c r="AK408" s="64"/>
      <c r="AL408" s="64"/>
      <c r="AM408" s="80" t="str">
        <f>IFERROR((Tablas!$C$1*VLOOKUP(AH408, tipo_control, 2, 0)+Tablas!$E$1*VLOOKUP(AI408, nat_control, 2, 0)+Tablas!$G$1*VLOOKUP(AJ408, ev_control, 2, 0)+Tablas!$I$1*VLOOKUP(AK408, frec_control, 2, 0)+Tablas!$K$1*VLOOKUP(AL408, doc_control, 2, 0))*0.1*peso_dis, "")</f>
        <v/>
      </c>
      <c r="AN408" s="64"/>
      <c r="AO408" s="64"/>
      <c r="AP408" s="64"/>
      <c r="AQ408" s="80" t="str">
        <f>IFERROR((Tablas!$C$9*VLOOKUP(AN408, amb_control, 2, 0)+Tablas!$E$9*VLOOKUP(AO408, ejec_control, 2, 0)+Tablas!$G$9*VLOOKUP(AP408, cub_control, 2, 0))*0.1*peso_ejec, "")</f>
        <v/>
      </c>
      <c r="AR408" s="91" t="str">
        <f t="shared" ref="AR408:AR456" si="702">IFERROR(AM408+AQ408, "")</f>
        <v/>
      </c>
      <c r="AS408" s="87" t="str">
        <f t="shared" si="694"/>
        <v/>
      </c>
      <c r="AT408" s="85" t="str">
        <f t="shared" si="695"/>
        <v/>
      </c>
      <c r="AU408" s="85" t="str">
        <f>IF(AR408&lt;Tablas!$G$19, 0, IF(AND(AR408&gt;=Tablas!$G$19, AR408&lt;Tablas!$G$20), 1,  IF(AND(AR408&gt;=Tablas!$G$20, AR408&lt;Tablas!$G$21), 2,  IF(AND(AR408&gt;=Tablas!$G$21, AR408&lt;=Tablas!$G$22), 3,  ""))))</f>
        <v/>
      </c>
      <c r="AV408" s="85" t="str">
        <f t="shared" ref="AV408:AV456" si="703">IF(AS408="Sí",AU408,"")</f>
        <v/>
      </c>
      <c r="AW408" s="101" t="str">
        <f t="shared" ref="AW408:AW456" si="704">IF(AT408="Sí",AU408,"")</f>
        <v/>
      </c>
      <c r="AX408" s="177"/>
      <c r="AY408" s="169"/>
      <c r="AZ408" s="158"/>
      <c r="BA408" s="169"/>
      <c r="BB408" s="182"/>
      <c r="BC408" s="182"/>
      <c r="BD408" s="185"/>
      <c r="BE408" s="185"/>
      <c r="BF408" s="158"/>
      <c r="BG408" s="191"/>
    </row>
    <row r="409" spans="1:59" x14ac:dyDescent="0.25">
      <c r="A409" s="167"/>
      <c r="B409" s="167"/>
      <c r="C409" s="161"/>
      <c r="D409" s="160"/>
      <c r="E409" s="162"/>
      <c r="F409" s="164"/>
      <c r="G409" s="161"/>
      <c r="H409" s="161"/>
      <c r="I409" s="161"/>
      <c r="J409" s="161"/>
      <c r="K409" s="161"/>
      <c r="L409" s="166"/>
      <c r="M409" s="166"/>
      <c r="N409" s="166"/>
      <c r="O409" s="166"/>
      <c r="P409" s="166"/>
      <c r="Q409" s="166"/>
      <c r="R409" s="166"/>
      <c r="S409" s="167"/>
      <c r="T409" s="167"/>
      <c r="U409" s="167"/>
      <c r="V409" s="167"/>
      <c r="W409" s="167"/>
      <c r="X409" s="164"/>
      <c r="Y409" s="164"/>
      <c r="Z409" s="172"/>
      <c r="AA409" s="188"/>
      <c r="AB409" s="172"/>
      <c r="AC409" s="172"/>
      <c r="AD409" s="175"/>
      <c r="AE409" s="62" t="s">
        <v>115</v>
      </c>
      <c r="AF409" s="133"/>
      <c r="AG409" s="65"/>
      <c r="AH409" s="64"/>
      <c r="AI409" s="64"/>
      <c r="AJ409" s="64"/>
      <c r="AK409" s="64"/>
      <c r="AL409" s="64"/>
      <c r="AM409" s="80" t="str">
        <f>IFERROR((Tablas!$C$1*VLOOKUP(AH409, tipo_control, 2, 0)+Tablas!$E$1*VLOOKUP(AI409, nat_control, 2, 0)+Tablas!$G$1*VLOOKUP(AJ409, ev_control, 2, 0)+Tablas!$I$1*VLOOKUP(AK409, frec_control, 2, 0)+Tablas!$K$1*VLOOKUP(AL409, doc_control, 2, 0))*0.1*peso_dis, "")</f>
        <v/>
      </c>
      <c r="AN409" s="64"/>
      <c r="AO409" s="64"/>
      <c r="AP409" s="64"/>
      <c r="AQ409" s="80" t="str">
        <f>IFERROR((Tablas!$C$9*VLOOKUP(AN409, amb_control, 2, 0)+Tablas!$E$9*VLOOKUP(AO409, ejec_control, 2, 0)+Tablas!$G$9*VLOOKUP(AP409, cub_control, 2, 0))*0.1*peso_ejec, "")</f>
        <v/>
      </c>
      <c r="AR409" s="91" t="str">
        <f t="shared" si="702"/>
        <v/>
      </c>
      <c r="AS409" s="87" t="str">
        <f t="shared" si="694"/>
        <v/>
      </c>
      <c r="AT409" s="85" t="str">
        <f t="shared" si="695"/>
        <v/>
      </c>
      <c r="AU409" s="85" t="str">
        <f>IF(AR409&lt;Tablas!$G$19, 0, IF(AND(AR409&gt;=Tablas!$G$19, AR409&lt;Tablas!$G$20), 1,  IF(AND(AR409&gt;=Tablas!$G$20, AR409&lt;Tablas!$G$21), 2,  IF(AND(AR409&gt;=Tablas!$G$21, AR409&lt;=Tablas!$G$22), 3,  ""))))</f>
        <v/>
      </c>
      <c r="AV409" s="85" t="str">
        <f t="shared" si="703"/>
        <v/>
      </c>
      <c r="AW409" s="101" t="str">
        <f t="shared" si="704"/>
        <v/>
      </c>
      <c r="AX409" s="177"/>
      <c r="AY409" s="169"/>
      <c r="AZ409" s="158"/>
      <c r="BA409" s="169"/>
      <c r="BB409" s="182"/>
      <c r="BC409" s="182"/>
      <c r="BD409" s="185"/>
      <c r="BE409" s="185"/>
      <c r="BF409" s="158"/>
      <c r="BG409" s="191"/>
    </row>
    <row r="410" spans="1:59" x14ac:dyDescent="0.25">
      <c r="A410" s="167"/>
      <c r="B410" s="167"/>
      <c r="C410" s="161"/>
      <c r="D410" s="160"/>
      <c r="E410" s="162"/>
      <c r="F410" s="164"/>
      <c r="G410" s="161"/>
      <c r="H410" s="161"/>
      <c r="I410" s="161"/>
      <c r="J410" s="161"/>
      <c r="K410" s="161"/>
      <c r="L410" s="166"/>
      <c r="M410" s="166"/>
      <c r="N410" s="166"/>
      <c r="O410" s="166"/>
      <c r="P410" s="166"/>
      <c r="Q410" s="166"/>
      <c r="R410" s="166"/>
      <c r="S410" s="167"/>
      <c r="T410" s="167"/>
      <c r="U410" s="167"/>
      <c r="V410" s="167"/>
      <c r="W410" s="167"/>
      <c r="X410" s="164"/>
      <c r="Y410" s="164"/>
      <c r="Z410" s="172"/>
      <c r="AA410" s="188"/>
      <c r="AB410" s="172"/>
      <c r="AC410" s="172"/>
      <c r="AD410" s="175"/>
      <c r="AE410" s="62" t="s">
        <v>153</v>
      </c>
      <c r="AF410" s="133"/>
      <c r="AG410" s="65"/>
      <c r="AH410" s="64"/>
      <c r="AI410" s="64"/>
      <c r="AJ410" s="64"/>
      <c r="AK410" s="64"/>
      <c r="AL410" s="64"/>
      <c r="AM410" s="80" t="str">
        <f>IFERROR((Tablas!$C$1*VLOOKUP(AH410, tipo_control, 2, 0)+Tablas!$E$1*VLOOKUP(AI410, nat_control, 2, 0)+Tablas!$G$1*VLOOKUP(AJ410, ev_control, 2, 0)+Tablas!$I$1*VLOOKUP(AK410, frec_control, 2, 0)+Tablas!$K$1*VLOOKUP(AL410, doc_control, 2, 0))*0.1*peso_dis, "")</f>
        <v/>
      </c>
      <c r="AN410" s="64"/>
      <c r="AO410" s="64"/>
      <c r="AP410" s="64"/>
      <c r="AQ410" s="80" t="str">
        <f>IFERROR((Tablas!$C$9*VLOOKUP(AN410, amb_control, 2, 0)+Tablas!$E$9*VLOOKUP(AO410, ejec_control, 2, 0)+Tablas!$G$9*VLOOKUP(AP410, cub_control, 2, 0))*0.1*peso_ejec, "")</f>
        <v/>
      </c>
      <c r="AR410" s="91" t="str">
        <f t="shared" si="702"/>
        <v/>
      </c>
      <c r="AS410" s="87" t="str">
        <f t="shared" si="694"/>
        <v/>
      </c>
      <c r="AT410" s="85" t="str">
        <f t="shared" si="695"/>
        <v/>
      </c>
      <c r="AU410" s="85" t="str">
        <f>IF(AR410&lt;Tablas!$G$19, 0, IF(AND(AR410&gt;=Tablas!$G$19, AR410&lt;Tablas!$G$20), 1,  IF(AND(AR410&gt;=Tablas!$G$20, AR410&lt;Tablas!$G$21), 2,  IF(AND(AR410&gt;=Tablas!$G$21, AR410&lt;=Tablas!$G$22), 3,  ""))))</f>
        <v/>
      </c>
      <c r="AV410" s="85" t="str">
        <f t="shared" si="703"/>
        <v/>
      </c>
      <c r="AW410" s="101" t="str">
        <f t="shared" si="704"/>
        <v/>
      </c>
      <c r="AX410" s="177"/>
      <c r="AY410" s="169"/>
      <c r="AZ410" s="158"/>
      <c r="BA410" s="169"/>
      <c r="BB410" s="182"/>
      <c r="BC410" s="182"/>
      <c r="BD410" s="185"/>
      <c r="BE410" s="185"/>
      <c r="BF410" s="158"/>
      <c r="BG410" s="191"/>
    </row>
    <row r="411" spans="1:59" ht="15.75" thickBot="1" x14ac:dyDescent="0.3">
      <c r="A411" s="167"/>
      <c r="B411" s="167"/>
      <c r="C411" s="161"/>
      <c r="D411" s="160"/>
      <c r="E411" s="162"/>
      <c r="F411" s="165"/>
      <c r="G411" s="161"/>
      <c r="H411" s="161"/>
      <c r="I411" s="161"/>
      <c r="J411" s="161"/>
      <c r="K411" s="161"/>
      <c r="L411" s="166"/>
      <c r="M411" s="166"/>
      <c r="N411" s="166"/>
      <c r="O411" s="166"/>
      <c r="P411" s="166"/>
      <c r="Q411" s="166"/>
      <c r="R411" s="166"/>
      <c r="S411" s="149"/>
      <c r="T411" s="149"/>
      <c r="U411" s="149"/>
      <c r="V411" s="149"/>
      <c r="W411" s="149"/>
      <c r="X411" s="165"/>
      <c r="Y411" s="165"/>
      <c r="Z411" s="172"/>
      <c r="AA411" s="188"/>
      <c r="AB411" s="172"/>
      <c r="AC411" s="172"/>
      <c r="AD411" s="175"/>
      <c r="AE411" s="66" t="s">
        <v>154</v>
      </c>
      <c r="AF411" s="134"/>
      <c r="AG411" s="67"/>
      <c r="AH411" s="69"/>
      <c r="AI411" s="69"/>
      <c r="AJ411" s="69"/>
      <c r="AK411" s="69"/>
      <c r="AL411" s="69"/>
      <c r="AM411" s="81" t="str">
        <f>IFERROR((Tablas!$C$1*VLOOKUP(AH411, tipo_control, 2, 0)+Tablas!$E$1*VLOOKUP(AI411, nat_control, 2, 0)+Tablas!$G$1*VLOOKUP(AJ411, ev_control, 2, 0)+Tablas!$I$1*VLOOKUP(AK411, frec_control, 2, 0)+Tablas!$K$1*VLOOKUP(AL411, doc_control, 2, 0))*0.1*peso_dis, "")</f>
        <v/>
      </c>
      <c r="AN411" s="69"/>
      <c r="AO411" s="69"/>
      <c r="AP411" s="69"/>
      <c r="AQ411" s="81" t="str">
        <f>IFERROR((Tablas!$C$9*VLOOKUP(AN411, amb_control, 2, 0)+Tablas!$E$9*VLOOKUP(AO411, ejec_control, 2, 0)+Tablas!$G$9*VLOOKUP(AP411, cub_control, 2, 0))*0.1*peso_ejec, "")</f>
        <v/>
      </c>
      <c r="AR411" s="93" t="str">
        <f t="shared" si="702"/>
        <v/>
      </c>
      <c r="AS411" s="87" t="str">
        <f t="shared" si="694"/>
        <v/>
      </c>
      <c r="AT411" s="94" t="str">
        <f t="shared" si="695"/>
        <v/>
      </c>
      <c r="AU411" s="94" t="str">
        <f>IF(AR411&lt;Tablas!$G$19, 0, IF(AND(AR411&gt;=Tablas!$G$19, AR411&lt;Tablas!$G$20), 1,  IF(AND(AR411&gt;=Tablas!$G$20, AR411&lt;Tablas!$G$21), 2,  IF(AND(AR411&gt;=Tablas!$G$21, AR411&lt;=Tablas!$G$22), 3,  ""))))</f>
        <v/>
      </c>
      <c r="AV411" s="94" t="str">
        <f t="shared" si="703"/>
        <v/>
      </c>
      <c r="AW411" s="102" t="str">
        <f t="shared" si="704"/>
        <v/>
      </c>
      <c r="AX411" s="157"/>
      <c r="AY411" s="170"/>
      <c r="AZ411" s="179"/>
      <c r="BA411" s="170"/>
      <c r="BB411" s="182"/>
      <c r="BC411" s="182"/>
      <c r="BD411" s="185"/>
      <c r="BE411" s="185"/>
      <c r="BF411" s="159"/>
      <c r="BG411" s="191"/>
    </row>
    <row r="412" spans="1:59" x14ac:dyDescent="0.25">
      <c r="A412" s="167"/>
      <c r="B412" s="167"/>
      <c r="C412" s="161" t="s">
        <v>15</v>
      </c>
      <c r="D412" s="160" t="s">
        <v>158</v>
      </c>
      <c r="E412" s="162"/>
      <c r="F412" s="163" t="str">
        <f t="shared" si="676"/>
        <v/>
      </c>
      <c r="G412" s="149"/>
      <c r="H412" s="149"/>
      <c r="I412" s="149"/>
      <c r="J412" s="149"/>
      <c r="K412" s="149"/>
      <c r="L412" s="165" t="str">
        <f>IFERROR(VLOOKUP(G412, tabla02, 2, 0), "")</f>
        <v/>
      </c>
      <c r="M412" s="165" t="str">
        <f>IFERROR(VLOOKUP(H412, tabla02, 2, 0), "")</f>
        <v/>
      </c>
      <c r="N412" s="165" t="str">
        <f>IFERROR(VLOOKUP(I412, tabla02, 2, 0), "")</f>
        <v/>
      </c>
      <c r="O412" s="165" t="str">
        <f>IFERROR(VLOOKUP(J412, tabla02, 2, 0), "")</f>
        <v/>
      </c>
      <c r="P412" s="165" t="str">
        <f>IFERROR(VLOOKUP(K412, tabla02, 2, 0), "")</f>
        <v/>
      </c>
      <c r="Q412" s="165" t="str">
        <f t="shared" ref="Q412" si="705">IF(SUM(L412:O416)=0, "", MAX(L412:P412))</f>
        <v/>
      </c>
      <c r="R412" s="165" t="str">
        <f>IFERROR(VLOOKUP(Q412, tabla04, 3, 0), "")</f>
        <v/>
      </c>
      <c r="S412" s="148"/>
      <c r="T412" s="148"/>
      <c r="U412" s="148"/>
      <c r="V412" s="148"/>
      <c r="W412" s="148"/>
      <c r="X412" s="163" t="str">
        <f>IFERROR(VLOOKUP(CONCATENATE(F412, "-", Q412), cuadrante_sev, 3, 0), "")</f>
        <v/>
      </c>
      <c r="Y412" s="163" t="str">
        <f t="shared" ref="Y412" si="706">IFERROR(IF(X412="Baja", 1, IF(X412="Moderada", 2, IF(X412="Alta", 3, IF(X412="Extrema", 4, "")))), "")</f>
        <v/>
      </c>
      <c r="Z412" s="172"/>
      <c r="AA412" s="188"/>
      <c r="AB412" s="172"/>
      <c r="AC412" s="172"/>
      <c r="AD412" s="175"/>
      <c r="AE412" s="70" t="s">
        <v>113</v>
      </c>
      <c r="AF412" s="135"/>
      <c r="AG412" s="74"/>
      <c r="AH412" s="72"/>
      <c r="AI412" s="72"/>
      <c r="AJ412" s="72"/>
      <c r="AK412" s="72"/>
      <c r="AL412" s="72"/>
      <c r="AM412" s="82" t="str">
        <f>IFERROR((Tablas!$C$1*VLOOKUP(AH412, tipo_control, 2, 0)+Tablas!$E$1*VLOOKUP(AI412, nat_control, 2, 0)+Tablas!$G$1*VLOOKUP(AJ412, ev_control, 2, 0)+Tablas!$I$1*VLOOKUP(AK412, frec_control, 2, 0)+Tablas!$K$1*VLOOKUP(AL412, doc_control, 2, 0))*0.1*peso_dis, "")</f>
        <v/>
      </c>
      <c r="AN412" s="72"/>
      <c r="AO412" s="72"/>
      <c r="AP412" s="72"/>
      <c r="AQ412" s="82" t="str">
        <f>IFERROR((Tablas!$C$9*VLOOKUP(AN412, amb_control, 2, 0)+Tablas!$E$9*VLOOKUP(AO412, ejec_control, 2, 0)+Tablas!$G$9*VLOOKUP(AP412, cub_control, 2, 0))*0.1*peso_ejec, "")</f>
        <v/>
      </c>
      <c r="AR412" s="96" t="str">
        <f t="shared" si="702"/>
        <v/>
      </c>
      <c r="AS412" s="97" t="str">
        <f t="shared" si="694"/>
        <v/>
      </c>
      <c r="AT412" s="87" t="str">
        <f t="shared" si="695"/>
        <v/>
      </c>
      <c r="AU412" s="97" t="str">
        <f>IF(AR412&lt;Tablas!$G$19, 0, IF(AND(AR412&gt;=Tablas!$G$19, AR412&lt;Tablas!$G$20), 1,  IF(AND(AR412&gt;=Tablas!$G$20, AR412&lt;Tablas!$G$21), 2,  IF(AND(AR412&gt;=Tablas!$G$21, AR412&lt;=Tablas!$G$22), 3,  ""))))</f>
        <v/>
      </c>
      <c r="AV412" s="97" t="str">
        <f t="shared" si="703"/>
        <v/>
      </c>
      <c r="AW412" s="103" t="str">
        <f t="shared" si="704"/>
        <v/>
      </c>
      <c r="AX412" s="176" t="str">
        <f t="shared" ref="AX412" si="707">IFERROR(VLOOKUP(AY412, tabla04, 2, 0), "")</f>
        <v/>
      </c>
      <c r="AY412" s="168" t="str">
        <f>IF(F412="", "", IF((F412-MAX(AV412:AV416))&lt;=0, 1, F412-MAX(AV412:AV416)))</f>
        <v/>
      </c>
      <c r="AZ412" s="178" t="str">
        <f t="shared" ref="AZ412" si="708">IFERROR(VLOOKUP(BA412, tabla04, 3, 0), "")</f>
        <v/>
      </c>
      <c r="BA412" s="168" t="str">
        <f>IF(Q412="", "", IF((Q412-MAX(AW412:AW416))&lt;=0, 1, Q412-MAX(AW412:AW416)))</f>
        <v/>
      </c>
      <c r="BB412" s="182"/>
      <c r="BC412" s="182"/>
      <c r="BD412" s="185"/>
      <c r="BE412" s="185"/>
      <c r="BF412" s="158" t="str">
        <f t="shared" ref="BF412:BF414" si="709">IFERROR(VLOOKUP(CONCATENATE(AY412, "-", BA412), cuadrante_sev, 3, 0), "")</f>
        <v/>
      </c>
      <c r="BG412" s="191"/>
    </row>
    <row r="413" spans="1:59" x14ac:dyDescent="0.25">
      <c r="A413" s="167"/>
      <c r="B413" s="167"/>
      <c r="C413" s="161"/>
      <c r="D413" s="160"/>
      <c r="E413" s="162"/>
      <c r="F413" s="164"/>
      <c r="G413" s="161"/>
      <c r="H413" s="161"/>
      <c r="I413" s="161"/>
      <c r="J413" s="161"/>
      <c r="K413" s="161"/>
      <c r="L413" s="166"/>
      <c r="M413" s="166"/>
      <c r="N413" s="166"/>
      <c r="O413" s="166"/>
      <c r="P413" s="166"/>
      <c r="Q413" s="166"/>
      <c r="R413" s="166"/>
      <c r="S413" s="167"/>
      <c r="T413" s="167"/>
      <c r="U413" s="167"/>
      <c r="V413" s="167"/>
      <c r="W413" s="167"/>
      <c r="X413" s="164"/>
      <c r="Y413" s="164"/>
      <c r="Z413" s="172"/>
      <c r="AA413" s="188"/>
      <c r="AB413" s="172"/>
      <c r="AC413" s="172"/>
      <c r="AD413" s="175"/>
      <c r="AE413" s="62" t="s">
        <v>114</v>
      </c>
      <c r="AF413" s="133"/>
      <c r="AG413" s="65"/>
      <c r="AH413" s="64"/>
      <c r="AI413" s="64"/>
      <c r="AJ413" s="64"/>
      <c r="AK413" s="64"/>
      <c r="AL413" s="64"/>
      <c r="AM413" s="80" t="str">
        <f>IFERROR((Tablas!$C$1*VLOOKUP(AH413, tipo_control, 2, 0)+Tablas!$E$1*VLOOKUP(AI413, nat_control, 2, 0)+Tablas!$G$1*VLOOKUP(AJ413, ev_control, 2, 0)+Tablas!$I$1*VLOOKUP(AK413, frec_control, 2, 0)+Tablas!$K$1*VLOOKUP(AL413, doc_control, 2, 0))*0.1*peso_dis, "")</f>
        <v/>
      </c>
      <c r="AN413" s="64"/>
      <c r="AO413" s="64"/>
      <c r="AP413" s="64"/>
      <c r="AQ413" s="80" t="str">
        <f>IFERROR((Tablas!$C$9*VLOOKUP(AN413, amb_control, 2, 0)+Tablas!$E$9*VLOOKUP(AO413, ejec_control, 2, 0)+Tablas!$G$9*VLOOKUP(AP413, cub_control, 2, 0))*0.1*peso_ejec, "")</f>
        <v/>
      </c>
      <c r="AR413" s="91" t="str">
        <f t="shared" si="702"/>
        <v/>
      </c>
      <c r="AS413" s="85" t="str">
        <f t="shared" si="694"/>
        <v/>
      </c>
      <c r="AT413" s="85" t="str">
        <f t="shared" si="695"/>
        <v/>
      </c>
      <c r="AU413" s="85" t="str">
        <f>IF(AR413&lt;Tablas!$G$19, 0, IF(AND(AR413&gt;=Tablas!$G$19, AR413&lt;Tablas!$G$20), 1,  IF(AND(AR413&gt;=Tablas!$G$20, AR413&lt;Tablas!$G$21), 2,  IF(AND(AR413&gt;=Tablas!$G$21, AR413&lt;=Tablas!$G$22), 3,  ""))))</f>
        <v/>
      </c>
      <c r="AV413" s="85" t="str">
        <f t="shared" si="703"/>
        <v/>
      </c>
      <c r="AW413" s="101" t="str">
        <f t="shared" si="704"/>
        <v/>
      </c>
      <c r="AX413" s="177"/>
      <c r="AY413" s="169"/>
      <c r="AZ413" s="158"/>
      <c r="BA413" s="169"/>
      <c r="BB413" s="182"/>
      <c r="BC413" s="182"/>
      <c r="BD413" s="185"/>
      <c r="BE413" s="185"/>
      <c r="BF413" s="158" t="str">
        <f t="shared" si="709"/>
        <v/>
      </c>
      <c r="BG413" s="191"/>
    </row>
    <row r="414" spans="1:59" x14ac:dyDescent="0.25">
      <c r="A414" s="167"/>
      <c r="B414" s="167"/>
      <c r="C414" s="161"/>
      <c r="D414" s="160"/>
      <c r="E414" s="162"/>
      <c r="F414" s="164"/>
      <c r="G414" s="161"/>
      <c r="H414" s="161"/>
      <c r="I414" s="161"/>
      <c r="J414" s="161"/>
      <c r="K414" s="161"/>
      <c r="L414" s="166"/>
      <c r="M414" s="166"/>
      <c r="N414" s="166"/>
      <c r="O414" s="166"/>
      <c r="P414" s="166"/>
      <c r="Q414" s="166"/>
      <c r="R414" s="166"/>
      <c r="S414" s="167"/>
      <c r="T414" s="167"/>
      <c r="U414" s="167"/>
      <c r="V414" s="167"/>
      <c r="W414" s="167"/>
      <c r="X414" s="164"/>
      <c r="Y414" s="164"/>
      <c r="Z414" s="172"/>
      <c r="AA414" s="188"/>
      <c r="AB414" s="172"/>
      <c r="AC414" s="172"/>
      <c r="AD414" s="175"/>
      <c r="AE414" s="62" t="s">
        <v>115</v>
      </c>
      <c r="AF414" s="133"/>
      <c r="AG414" s="65"/>
      <c r="AH414" s="64"/>
      <c r="AI414" s="64"/>
      <c r="AJ414" s="64"/>
      <c r="AK414" s="64"/>
      <c r="AL414" s="64"/>
      <c r="AM414" s="80" t="str">
        <f>IFERROR((Tablas!$C$1*VLOOKUP(AH414, tipo_control, 2, 0)+Tablas!$E$1*VLOOKUP(AI414, nat_control, 2, 0)+Tablas!$G$1*VLOOKUP(AJ414, ev_control, 2, 0)+Tablas!$I$1*VLOOKUP(AK414, frec_control, 2, 0)+Tablas!$K$1*VLOOKUP(AL414, doc_control, 2, 0))*0.1*peso_dis, "")</f>
        <v/>
      </c>
      <c r="AN414" s="64"/>
      <c r="AO414" s="64"/>
      <c r="AP414" s="64"/>
      <c r="AQ414" s="80" t="str">
        <f>IFERROR((Tablas!$C$9*VLOOKUP(AN414, amb_control, 2, 0)+Tablas!$E$9*VLOOKUP(AO414, ejec_control, 2, 0)+Tablas!$G$9*VLOOKUP(AP414, cub_control, 2, 0))*0.1*peso_ejec, "")</f>
        <v/>
      </c>
      <c r="AR414" s="91" t="str">
        <f t="shared" si="702"/>
        <v/>
      </c>
      <c r="AS414" s="85" t="str">
        <f t="shared" si="694"/>
        <v/>
      </c>
      <c r="AT414" s="85" t="str">
        <f t="shared" si="695"/>
        <v/>
      </c>
      <c r="AU414" s="85" t="str">
        <f>IF(AR414&lt;Tablas!$G$19, 0, IF(AND(AR414&gt;=Tablas!$G$19, AR414&lt;Tablas!$G$20), 1,  IF(AND(AR414&gt;=Tablas!$G$20, AR414&lt;Tablas!$G$21), 2,  IF(AND(AR414&gt;=Tablas!$G$21, AR414&lt;=Tablas!$G$22), 3,  ""))))</f>
        <v/>
      </c>
      <c r="AV414" s="85" t="str">
        <f t="shared" si="703"/>
        <v/>
      </c>
      <c r="AW414" s="101" t="str">
        <f t="shared" si="704"/>
        <v/>
      </c>
      <c r="AX414" s="177"/>
      <c r="AY414" s="169"/>
      <c r="AZ414" s="158"/>
      <c r="BA414" s="169"/>
      <c r="BB414" s="182"/>
      <c r="BC414" s="182"/>
      <c r="BD414" s="185"/>
      <c r="BE414" s="185"/>
      <c r="BF414" s="158" t="str">
        <f t="shared" si="709"/>
        <v/>
      </c>
      <c r="BG414" s="191"/>
    </row>
    <row r="415" spans="1:59" x14ac:dyDescent="0.25">
      <c r="A415" s="167"/>
      <c r="B415" s="167"/>
      <c r="C415" s="161"/>
      <c r="D415" s="160"/>
      <c r="E415" s="162"/>
      <c r="F415" s="164"/>
      <c r="G415" s="161"/>
      <c r="H415" s="161"/>
      <c r="I415" s="161"/>
      <c r="J415" s="161"/>
      <c r="K415" s="161"/>
      <c r="L415" s="166"/>
      <c r="M415" s="166"/>
      <c r="N415" s="166"/>
      <c r="O415" s="166"/>
      <c r="P415" s="166"/>
      <c r="Q415" s="166"/>
      <c r="R415" s="166"/>
      <c r="S415" s="167"/>
      <c r="T415" s="167"/>
      <c r="U415" s="167"/>
      <c r="V415" s="167"/>
      <c r="W415" s="167"/>
      <c r="X415" s="164"/>
      <c r="Y415" s="164"/>
      <c r="Z415" s="172"/>
      <c r="AA415" s="188"/>
      <c r="AB415" s="172"/>
      <c r="AC415" s="172"/>
      <c r="AD415" s="175"/>
      <c r="AE415" s="62" t="s">
        <v>153</v>
      </c>
      <c r="AF415" s="133"/>
      <c r="AG415" s="65"/>
      <c r="AH415" s="64"/>
      <c r="AI415" s="64"/>
      <c r="AJ415" s="64"/>
      <c r="AK415" s="64"/>
      <c r="AL415" s="64"/>
      <c r="AM415" s="80" t="str">
        <f>IFERROR((Tablas!$C$1*VLOOKUP(AH415, tipo_control, 2, 0)+Tablas!$E$1*VLOOKUP(AI415, nat_control, 2, 0)+Tablas!$G$1*VLOOKUP(AJ415, ev_control, 2, 0)+Tablas!$I$1*VLOOKUP(AK415, frec_control, 2, 0)+Tablas!$K$1*VLOOKUP(AL415, doc_control, 2, 0))*0.1*peso_dis, "")</f>
        <v/>
      </c>
      <c r="AN415" s="64"/>
      <c r="AO415" s="64"/>
      <c r="AP415" s="64"/>
      <c r="AQ415" s="80" t="str">
        <f>IFERROR((Tablas!$C$9*VLOOKUP(AN415, amb_control, 2, 0)+Tablas!$E$9*VLOOKUP(AO415, ejec_control, 2, 0)+Tablas!$G$9*VLOOKUP(AP415, cub_control, 2, 0))*0.1*peso_ejec, "")</f>
        <v/>
      </c>
      <c r="AR415" s="91" t="str">
        <f t="shared" si="702"/>
        <v/>
      </c>
      <c r="AS415" s="85" t="str">
        <f t="shared" si="694"/>
        <v/>
      </c>
      <c r="AT415" s="85" t="str">
        <f t="shared" si="695"/>
        <v/>
      </c>
      <c r="AU415" s="85" t="str">
        <f>IF(AR415&lt;Tablas!$G$19, 0, IF(AND(AR415&gt;=Tablas!$G$19, AR415&lt;Tablas!$G$20), 1,  IF(AND(AR415&gt;=Tablas!$G$20, AR415&lt;Tablas!$G$21), 2,  IF(AND(AR415&gt;=Tablas!$G$21, AR415&lt;=Tablas!$G$22), 3,  ""))))</f>
        <v/>
      </c>
      <c r="AV415" s="85" t="str">
        <f t="shared" si="703"/>
        <v/>
      </c>
      <c r="AW415" s="101" t="str">
        <f t="shared" si="704"/>
        <v/>
      </c>
      <c r="AX415" s="177"/>
      <c r="AY415" s="169"/>
      <c r="AZ415" s="158"/>
      <c r="BA415" s="169"/>
      <c r="BB415" s="182"/>
      <c r="BC415" s="182"/>
      <c r="BD415" s="185"/>
      <c r="BE415" s="185"/>
      <c r="BF415" s="158"/>
      <c r="BG415" s="191"/>
    </row>
    <row r="416" spans="1:59" ht="15.75" thickBot="1" x14ac:dyDescent="0.3">
      <c r="A416" s="167"/>
      <c r="B416" s="167"/>
      <c r="C416" s="161"/>
      <c r="D416" s="160"/>
      <c r="E416" s="162"/>
      <c r="F416" s="165"/>
      <c r="G416" s="161"/>
      <c r="H416" s="161"/>
      <c r="I416" s="161"/>
      <c r="J416" s="161"/>
      <c r="K416" s="161"/>
      <c r="L416" s="166"/>
      <c r="M416" s="166"/>
      <c r="N416" s="166"/>
      <c r="O416" s="166"/>
      <c r="P416" s="166"/>
      <c r="Q416" s="166"/>
      <c r="R416" s="166"/>
      <c r="S416" s="149"/>
      <c r="T416" s="149"/>
      <c r="U416" s="149"/>
      <c r="V416" s="149"/>
      <c r="W416" s="149"/>
      <c r="X416" s="165"/>
      <c r="Y416" s="165"/>
      <c r="Z416" s="172"/>
      <c r="AA416" s="188"/>
      <c r="AB416" s="172"/>
      <c r="AC416" s="172"/>
      <c r="AD416" s="175"/>
      <c r="AE416" s="66" t="s">
        <v>154</v>
      </c>
      <c r="AF416" s="134"/>
      <c r="AG416" s="67"/>
      <c r="AH416" s="69"/>
      <c r="AI416" s="69"/>
      <c r="AJ416" s="69"/>
      <c r="AK416" s="69"/>
      <c r="AL416" s="69"/>
      <c r="AM416" s="81" t="str">
        <f>IFERROR((Tablas!$C$1*VLOOKUP(AH416, tipo_control, 2, 0)+Tablas!$E$1*VLOOKUP(AI416, nat_control, 2, 0)+Tablas!$G$1*VLOOKUP(AJ416, ev_control, 2, 0)+Tablas!$I$1*VLOOKUP(AK416, frec_control, 2, 0)+Tablas!$K$1*VLOOKUP(AL416, doc_control, 2, 0))*0.1*peso_dis, "")</f>
        <v/>
      </c>
      <c r="AN416" s="69"/>
      <c r="AO416" s="69"/>
      <c r="AP416" s="69"/>
      <c r="AQ416" s="81" t="str">
        <f>IFERROR((Tablas!$C$9*VLOOKUP(AN416, amb_control, 2, 0)+Tablas!$E$9*VLOOKUP(AO416, ejec_control, 2, 0)+Tablas!$G$9*VLOOKUP(AP416, cub_control, 2, 0))*0.1*peso_ejec, "")</f>
        <v/>
      </c>
      <c r="AR416" s="93" t="str">
        <f t="shared" si="702"/>
        <v/>
      </c>
      <c r="AS416" s="94" t="str">
        <f t="shared" si="694"/>
        <v/>
      </c>
      <c r="AT416" s="94" t="str">
        <f t="shared" si="695"/>
        <v/>
      </c>
      <c r="AU416" s="94" t="str">
        <f>IF(AR416&lt;Tablas!$G$19, 0, IF(AND(AR416&gt;=Tablas!$G$19, AR416&lt;Tablas!$G$20), 1,  IF(AND(AR416&gt;=Tablas!$G$20, AR416&lt;Tablas!$G$21), 2,  IF(AND(AR416&gt;=Tablas!$G$21, AR416&lt;=Tablas!$G$22), 3,  ""))))</f>
        <v/>
      </c>
      <c r="AV416" s="94" t="str">
        <f t="shared" si="703"/>
        <v/>
      </c>
      <c r="AW416" s="102" t="str">
        <f t="shared" si="704"/>
        <v/>
      </c>
      <c r="AX416" s="157"/>
      <c r="AY416" s="170"/>
      <c r="AZ416" s="179"/>
      <c r="BA416" s="170"/>
      <c r="BB416" s="182"/>
      <c r="BC416" s="182"/>
      <c r="BD416" s="185"/>
      <c r="BE416" s="185"/>
      <c r="BF416" s="159"/>
      <c r="BG416" s="191"/>
    </row>
    <row r="417" spans="1:59" x14ac:dyDescent="0.25">
      <c r="A417" s="167"/>
      <c r="B417" s="167"/>
      <c r="C417" s="161" t="s">
        <v>16</v>
      </c>
      <c r="D417" s="160" t="s">
        <v>158</v>
      </c>
      <c r="E417" s="162"/>
      <c r="F417" s="163" t="str">
        <f t="shared" si="676"/>
        <v/>
      </c>
      <c r="G417" s="149"/>
      <c r="H417" s="149"/>
      <c r="I417" s="149"/>
      <c r="J417" s="149"/>
      <c r="K417" s="149"/>
      <c r="L417" s="165" t="str">
        <f>IFERROR(VLOOKUP(G417, tabla02, 2, 0), "")</f>
        <v/>
      </c>
      <c r="M417" s="165" t="str">
        <f>IFERROR(VLOOKUP(H417, tabla02, 2, 0), "")</f>
        <v/>
      </c>
      <c r="N417" s="165" t="str">
        <f>IFERROR(VLOOKUP(I417, tabla02, 2, 0), "")</f>
        <v/>
      </c>
      <c r="O417" s="165" t="str">
        <f>IFERROR(VLOOKUP(J417, tabla02, 2, 0), "")</f>
        <v/>
      </c>
      <c r="P417" s="165" t="str">
        <f>IFERROR(VLOOKUP(K417, tabla02, 2, 0), "")</f>
        <v/>
      </c>
      <c r="Q417" s="165" t="str">
        <f t="shared" ref="Q417" si="710">IF(SUM(L417:O421)=0, "", MAX(L417:P417))</f>
        <v/>
      </c>
      <c r="R417" s="165" t="str">
        <f>IFERROR(VLOOKUP(Q417, tabla04, 3, 0), "")</f>
        <v/>
      </c>
      <c r="S417" s="148"/>
      <c r="T417" s="148"/>
      <c r="U417" s="148"/>
      <c r="V417" s="148"/>
      <c r="W417" s="148"/>
      <c r="X417" s="163" t="str">
        <f>IFERROR(VLOOKUP(CONCATENATE(F417, "-", Q417), cuadrante_sev, 3, 0), "")</f>
        <v/>
      </c>
      <c r="Y417" s="163" t="str">
        <f t="shared" ref="Y417" si="711">IFERROR(IF(X417="Baja", 1, IF(X417="Moderada", 2, IF(X417="Alta", 3, IF(X417="Extrema", 4, "")))), "")</f>
        <v/>
      </c>
      <c r="Z417" s="172"/>
      <c r="AA417" s="188"/>
      <c r="AB417" s="172"/>
      <c r="AC417" s="172"/>
      <c r="AD417" s="175"/>
      <c r="AE417" s="70" t="s">
        <v>113</v>
      </c>
      <c r="AF417" s="135"/>
      <c r="AG417" s="77"/>
      <c r="AH417" s="61"/>
      <c r="AI417" s="61"/>
      <c r="AJ417" s="61"/>
      <c r="AK417" s="61"/>
      <c r="AL417" s="61"/>
      <c r="AM417" s="82" t="str">
        <f>IFERROR((Tablas!$C$1*VLOOKUP(AH417, tipo_control, 2, 0)+Tablas!$E$1*VLOOKUP(AI417, nat_control, 2, 0)+Tablas!$G$1*VLOOKUP(AJ417, ev_control, 2, 0)+Tablas!$I$1*VLOOKUP(AK417, frec_control, 2, 0)+Tablas!$K$1*VLOOKUP(AL417, doc_control, 2, 0))*0.1*peso_dis, "")</f>
        <v/>
      </c>
      <c r="AN417" s="61"/>
      <c r="AO417" s="61"/>
      <c r="AP417" s="61"/>
      <c r="AQ417" s="82" t="str">
        <f>IFERROR((Tablas!$C$9*VLOOKUP(AN417, amb_control, 2, 0)+Tablas!$E$9*VLOOKUP(AO417, ejec_control, 2, 0)+Tablas!$G$9*VLOOKUP(AP417, cub_control, 2, 0))*0.1*peso_ejec, "")</f>
        <v/>
      </c>
      <c r="AR417" s="96" t="str">
        <f t="shared" si="702"/>
        <v/>
      </c>
      <c r="AS417" s="97" t="str">
        <f t="shared" si="694"/>
        <v/>
      </c>
      <c r="AT417" s="87" t="str">
        <f t="shared" si="695"/>
        <v/>
      </c>
      <c r="AU417" s="97" t="str">
        <f>IF(AR417&lt;Tablas!$G$19, 0, IF(AND(AR417&gt;=Tablas!$G$19, AR417&lt;Tablas!$G$20), 1,  IF(AND(AR417&gt;=Tablas!$G$20, AR417&lt;Tablas!$G$21), 2,  IF(AND(AR417&gt;=Tablas!$G$21, AR417&lt;=Tablas!$G$22), 3,  ""))))</f>
        <v/>
      </c>
      <c r="AV417" s="97" t="str">
        <f t="shared" si="703"/>
        <v/>
      </c>
      <c r="AW417" s="103" t="str">
        <f t="shared" si="704"/>
        <v/>
      </c>
      <c r="AX417" s="176" t="str">
        <f t="shared" ref="AX417" si="712">IFERROR(VLOOKUP(AY417, tabla04, 2, 0), "")</f>
        <v/>
      </c>
      <c r="AY417" s="168" t="str">
        <f>IF(F417="", "", IF((F417-MAX(AV417:AV421))&lt;=0, 1, F417-MAX(AV417:AV421)))</f>
        <v/>
      </c>
      <c r="AZ417" s="178" t="str">
        <f t="shared" ref="AZ417" si="713">IFERROR(VLOOKUP(BA417, tabla04, 3, 0), "")</f>
        <v/>
      </c>
      <c r="BA417" s="168" t="str">
        <f>IF(Q417="", "", IF((Q417-MAX(AW417:AW421))&lt;=0, 1, Q417-MAX(AW417:AW421)))</f>
        <v/>
      </c>
      <c r="BB417" s="182"/>
      <c r="BC417" s="182"/>
      <c r="BD417" s="185"/>
      <c r="BE417" s="185"/>
      <c r="BF417" s="158" t="str">
        <f t="shared" ref="BF417:BF419" si="714">IFERROR(VLOOKUP(CONCATENATE(AY417, "-", BA417), cuadrante_sev, 3, 0), "")</f>
        <v/>
      </c>
      <c r="BG417" s="191"/>
    </row>
    <row r="418" spans="1:59" x14ac:dyDescent="0.25">
      <c r="A418" s="167"/>
      <c r="B418" s="167"/>
      <c r="C418" s="161"/>
      <c r="D418" s="160"/>
      <c r="E418" s="162"/>
      <c r="F418" s="164"/>
      <c r="G418" s="161"/>
      <c r="H418" s="161"/>
      <c r="I418" s="161"/>
      <c r="J418" s="161"/>
      <c r="K418" s="161"/>
      <c r="L418" s="166"/>
      <c r="M418" s="166"/>
      <c r="N418" s="166"/>
      <c r="O418" s="166"/>
      <c r="P418" s="166"/>
      <c r="Q418" s="166"/>
      <c r="R418" s="166"/>
      <c r="S418" s="167"/>
      <c r="T418" s="167"/>
      <c r="U418" s="167"/>
      <c r="V418" s="167"/>
      <c r="W418" s="167"/>
      <c r="X418" s="164"/>
      <c r="Y418" s="164"/>
      <c r="Z418" s="172"/>
      <c r="AA418" s="188"/>
      <c r="AB418" s="172"/>
      <c r="AC418" s="172"/>
      <c r="AD418" s="175"/>
      <c r="AE418" s="62" t="s">
        <v>114</v>
      </c>
      <c r="AF418" s="133"/>
      <c r="AG418" s="65"/>
      <c r="AH418" s="64"/>
      <c r="AI418" s="64"/>
      <c r="AJ418" s="64"/>
      <c r="AK418" s="64"/>
      <c r="AL418" s="64"/>
      <c r="AM418" s="80" t="str">
        <f>IFERROR((Tablas!$C$1*VLOOKUP(AH418, tipo_control, 2, 0)+Tablas!$E$1*VLOOKUP(AI418, nat_control, 2, 0)+Tablas!$G$1*VLOOKUP(AJ418, ev_control, 2, 0)+Tablas!$I$1*VLOOKUP(AK418, frec_control, 2, 0)+Tablas!$K$1*VLOOKUP(AL418, doc_control, 2, 0))*0.1*peso_dis, "")</f>
        <v/>
      </c>
      <c r="AN418" s="64"/>
      <c r="AO418" s="64"/>
      <c r="AP418" s="64"/>
      <c r="AQ418" s="80" t="str">
        <f>IFERROR((Tablas!$C$9*VLOOKUP(AN418, amb_control, 2, 0)+Tablas!$E$9*VLOOKUP(AO418, ejec_control, 2, 0)+Tablas!$G$9*VLOOKUP(AP418, cub_control, 2, 0))*0.1*peso_ejec, "")</f>
        <v/>
      </c>
      <c r="AR418" s="91" t="str">
        <f t="shared" si="702"/>
        <v/>
      </c>
      <c r="AS418" s="85" t="str">
        <f t="shared" si="694"/>
        <v/>
      </c>
      <c r="AT418" s="85" t="str">
        <f t="shared" si="695"/>
        <v/>
      </c>
      <c r="AU418" s="85" t="str">
        <f>IF(AR418&lt;Tablas!$G$19, 0, IF(AND(AR418&gt;=Tablas!$G$19, AR418&lt;Tablas!$G$20), 1,  IF(AND(AR418&gt;=Tablas!$G$20, AR418&lt;Tablas!$G$21), 2,  IF(AND(AR418&gt;=Tablas!$G$21, AR418&lt;=Tablas!$G$22), 3,  ""))))</f>
        <v/>
      </c>
      <c r="AV418" s="85" t="str">
        <f t="shared" si="703"/>
        <v/>
      </c>
      <c r="AW418" s="101" t="str">
        <f t="shared" si="704"/>
        <v/>
      </c>
      <c r="AX418" s="177"/>
      <c r="AY418" s="169"/>
      <c r="AZ418" s="158"/>
      <c r="BA418" s="169"/>
      <c r="BB418" s="182"/>
      <c r="BC418" s="182"/>
      <c r="BD418" s="185"/>
      <c r="BE418" s="185"/>
      <c r="BF418" s="158" t="str">
        <f t="shared" si="714"/>
        <v/>
      </c>
      <c r="BG418" s="191"/>
    </row>
    <row r="419" spans="1:59" x14ac:dyDescent="0.25">
      <c r="A419" s="167"/>
      <c r="B419" s="167"/>
      <c r="C419" s="161"/>
      <c r="D419" s="160"/>
      <c r="E419" s="162"/>
      <c r="F419" s="164"/>
      <c r="G419" s="161"/>
      <c r="H419" s="161"/>
      <c r="I419" s="161"/>
      <c r="J419" s="161"/>
      <c r="K419" s="161"/>
      <c r="L419" s="166"/>
      <c r="M419" s="166"/>
      <c r="N419" s="166"/>
      <c r="O419" s="166"/>
      <c r="P419" s="166"/>
      <c r="Q419" s="166"/>
      <c r="R419" s="166"/>
      <c r="S419" s="167"/>
      <c r="T419" s="167"/>
      <c r="U419" s="167"/>
      <c r="V419" s="167"/>
      <c r="W419" s="167"/>
      <c r="X419" s="164"/>
      <c r="Y419" s="164"/>
      <c r="Z419" s="172"/>
      <c r="AA419" s="188"/>
      <c r="AB419" s="172"/>
      <c r="AC419" s="172"/>
      <c r="AD419" s="175"/>
      <c r="AE419" s="62" t="s">
        <v>115</v>
      </c>
      <c r="AF419" s="133"/>
      <c r="AG419" s="65"/>
      <c r="AH419" s="64"/>
      <c r="AI419" s="64"/>
      <c r="AJ419" s="64"/>
      <c r="AK419" s="64"/>
      <c r="AL419" s="64"/>
      <c r="AM419" s="80" t="str">
        <f>IFERROR((Tablas!$C$1*VLOOKUP(AH419, tipo_control, 2, 0)+Tablas!$E$1*VLOOKUP(AI419, nat_control, 2, 0)+Tablas!$G$1*VLOOKUP(AJ419, ev_control, 2, 0)+Tablas!$I$1*VLOOKUP(AK419, frec_control, 2, 0)+Tablas!$K$1*VLOOKUP(AL419, doc_control, 2, 0))*0.1*peso_dis, "")</f>
        <v/>
      </c>
      <c r="AN419" s="64"/>
      <c r="AO419" s="64"/>
      <c r="AP419" s="64"/>
      <c r="AQ419" s="80" t="str">
        <f>IFERROR((Tablas!$C$9*VLOOKUP(AN419, amb_control, 2, 0)+Tablas!$E$9*VLOOKUP(AO419, ejec_control, 2, 0)+Tablas!$G$9*VLOOKUP(AP419, cub_control, 2, 0))*0.1*peso_ejec, "")</f>
        <v/>
      </c>
      <c r="AR419" s="91" t="str">
        <f t="shared" si="702"/>
        <v/>
      </c>
      <c r="AS419" s="85" t="str">
        <f t="shared" si="694"/>
        <v/>
      </c>
      <c r="AT419" s="85" t="str">
        <f t="shared" si="695"/>
        <v/>
      </c>
      <c r="AU419" s="85" t="str">
        <f>IF(AR419&lt;Tablas!$G$19, 0, IF(AND(AR419&gt;=Tablas!$G$19, AR419&lt;Tablas!$G$20), 1,  IF(AND(AR419&gt;=Tablas!$G$20, AR419&lt;Tablas!$G$21), 2,  IF(AND(AR419&gt;=Tablas!$G$21, AR419&lt;=Tablas!$G$22), 3,  ""))))</f>
        <v/>
      </c>
      <c r="AV419" s="85" t="str">
        <f t="shared" si="703"/>
        <v/>
      </c>
      <c r="AW419" s="101" t="str">
        <f t="shared" si="704"/>
        <v/>
      </c>
      <c r="AX419" s="177"/>
      <c r="AY419" s="169"/>
      <c r="AZ419" s="158"/>
      <c r="BA419" s="169"/>
      <c r="BB419" s="182"/>
      <c r="BC419" s="182"/>
      <c r="BD419" s="185"/>
      <c r="BE419" s="185"/>
      <c r="BF419" s="158" t="str">
        <f t="shared" si="714"/>
        <v/>
      </c>
      <c r="BG419" s="191"/>
    </row>
    <row r="420" spans="1:59" x14ac:dyDescent="0.25">
      <c r="A420" s="167"/>
      <c r="B420" s="167"/>
      <c r="C420" s="161"/>
      <c r="D420" s="160"/>
      <c r="E420" s="162"/>
      <c r="F420" s="164"/>
      <c r="G420" s="161"/>
      <c r="H420" s="161"/>
      <c r="I420" s="161"/>
      <c r="J420" s="161"/>
      <c r="K420" s="161"/>
      <c r="L420" s="166"/>
      <c r="M420" s="166"/>
      <c r="N420" s="166"/>
      <c r="O420" s="166"/>
      <c r="P420" s="166"/>
      <c r="Q420" s="166"/>
      <c r="R420" s="166"/>
      <c r="S420" s="167"/>
      <c r="T420" s="167"/>
      <c r="U420" s="167"/>
      <c r="V420" s="167"/>
      <c r="W420" s="167"/>
      <c r="X420" s="164"/>
      <c r="Y420" s="164"/>
      <c r="Z420" s="172"/>
      <c r="AA420" s="188"/>
      <c r="AB420" s="172"/>
      <c r="AC420" s="172"/>
      <c r="AD420" s="175"/>
      <c r="AE420" s="62" t="s">
        <v>153</v>
      </c>
      <c r="AF420" s="133"/>
      <c r="AG420" s="65"/>
      <c r="AH420" s="64"/>
      <c r="AI420" s="64"/>
      <c r="AJ420" s="64"/>
      <c r="AK420" s="64"/>
      <c r="AL420" s="64"/>
      <c r="AM420" s="80" t="str">
        <f>IFERROR((Tablas!$C$1*VLOOKUP(AH420, tipo_control, 2, 0)+Tablas!$E$1*VLOOKUP(AI420, nat_control, 2, 0)+Tablas!$G$1*VLOOKUP(AJ420, ev_control, 2, 0)+Tablas!$I$1*VLOOKUP(AK420, frec_control, 2, 0)+Tablas!$K$1*VLOOKUP(AL420, doc_control, 2, 0))*0.1*peso_dis, "")</f>
        <v/>
      </c>
      <c r="AN420" s="64"/>
      <c r="AO420" s="64"/>
      <c r="AP420" s="64"/>
      <c r="AQ420" s="80" t="str">
        <f>IFERROR((Tablas!$C$9*VLOOKUP(AN420, amb_control, 2, 0)+Tablas!$E$9*VLOOKUP(AO420, ejec_control, 2, 0)+Tablas!$G$9*VLOOKUP(AP420, cub_control, 2, 0))*0.1*peso_ejec, "")</f>
        <v/>
      </c>
      <c r="AR420" s="91" t="str">
        <f t="shared" si="702"/>
        <v/>
      </c>
      <c r="AS420" s="85" t="str">
        <f t="shared" si="694"/>
        <v/>
      </c>
      <c r="AT420" s="85" t="str">
        <f t="shared" si="695"/>
        <v/>
      </c>
      <c r="AU420" s="85" t="str">
        <f>IF(AR420&lt;Tablas!$G$19, 0, IF(AND(AR420&gt;=Tablas!$G$19, AR420&lt;Tablas!$G$20), 1,  IF(AND(AR420&gt;=Tablas!$G$20, AR420&lt;Tablas!$G$21), 2,  IF(AND(AR420&gt;=Tablas!$G$21, AR420&lt;=Tablas!$G$22), 3,  ""))))</f>
        <v/>
      </c>
      <c r="AV420" s="85" t="str">
        <f t="shared" si="703"/>
        <v/>
      </c>
      <c r="AW420" s="101" t="str">
        <f t="shared" si="704"/>
        <v/>
      </c>
      <c r="AX420" s="177"/>
      <c r="AY420" s="169"/>
      <c r="AZ420" s="158"/>
      <c r="BA420" s="169"/>
      <c r="BB420" s="182"/>
      <c r="BC420" s="182"/>
      <c r="BD420" s="185"/>
      <c r="BE420" s="185"/>
      <c r="BF420" s="158"/>
      <c r="BG420" s="191"/>
    </row>
    <row r="421" spans="1:59" ht="15.75" thickBot="1" x14ac:dyDescent="0.3">
      <c r="A421" s="167"/>
      <c r="B421" s="167"/>
      <c r="C421" s="161"/>
      <c r="D421" s="160"/>
      <c r="E421" s="162"/>
      <c r="F421" s="165"/>
      <c r="G421" s="161"/>
      <c r="H421" s="161"/>
      <c r="I421" s="161"/>
      <c r="J421" s="161"/>
      <c r="K421" s="161"/>
      <c r="L421" s="166"/>
      <c r="M421" s="166"/>
      <c r="N421" s="166"/>
      <c r="O421" s="166"/>
      <c r="P421" s="166"/>
      <c r="Q421" s="166"/>
      <c r="R421" s="166"/>
      <c r="S421" s="149"/>
      <c r="T421" s="149"/>
      <c r="U421" s="149"/>
      <c r="V421" s="149"/>
      <c r="W421" s="149"/>
      <c r="X421" s="165"/>
      <c r="Y421" s="165"/>
      <c r="Z421" s="172"/>
      <c r="AA421" s="188"/>
      <c r="AB421" s="172"/>
      <c r="AC421" s="172"/>
      <c r="AD421" s="175"/>
      <c r="AE421" s="66" t="s">
        <v>154</v>
      </c>
      <c r="AF421" s="134"/>
      <c r="AG421" s="67"/>
      <c r="AH421" s="69"/>
      <c r="AI421" s="69"/>
      <c r="AJ421" s="69"/>
      <c r="AK421" s="69"/>
      <c r="AL421" s="69"/>
      <c r="AM421" s="81" t="str">
        <f>IFERROR((Tablas!$C$1*VLOOKUP(AH421, tipo_control, 2, 0)+Tablas!$E$1*VLOOKUP(AI421, nat_control, 2, 0)+Tablas!$G$1*VLOOKUP(AJ421, ev_control, 2, 0)+Tablas!$I$1*VLOOKUP(AK421, frec_control, 2, 0)+Tablas!$K$1*VLOOKUP(AL421, doc_control, 2, 0))*0.1*peso_dis, "")</f>
        <v/>
      </c>
      <c r="AN421" s="69"/>
      <c r="AO421" s="69"/>
      <c r="AP421" s="69"/>
      <c r="AQ421" s="81" t="str">
        <f>IFERROR((Tablas!$C$9*VLOOKUP(AN421, amb_control, 2, 0)+Tablas!$E$9*VLOOKUP(AO421, ejec_control, 2, 0)+Tablas!$G$9*VLOOKUP(AP421, cub_control, 2, 0))*0.1*peso_ejec, "")</f>
        <v/>
      </c>
      <c r="AR421" s="93" t="str">
        <f t="shared" si="702"/>
        <v/>
      </c>
      <c r="AS421" s="94" t="str">
        <f t="shared" si="694"/>
        <v/>
      </c>
      <c r="AT421" s="94" t="str">
        <f t="shared" si="695"/>
        <v/>
      </c>
      <c r="AU421" s="94" t="str">
        <f>IF(AR421&lt;Tablas!$G$19, 0, IF(AND(AR421&gt;=Tablas!$G$19, AR421&lt;Tablas!$G$20), 1,  IF(AND(AR421&gt;=Tablas!$G$20, AR421&lt;Tablas!$G$21), 2,  IF(AND(AR421&gt;=Tablas!$G$21, AR421&lt;=Tablas!$G$22), 3,  ""))))</f>
        <v/>
      </c>
      <c r="AV421" s="94" t="str">
        <f t="shared" si="703"/>
        <v/>
      </c>
      <c r="AW421" s="102" t="str">
        <f t="shared" si="704"/>
        <v/>
      </c>
      <c r="AX421" s="157"/>
      <c r="AY421" s="170"/>
      <c r="AZ421" s="179"/>
      <c r="BA421" s="170"/>
      <c r="BB421" s="182"/>
      <c r="BC421" s="182"/>
      <c r="BD421" s="185"/>
      <c r="BE421" s="185"/>
      <c r="BF421" s="159"/>
      <c r="BG421" s="191"/>
    </row>
    <row r="422" spans="1:59" x14ac:dyDescent="0.25">
      <c r="A422" s="167"/>
      <c r="B422" s="167"/>
      <c r="C422" s="161" t="s">
        <v>18</v>
      </c>
      <c r="D422" s="160" t="s">
        <v>158</v>
      </c>
      <c r="E422" s="162"/>
      <c r="F422" s="163" t="str">
        <f t="shared" si="676"/>
        <v/>
      </c>
      <c r="G422" s="149"/>
      <c r="H422" s="149"/>
      <c r="I422" s="149"/>
      <c r="J422" s="149"/>
      <c r="K422" s="149"/>
      <c r="L422" s="165" t="str">
        <f t="shared" ref="L422" si="715">IFERROR(VLOOKUP(G422, tabla02, 2, 0), "")</f>
        <v/>
      </c>
      <c r="M422" s="165" t="str">
        <f t="shared" ref="M422" si="716">IFERROR(VLOOKUP(H422, tabla02, 2, 0), "")</f>
        <v/>
      </c>
      <c r="N422" s="165" t="str">
        <f t="shared" ref="N422" si="717">IFERROR(VLOOKUP(I422, tabla02, 2, 0), "")</f>
        <v/>
      </c>
      <c r="O422" s="165" t="str">
        <f t="shared" ref="O422" si="718">IFERROR(VLOOKUP(J422, tabla02, 2, 0), "")</f>
        <v/>
      </c>
      <c r="P422" s="165" t="str">
        <f t="shared" ref="P422" si="719">IFERROR(VLOOKUP(K422, tabla02, 2, 0), "")</f>
        <v/>
      </c>
      <c r="Q422" s="165" t="str">
        <f t="shared" ref="Q422" si="720">IF(SUM(L422:O426)=0, "", MAX(L422:P422))</f>
        <v/>
      </c>
      <c r="R422" s="165" t="str">
        <f>IFERROR(VLOOKUP(Q422, tabla04, 3, 0), "")</f>
        <v/>
      </c>
      <c r="S422" s="148"/>
      <c r="T422" s="148"/>
      <c r="U422" s="148"/>
      <c r="V422" s="148"/>
      <c r="W422" s="148"/>
      <c r="X422" s="163" t="str">
        <f>IFERROR(VLOOKUP(CONCATENATE(F422, "-", Q422), cuadrante_sev, 3, 0), "")</f>
        <v/>
      </c>
      <c r="Y422" s="163" t="str">
        <f t="shared" ref="Y422" si="721">IFERROR(IF(X422="Baja", 1, IF(X422="Moderada", 2, IF(X422="Alta", 3, IF(X422="Extrema", 4, "")))), "")</f>
        <v/>
      </c>
      <c r="Z422" s="172"/>
      <c r="AA422" s="188"/>
      <c r="AB422" s="172"/>
      <c r="AC422" s="172"/>
      <c r="AD422" s="175"/>
      <c r="AE422" s="70" t="s">
        <v>113</v>
      </c>
      <c r="AF422" s="135"/>
      <c r="AG422" s="77"/>
      <c r="AH422" s="61"/>
      <c r="AI422" s="61"/>
      <c r="AJ422" s="61"/>
      <c r="AK422" s="61"/>
      <c r="AL422" s="61"/>
      <c r="AM422" s="82" t="str">
        <f>IFERROR((Tablas!$C$1*VLOOKUP(AH422, tipo_control, 2, 0)+Tablas!$E$1*VLOOKUP(AI422, nat_control, 2, 0)+Tablas!$G$1*VLOOKUP(AJ422, ev_control, 2, 0)+Tablas!$I$1*VLOOKUP(AK422, frec_control, 2, 0)+Tablas!$K$1*VLOOKUP(AL422, doc_control, 2, 0))*0.1*peso_dis, "")</f>
        <v/>
      </c>
      <c r="AN422" s="61"/>
      <c r="AO422" s="61"/>
      <c r="AP422" s="61"/>
      <c r="AQ422" s="82" t="str">
        <f>IFERROR((Tablas!$C$9*VLOOKUP(AN422, amb_control, 2, 0)+Tablas!$E$9*VLOOKUP(AO422, ejec_control, 2, 0)+Tablas!$G$9*VLOOKUP(AP422, cub_control, 2, 0))*0.1*peso_ejec, "")</f>
        <v/>
      </c>
      <c r="AR422" s="96" t="str">
        <f t="shared" si="702"/>
        <v/>
      </c>
      <c r="AS422" s="97" t="str">
        <f t="shared" si="694"/>
        <v/>
      </c>
      <c r="AT422" s="87" t="str">
        <f t="shared" si="695"/>
        <v/>
      </c>
      <c r="AU422" s="97" t="str">
        <f>IF(AR422&lt;Tablas!$G$19, 0, IF(AND(AR422&gt;=Tablas!$G$19, AR422&lt;Tablas!$G$20), 1,  IF(AND(AR422&gt;=Tablas!$G$20, AR422&lt;Tablas!$G$21), 2,  IF(AND(AR422&gt;=Tablas!$G$21, AR422&lt;=Tablas!$G$22), 3,  ""))))</f>
        <v/>
      </c>
      <c r="AV422" s="97" t="str">
        <f t="shared" si="703"/>
        <v/>
      </c>
      <c r="AW422" s="103" t="str">
        <f t="shared" si="704"/>
        <v/>
      </c>
      <c r="AX422" s="176" t="str">
        <f t="shared" ref="AX422" si="722">IFERROR(VLOOKUP(AY422, tabla04, 2, 0), "")</f>
        <v/>
      </c>
      <c r="AY422" s="168" t="str">
        <f>IF(F422="", "", IF((F422-MAX(AV422:AV426))&lt;=0, 1, F422-MAX(AV422:AV426)))</f>
        <v/>
      </c>
      <c r="AZ422" s="178" t="str">
        <f t="shared" ref="AZ422" si="723">IFERROR(VLOOKUP(BA422, tabla04, 3, 0), "")</f>
        <v/>
      </c>
      <c r="BA422" s="168" t="str">
        <f>IF(Q422="", "", IF((Q422-MAX(AW422:AW426))&lt;=0, 1, Q422-MAX(AW422:AW426)))</f>
        <v/>
      </c>
      <c r="BB422" s="182"/>
      <c r="BC422" s="182"/>
      <c r="BD422" s="185"/>
      <c r="BE422" s="185"/>
      <c r="BF422" s="158" t="str">
        <f t="shared" ref="BF422:BF424" si="724">IFERROR(VLOOKUP(CONCATENATE(AY422, "-", BA422), cuadrante_sev, 3, 0), "")</f>
        <v/>
      </c>
      <c r="BG422" s="191"/>
    </row>
    <row r="423" spans="1:59" x14ac:dyDescent="0.25">
      <c r="A423" s="167"/>
      <c r="B423" s="167"/>
      <c r="C423" s="161"/>
      <c r="D423" s="160"/>
      <c r="E423" s="162"/>
      <c r="F423" s="164"/>
      <c r="G423" s="161"/>
      <c r="H423" s="161"/>
      <c r="I423" s="161"/>
      <c r="J423" s="161"/>
      <c r="K423" s="161"/>
      <c r="L423" s="166"/>
      <c r="M423" s="166"/>
      <c r="N423" s="166"/>
      <c r="O423" s="166"/>
      <c r="P423" s="166"/>
      <c r="Q423" s="166"/>
      <c r="R423" s="166"/>
      <c r="S423" s="167"/>
      <c r="T423" s="167"/>
      <c r="U423" s="167"/>
      <c r="V423" s="167"/>
      <c r="W423" s="167"/>
      <c r="X423" s="164"/>
      <c r="Y423" s="164"/>
      <c r="Z423" s="172"/>
      <c r="AA423" s="188"/>
      <c r="AB423" s="172"/>
      <c r="AC423" s="172"/>
      <c r="AD423" s="175"/>
      <c r="AE423" s="62" t="s">
        <v>114</v>
      </c>
      <c r="AF423" s="133"/>
      <c r="AG423" s="65"/>
      <c r="AH423" s="64"/>
      <c r="AI423" s="64"/>
      <c r="AJ423" s="64"/>
      <c r="AK423" s="64"/>
      <c r="AL423" s="64"/>
      <c r="AM423" s="80" t="str">
        <f>IFERROR((Tablas!$C$1*VLOOKUP(AH423, tipo_control, 2, 0)+Tablas!$E$1*VLOOKUP(AI423, nat_control, 2, 0)+Tablas!$G$1*VLOOKUP(AJ423, ev_control, 2, 0)+Tablas!$I$1*VLOOKUP(AK423, frec_control, 2, 0)+Tablas!$K$1*VLOOKUP(AL423, doc_control, 2, 0))*0.1*peso_dis, "")</f>
        <v/>
      </c>
      <c r="AN423" s="64"/>
      <c r="AO423" s="64"/>
      <c r="AP423" s="64"/>
      <c r="AQ423" s="80" t="str">
        <f>IFERROR((Tablas!$C$9*VLOOKUP(AN423, amb_control, 2, 0)+Tablas!$E$9*VLOOKUP(AO423, ejec_control, 2, 0)+Tablas!$G$9*VLOOKUP(AP423, cub_control, 2, 0))*0.1*peso_ejec, "")</f>
        <v/>
      </c>
      <c r="AR423" s="91" t="str">
        <f t="shared" si="702"/>
        <v/>
      </c>
      <c r="AS423" s="85" t="str">
        <f t="shared" si="694"/>
        <v/>
      </c>
      <c r="AT423" s="85" t="str">
        <f t="shared" si="695"/>
        <v/>
      </c>
      <c r="AU423" s="85" t="str">
        <f>IF(AR423&lt;Tablas!$G$19, 0, IF(AND(AR423&gt;=Tablas!$G$19, AR423&lt;Tablas!$G$20), 1,  IF(AND(AR423&gt;=Tablas!$G$20, AR423&lt;Tablas!$G$21), 2,  IF(AND(AR423&gt;=Tablas!$G$21, AR423&lt;=Tablas!$G$22), 3,  ""))))</f>
        <v/>
      </c>
      <c r="AV423" s="85" t="str">
        <f t="shared" si="703"/>
        <v/>
      </c>
      <c r="AW423" s="101" t="str">
        <f t="shared" si="704"/>
        <v/>
      </c>
      <c r="AX423" s="177"/>
      <c r="AY423" s="169"/>
      <c r="AZ423" s="158"/>
      <c r="BA423" s="169"/>
      <c r="BB423" s="182"/>
      <c r="BC423" s="182"/>
      <c r="BD423" s="185"/>
      <c r="BE423" s="185"/>
      <c r="BF423" s="158" t="str">
        <f t="shared" si="724"/>
        <v/>
      </c>
      <c r="BG423" s="191"/>
    </row>
    <row r="424" spans="1:59" x14ac:dyDescent="0.25">
      <c r="A424" s="167"/>
      <c r="B424" s="167"/>
      <c r="C424" s="161"/>
      <c r="D424" s="160"/>
      <c r="E424" s="162"/>
      <c r="F424" s="164"/>
      <c r="G424" s="161"/>
      <c r="H424" s="161"/>
      <c r="I424" s="161"/>
      <c r="J424" s="161"/>
      <c r="K424" s="161"/>
      <c r="L424" s="166"/>
      <c r="M424" s="166"/>
      <c r="N424" s="166"/>
      <c r="O424" s="166"/>
      <c r="P424" s="166"/>
      <c r="Q424" s="166"/>
      <c r="R424" s="166"/>
      <c r="S424" s="167"/>
      <c r="T424" s="167"/>
      <c r="U424" s="167"/>
      <c r="V424" s="167"/>
      <c r="W424" s="167"/>
      <c r="X424" s="164"/>
      <c r="Y424" s="164"/>
      <c r="Z424" s="172"/>
      <c r="AA424" s="188"/>
      <c r="AB424" s="172"/>
      <c r="AC424" s="172"/>
      <c r="AD424" s="175"/>
      <c r="AE424" s="62" t="s">
        <v>115</v>
      </c>
      <c r="AF424" s="133"/>
      <c r="AG424" s="65"/>
      <c r="AH424" s="64"/>
      <c r="AI424" s="64"/>
      <c r="AJ424" s="64"/>
      <c r="AK424" s="64"/>
      <c r="AL424" s="64"/>
      <c r="AM424" s="80" t="str">
        <f>IFERROR((Tablas!$C$1*VLOOKUP(AH424, tipo_control, 2, 0)+Tablas!$E$1*VLOOKUP(AI424, nat_control, 2, 0)+Tablas!$G$1*VLOOKUP(AJ424, ev_control, 2, 0)+Tablas!$I$1*VLOOKUP(AK424, frec_control, 2, 0)+Tablas!$K$1*VLOOKUP(AL424, doc_control, 2, 0))*0.1*peso_dis, "")</f>
        <v/>
      </c>
      <c r="AN424" s="64"/>
      <c r="AO424" s="64"/>
      <c r="AP424" s="64"/>
      <c r="AQ424" s="80" t="str">
        <f>IFERROR((Tablas!$C$9*VLOOKUP(AN424, amb_control, 2, 0)+Tablas!$E$9*VLOOKUP(AO424, ejec_control, 2, 0)+Tablas!$G$9*VLOOKUP(AP424, cub_control, 2, 0))*0.1*peso_ejec, "")</f>
        <v/>
      </c>
      <c r="AR424" s="91" t="str">
        <f t="shared" si="702"/>
        <v/>
      </c>
      <c r="AS424" s="85" t="str">
        <f t="shared" si="694"/>
        <v/>
      </c>
      <c r="AT424" s="85" t="str">
        <f t="shared" si="695"/>
        <v/>
      </c>
      <c r="AU424" s="85" t="str">
        <f>IF(AR424&lt;Tablas!$G$19, 0, IF(AND(AR424&gt;=Tablas!$G$19, AR424&lt;Tablas!$G$20), 1,  IF(AND(AR424&gt;=Tablas!$G$20, AR424&lt;Tablas!$G$21), 2,  IF(AND(AR424&gt;=Tablas!$G$21, AR424&lt;=Tablas!$G$22), 3,  ""))))</f>
        <v/>
      </c>
      <c r="AV424" s="85" t="str">
        <f t="shared" si="703"/>
        <v/>
      </c>
      <c r="AW424" s="101" t="str">
        <f t="shared" si="704"/>
        <v/>
      </c>
      <c r="AX424" s="177"/>
      <c r="AY424" s="169"/>
      <c r="AZ424" s="158"/>
      <c r="BA424" s="169"/>
      <c r="BB424" s="182"/>
      <c r="BC424" s="182"/>
      <c r="BD424" s="185"/>
      <c r="BE424" s="185"/>
      <c r="BF424" s="158" t="str">
        <f t="shared" si="724"/>
        <v/>
      </c>
      <c r="BG424" s="191"/>
    </row>
    <row r="425" spans="1:59" x14ac:dyDescent="0.25">
      <c r="A425" s="167"/>
      <c r="B425" s="167"/>
      <c r="C425" s="161"/>
      <c r="D425" s="160"/>
      <c r="E425" s="162"/>
      <c r="F425" s="164"/>
      <c r="G425" s="161"/>
      <c r="H425" s="161"/>
      <c r="I425" s="161"/>
      <c r="J425" s="161"/>
      <c r="K425" s="161"/>
      <c r="L425" s="166"/>
      <c r="M425" s="166"/>
      <c r="N425" s="166"/>
      <c r="O425" s="166"/>
      <c r="P425" s="166"/>
      <c r="Q425" s="166"/>
      <c r="R425" s="166"/>
      <c r="S425" s="167"/>
      <c r="T425" s="167"/>
      <c r="U425" s="167"/>
      <c r="V425" s="167"/>
      <c r="W425" s="167"/>
      <c r="X425" s="164"/>
      <c r="Y425" s="164"/>
      <c r="Z425" s="172"/>
      <c r="AA425" s="188"/>
      <c r="AB425" s="172"/>
      <c r="AC425" s="172"/>
      <c r="AD425" s="175"/>
      <c r="AE425" s="62" t="s">
        <v>153</v>
      </c>
      <c r="AF425" s="133"/>
      <c r="AG425" s="65"/>
      <c r="AH425" s="64"/>
      <c r="AI425" s="64"/>
      <c r="AJ425" s="64"/>
      <c r="AK425" s="64"/>
      <c r="AL425" s="64"/>
      <c r="AM425" s="80" t="str">
        <f>IFERROR((Tablas!$C$1*VLOOKUP(AH425, tipo_control, 2, 0)+Tablas!$E$1*VLOOKUP(AI425, nat_control, 2, 0)+Tablas!$G$1*VLOOKUP(AJ425, ev_control, 2, 0)+Tablas!$I$1*VLOOKUP(AK425, frec_control, 2, 0)+Tablas!$K$1*VLOOKUP(AL425, doc_control, 2, 0))*0.1*peso_dis, "")</f>
        <v/>
      </c>
      <c r="AN425" s="64"/>
      <c r="AO425" s="64"/>
      <c r="AP425" s="64"/>
      <c r="AQ425" s="80" t="str">
        <f>IFERROR((Tablas!$C$9*VLOOKUP(AN425, amb_control, 2, 0)+Tablas!$E$9*VLOOKUP(AO425, ejec_control, 2, 0)+Tablas!$G$9*VLOOKUP(AP425, cub_control, 2, 0))*0.1*peso_ejec, "")</f>
        <v/>
      </c>
      <c r="AR425" s="91" t="str">
        <f t="shared" si="702"/>
        <v/>
      </c>
      <c r="AS425" s="85" t="str">
        <f t="shared" si="694"/>
        <v/>
      </c>
      <c r="AT425" s="85" t="str">
        <f t="shared" si="695"/>
        <v/>
      </c>
      <c r="AU425" s="85" t="str">
        <f>IF(AR425&lt;Tablas!$G$19, 0, IF(AND(AR425&gt;=Tablas!$G$19, AR425&lt;Tablas!$G$20), 1,  IF(AND(AR425&gt;=Tablas!$G$20, AR425&lt;Tablas!$G$21), 2,  IF(AND(AR425&gt;=Tablas!$G$21, AR425&lt;=Tablas!$G$22), 3,  ""))))</f>
        <v/>
      </c>
      <c r="AV425" s="85" t="str">
        <f t="shared" si="703"/>
        <v/>
      </c>
      <c r="AW425" s="101" t="str">
        <f t="shared" si="704"/>
        <v/>
      </c>
      <c r="AX425" s="177"/>
      <c r="AY425" s="169"/>
      <c r="AZ425" s="158"/>
      <c r="BA425" s="169"/>
      <c r="BB425" s="182"/>
      <c r="BC425" s="182"/>
      <c r="BD425" s="185"/>
      <c r="BE425" s="185"/>
      <c r="BF425" s="158"/>
      <c r="BG425" s="191"/>
    </row>
    <row r="426" spans="1:59" ht="15.75" thickBot="1" x14ac:dyDescent="0.3">
      <c r="A426" s="167"/>
      <c r="B426" s="167"/>
      <c r="C426" s="161"/>
      <c r="D426" s="160"/>
      <c r="E426" s="162"/>
      <c r="F426" s="165"/>
      <c r="G426" s="161"/>
      <c r="H426" s="161"/>
      <c r="I426" s="161"/>
      <c r="J426" s="161"/>
      <c r="K426" s="161"/>
      <c r="L426" s="166"/>
      <c r="M426" s="166"/>
      <c r="N426" s="166"/>
      <c r="O426" s="166"/>
      <c r="P426" s="166"/>
      <c r="Q426" s="166"/>
      <c r="R426" s="166"/>
      <c r="S426" s="149"/>
      <c r="T426" s="149"/>
      <c r="U426" s="149"/>
      <c r="V426" s="149"/>
      <c r="W426" s="149"/>
      <c r="X426" s="165"/>
      <c r="Y426" s="165"/>
      <c r="Z426" s="172"/>
      <c r="AA426" s="188"/>
      <c r="AB426" s="172"/>
      <c r="AC426" s="172"/>
      <c r="AD426" s="175"/>
      <c r="AE426" s="66" t="s">
        <v>154</v>
      </c>
      <c r="AF426" s="134"/>
      <c r="AG426" s="67"/>
      <c r="AH426" s="69"/>
      <c r="AI426" s="69"/>
      <c r="AJ426" s="69"/>
      <c r="AK426" s="69"/>
      <c r="AL426" s="69"/>
      <c r="AM426" s="81" t="str">
        <f>IFERROR((Tablas!$C$1*VLOOKUP(AH426, tipo_control, 2, 0)+Tablas!$E$1*VLOOKUP(AI426, nat_control, 2, 0)+Tablas!$G$1*VLOOKUP(AJ426, ev_control, 2, 0)+Tablas!$I$1*VLOOKUP(AK426, frec_control, 2, 0)+Tablas!$K$1*VLOOKUP(AL426, doc_control, 2, 0))*0.1*peso_dis, "")</f>
        <v/>
      </c>
      <c r="AN426" s="69"/>
      <c r="AO426" s="69"/>
      <c r="AP426" s="69"/>
      <c r="AQ426" s="81" t="str">
        <f>IFERROR((Tablas!$C$9*VLOOKUP(AN426, amb_control, 2, 0)+Tablas!$E$9*VLOOKUP(AO426, ejec_control, 2, 0)+Tablas!$G$9*VLOOKUP(AP426, cub_control, 2, 0))*0.1*peso_ejec, "")</f>
        <v/>
      </c>
      <c r="AR426" s="93" t="str">
        <f t="shared" si="702"/>
        <v/>
      </c>
      <c r="AS426" s="94" t="str">
        <f t="shared" si="694"/>
        <v/>
      </c>
      <c r="AT426" s="94" t="str">
        <f t="shared" si="695"/>
        <v/>
      </c>
      <c r="AU426" s="94" t="str">
        <f>IF(AR426&lt;Tablas!$G$19, 0, IF(AND(AR426&gt;=Tablas!$G$19, AR426&lt;Tablas!$G$20), 1,  IF(AND(AR426&gt;=Tablas!$G$20, AR426&lt;Tablas!$G$21), 2,  IF(AND(AR426&gt;=Tablas!$G$21, AR426&lt;=Tablas!$G$22), 3,  ""))))</f>
        <v/>
      </c>
      <c r="AV426" s="94" t="str">
        <f t="shared" si="703"/>
        <v/>
      </c>
      <c r="AW426" s="102" t="str">
        <f t="shared" si="704"/>
        <v/>
      </c>
      <c r="AX426" s="157"/>
      <c r="AY426" s="170"/>
      <c r="AZ426" s="179"/>
      <c r="BA426" s="170"/>
      <c r="BB426" s="182"/>
      <c r="BC426" s="182"/>
      <c r="BD426" s="185"/>
      <c r="BE426" s="185"/>
      <c r="BF426" s="159"/>
      <c r="BG426" s="191"/>
    </row>
    <row r="427" spans="1:59" x14ac:dyDescent="0.25">
      <c r="A427" s="167"/>
      <c r="B427" s="167"/>
      <c r="C427" s="161" t="s">
        <v>19</v>
      </c>
      <c r="D427" s="160" t="s">
        <v>158</v>
      </c>
      <c r="E427" s="162"/>
      <c r="F427" s="163" t="str">
        <f t="shared" si="676"/>
        <v/>
      </c>
      <c r="G427" s="149"/>
      <c r="H427" s="149"/>
      <c r="I427" s="149"/>
      <c r="J427" s="149"/>
      <c r="K427" s="149"/>
      <c r="L427" s="165" t="str">
        <f t="shared" ref="L427" si="725">IFERROR(VLOOKUP(G427, tabla02, 2, 0), "")</f>
        <v/>
      </c>
      <c r="M427" s="165" t="str">
        <f t="shared" ref="M427" si="726">IFERROR(VLOOKUP(H427, tabla02, 2, 0), "")</f>
        <v/>
      </c>
      <c r="N427" s="165" t="str">
        <f t="shared" ref="N427" si="727">IFERROR(VLOOKUP(I427, tabla02, 2, 0), "")</f>
        <v/>
      </c>
      <c r="O427" s="165" t="str">
        <f t="shared" ref="O427" si="728">IFERROR(VLOOKUP(J427, tabla02, 2, 0), "")</f>
        <v/>
      </c>
      <c r="P427" s="165" t="str">
        <f t="shared" ref="P427" si="729">IFERROR(VLOOKUP(K427, tabla02, 2, 0), "")</f>
        <v/>
      </c>
      <c r="Q427" s="165" t="str">
        <f t="shared" ref="Q427" si="730">IF(SUM(L427:O431)=0, "", MAX(L427:P427))</f>
        <v/>
      </c>
      <c r="R427" s="165" t="str">
        <f>IFERROR(VLOOKUP(Q427, tabla04, 3, 0), "")</f>
        <v/>
      </c>
      <c r="S427" s="148"/>
      <c r="T427" s="148"/>
      <c r="U427" s="148"/>
      <c r="V427" s="148"/>
      <c r="W427" s="148"/>
      <c r="X427" s="163" t="str">
        <f>IFERROR(VLOOKUP(CONCATENATE(F427, "-", Q427), cuadrante_sev, 3, 0), "")</f>
        <v/>
      </c>
      <c r="Y427" s="163" t="str">
        <f t="shared" ref="Y427" si="731">IFERROR(IF(X427="Baja", 1, IF(X427="Moderada", 2, IF(X427="Alta", 3, IF(X427="Extrema", 4, "")))), "")</f>
        <v/>
      </c>
      <c r="Z427" s="172"/>
      <c r="AA427" s="188"/>
      <c r="AB427" s="172"/>
      <c r="AC427" s="172"/>
      <c r="AD427" s="175"/>
      <c r="AE427" s="70" t="s">
        <v>113</v>
      </c>
      <c r="AF427" s="135"/>
      <c r="AG427" s="74"/>
      <c r="AH427" s="72"/>
      <c r="AI427" s="72"/>
      <c r="AJ427" s="72"/>
      <c r="AK427" s="72"/>
      <c r="AL427" s="72"/>
      <c r="AM427" s="82" t="str">
        <f>IFERROR((Tablas!$C$1*VLOOKUP(AH427, tipo_control, 2, 0)+Tablas!$E$1*VLOOKUP(AI427, nat_control, 2, 0)+Tablas!$G$1*VLOOKUP(AJ427, ev_control, 2, 0)+Tablas!$I$1*VLOOKUP(AK427, frec_control, 2, 0)+Tablas!$K$1*VLOOKUP(AL427, doc_control, 2, 0))*0.1*peso_dis, "")</f>
        <v/>
      </c>
      <c r="AN427" s="72"/>
      <c r="AO427" s="72"/>
      <c r="AP427" s="72"/>
      <c r="AQ427" s="82" t="str">
        <f>IFERROR((Tablas!$C$9*VLOOKUP(AN427, amb_control, 2, 0)+Tablas!$E$9*VLOOKUP(AO427, ejec_control, 2, 0)+Tablas!$G$9*VLOOKUP(AP427, cub_control, 2, 0))*0.1*peso_ejec, "")</f>
        <v/>
      </c>
      <c r="AR427" s="96" t="str">
        <f t="shared" si="702"/>
        <v/>
      </c>
      <c r="AS427" s="97" t="str">
        <f t="shared" si="694"/>
        <v/>
      </c>
      <c r="AT427" s="87" t="str">
        <f t="shared" si="695"/>
        <v/>
      </c>
      <c r="AU427" s="97" t="str">
        <f>IF(AR427&lt;Tablas!$G$19, 0, IF(AND(AR427&gt;=Tablas!$G$19, AR427&lt;Tablas!$G$20), 1,  IF(AND(AR427&gt;=Tablas!$G$20, AR427&lt;Tablas!$G$21), 2,  IF(AND(AR427&gt;=Tablas!$G$21, AR427&lt;=Tablas!$G$22), 3,  ""))))</f>
        <v/>
      </c>
      <c r="AV427" s="97" t="str">
        <f t="shared" si="703"/>
        <v/>
      </c>
      <c r="AW427" s="103" t="str">
        <f t="shared" si="704"/>
        <v/>
      </c>
      <c r="AX427" s="176" t="str">
        <f t="shared" ref="AX427" si="732">IFERROR(VLOOKUP(AY427, tabla04, 2, 0), "")</f>
        <v/>
      </c>
      <c r="AY427" s="168" t="str">
        <f>IF(F427="", "", IF((F427-MAX(AV427:AV431))&lt;=0, 1, F427-MAX(AV427:AV431)))</f>
        <v/>
      </c>
      <c r="AZ427" s="178" t="str">
        <f t="shared" ref="AZ427" si="733">IFERROR(VLOOKUP(BA427, tabla04, 3, 0), "")</f>
        <v/>
      </c>
      <c r="BA427" s="168" t="str">
        <f>IF(Q427="", "", IF((Q427-MAX(AW427:AW431))&lt;=0, 1, Q427-MAX(AW427:AW431)))</f>
        <v/>
      </c>
      <c r="BB427" s="182"/>
      <c r="BC427" s="182"/>
      <c r="BD427" s="185"/>
      <c r="BE427" s="185"/>
      <c r="BF427" s="158" t="str">
        <f t="shared" ref="BF427:BF429" si="734">IFERROR(VLOOKUP(CONCATENATE(AY427, "-", BA427), cuadrante_sev, 3, 0), "")</f>
        <v/>
      </c>
      <c r="BG427" s="191"/>
    </row>
    <row r="428" spans="1:59" x14ac:dyDescent="0.25">
      <c r="A428" s="167"/>
      <c r="B428" s="167"/>
      <c r="C428" s="161"/>
      <c r="D428" s="160"/>
      <c r="E428" s="162"/>
      <c r="F428" s="164"/>
      <c r="G428" s="161"/>
      <c r="H428" s="161"/>
      <c r="I428" s="161"/>
      <c r="J428" s="161"/>
      <c r="K428" s="161"/>
      <c r="L428" s="166"/>
      <c r="M428" s="166"/>
      <c r="N428" s="166"/>
      <c r="O428" s="166"/>
      <c r="P428" s="166"/>
      <c r="Q428" s="166"/>
      <c r="R428" s="166"/>
      <c r="S428" s="167"/>
      <c r="T428" s="167"/>
      <c r="U428" s="167"/>
      <c r="V428" s="167"/>
      <c r="W428" s="167"/>
      <c r="X428" s="164"/>
      <c r="Y428" s="164"/>
      <c r="Z428" s="172"/>
      <c r="AA428" s="188"/>
      <c r="AB428" s="172"/>
      <c r="AC428" s="172"/>
      <c r="AD428" s="175"/>
      <c r="AE428" s="62" t="s">
        <v>114</v>
      </c>
      <c r="AF428" s="133"/>
      <c r="AG428" s="65"/>
      <c r="AH428" s="64"/>
      <c r="AI428" s="64"/>
      <c r="AJ428" s="64"/>
      <c r="AK428" s="64"/>
      <c r="AL428" s="64"/>
      <c r="AM428" s="80" t="str">
        <f>IFERROR((Tablas!$C$1*VLOOKUP(AH428, tipo_control, 2, 0)+Tablas!$E$1*VLOOKUP(AI428, nat_control, 2, 0)+Tablas!$G$1*VLOOKUP(AJ428, ev_control, 2, 0)+Tablas!$I$1*VLOOKUP(AK428, frec_control, 2, 0)+Tablas!$K$1*VLOOKUP(AL428, doc_control, 2, 0))*0.1*peso_dis, "")</f>
        <v/>
      </c>
      <c r="AN428" s="64"/>
      <c r="AO428" s="64"/>
      <c r="AP428" s="64"/>
      <c r="AQ428" s="80" t="str">
        <f>IFERROR((Tablas!$C$9*VLOOKUP(AN428, amb_control, 2, 0)+Tablas!$E$9*VLOOKUP(AO428, ejec_control, 2, 0)+Tablas!$G$9*VLOOKUP(AP428, cub_control, 2, 0))*0.1*peso_ejec, "")</f>
        <v/>
      </c>
      <c r="AR428" s="91" t="str">
        <f t="shared" si="702"/>
        <v/>
      </c>
      <c r="AS428" s="85" t="str">
        <f t="shared" si="694"/>
        <v/>
      </c>
      <c r="AT428" s="85" t="str">
        <f t="shared" si="695"/>
        <v/>
      </c>
      <c r="AU428" s="85" t="str">
        <f>IF(AR428&lt;Tablas!$G$19, 0, IF(AND(AR428&gt;=Tablas!$G$19, AR428&lt;Tablas!$G$20), 1,  IF(AND(AR428&gt;=Tablas!$G$20, AR428&lt;Tablas!$G$21), 2,  IF(AND(AR428&gt;=Tablas!$G$21, AR428&lt;=Tablas!$G$22), 3,  ""))))</f>
        <v/>
      </c>
      <c r="AV428" s="85" t="str">
        <f t="shared" si="703"/>
        <v/>
      </c>
      <c r="AW428" s="101" t="str">
        <f t="shared" si="704"/>
        <v/>
      </c>
      <c r="AX428" s="177"/>
      <c r="AY428" s="169"/>
      <c r="AZ428" s="158"/>
      <c r="BA428" s="169"/>
      <c r="BB428" s="182"/>
      <c r="BC428" s="182"/>
      <c r="BD428" s="185"/>
      <c r="BE428" s="185"/>
      <c r="BF428" s="158" t="str">
        <f t="shared" si="734"/>
        <v/>
      </c>
      <c r="BG428" s="191"/>
    </row>
    <row r="429" spans="1:59" x14ac:dyDescent="0.25">
      <c r="A429" s="167"/>
      <c r="B429" s="167"/>
      <c r="C429" s="161"/>
      <c r="D429" s="160"/>
      <c r="E429" s="162"/>
      <c r="F429" s="164"/>
      <c r="G429" s="161"/>
      <c r="H429" s="161"/>
      <c r="I429" s="161"/>
      <c r="J429" s="161"/>
      <c r="K429" s="161"/>
      <c r="L429" s="166"/>
      <c r="M429" s="166"/>
      <c r="N429" s="166"/>
      <c r="O429" s="166"/>
      <c r="P429" s="166"/>
      <c r="Q429" s="166"/>
      <c r="R429" s="166"/>
      <c r="S429" s="167"/>
      <c r="T429" s="167"/>
      <c r="U429" s="167"/>
      <c r="V429" s="167"/>
      <c r="W429" s="167"/>
      <c r="X429" s="164"/>
      <c r="Y429" s="164"/>
      <c r="Z429" s="172"/>
      <c r="AA429" s="188"/>
      <c r="AB429" s="172"/>
      <c r="AC429" s="172"/>
      <c r="AD429" s="175"/>
      <c r="AE429" s="62" t="s">
        <v>115</v>
      </c>
      <c r="AF429" s="133"/>
      <c r="AG429" s="65"/>
      <c r="AH429" s="64"/>
      <c r="AI429" s="64"/>
      <c r="AJ429" s="64"/>
      <c r="AK429" s="64"/>
      <c r="AL429" s="64"/>
      <c r="AM429" s="80" t="str">
        <f>IFERROR((Tablas!$C$1*VLOOKUP(AH429, tipo_control, 2, 0)+Tablas!$E$1*VLOOKUP(AI429, nat_control, 2, 0)+Tablas!$G$1*VLOOKUP(AJ429, ev_control, 2, 0)+Tablas!$I$1*VLOOKUP(AK429, frec_control, 2, 0)+Tablas!$K$1*VLOOKUP(AL429, doc_control, 2, 0))*0.1*peso_dis, "")</f>
        <v/>
      </c>
      <c r="AN429" s="64"/>
      <c r="AO429" s="64"/>
      <c r="AP429" s="64"/>
      <c r="AQ429" s="80" t="str">
        <f>IFERROR((Tablas!$C$9*VLOOKUP(AN429, amb_control, 2, 0)+Tablas!$E$9*VLOOKUP(AO429, ejec_control, 2, 0)+Tablas!$G$9*VLOOKUP(AP429, cub_control, 2, 0))*0.1*peso_ejec, "")</f>
        <v/>
      </c>
      <c r="AR429" s="91" t="str">
        <f t="shared" si="702"/>
        <v/>
      </c>
      <c r="AS429" s="85" t="str">
        <f t="shared" si="694"/>
        <v/>
      </c>
      <c r="AT429" s="85" t="str">
        <f t="shared" si="695"/>
        <v/>
      </c>
      <c r="AU429" s="85" t="str">
        <f>IF(AR429&lt;Tablas!$G$19, 0, IF(AND(AR429&gt;=Tablas!$G$19, AR429&lt;Tablas!$G$20), 1,  IF(AND(AR429&gt;=Tablas!$G$20, AR429&lt;Tablas!$G$21), 2,  IF(AND(AR429&gt;=Tablas!$G$21, AR429&lt;=Tablas!$G$22), 3,  ""))))</f>
        <v/>
      </c>
      <c r="AV429" s="85" t="str">
        <f t="shared" si="703"/>
        <v/>
      </c>
      <c r="AW429" s="101" t="str">
        <f t="shared" si="704"/>
        <v/>
      </c>
      <c r="AX429" s="177"/>
      <c r="AY429" s="169"/>
      <c r="AZ429" s="158"/>
      <c r="BA429" s="169"/>
      <c r="BB429" s="182"/>
      <c r="BC429" s="182"/>
      <c r="BD429" s="185"/>
      <c r="BE429" s="185"/>
      <c r="BF429" s="158" t="str">
        <f t="shared" si="734"/>
        <v/>
      </c>
      <c r="BG429" s="191"/>
    </row>
    <row r="430" spans="1:59" x14ac:dyDescent="0.25">
      <c r="A430" s="167"/>
      <c r="B430" s="167"/>
      <c r="C430" s="161"/>
      <c r="D430" s="160"/>
      <c r="E430" s="162"/>
      <c r="F430" s="164"/>
      <c r="G430" s="161"/>
      <c r="H430" s="161"/>
      <c r="I430" s="161"/>
      <c r="J430" s="161"/>
      <c r="K430" s="161"/>
      <c r="L430" s="166"/>
      <c r="M430" s="166"/>
      <c r="N430" s="166"/>
      <c r="O430" s="166"/>
      <c r="P430" s="166"/>
      <c r="Q430" s="166"/>
      <c r="R430" s="166"/>
      <c r="S430" s="167"/>
      <c r="T430" s="167"/>
      <c r="U430" s="167"/>
      <c r="V430" s="167"/>
      <c r="W430" s="167"/>
      <c r="X430" s="164"/>
      <c r="Y430" s="164"/>
      <c r="Z430" s="172"/>
      <c r="AA430" s="188"/>
      <c r="AB430" s="172"/>
      <c r="AC430" s="172"/>
      <c r="AD430" s="175"/>
      <c r="AE430" s="62" t="s">
        <v>153</v>
      </c>
      <c r="AF430" s="133"/>
      <c r="AG430" s="65"/>
      <c r="AH430" s="64"/>
      <c r="AI430" s="64"/>
      <c r="AJ430" s="64"/>
      <c r="AK430" s="64"/>
      <c r="AL430" s="64"/>
      <c r="AM430" s="80" t="str">
        <f>IFERROR((Tablas!$C$1*VLOOKUP(AH430, tipo_control, 2, 0)+Tablas!$E$1*VLOOKUP(AI430, nat_control, 2, 0)+Tablas!$G$1*VLOOKUP(AJ430, ev_control, 2, 0)+Tablas!$I$1*VLOOKUP(AK430, frec_control, 2, 0)+Tablas!$K$1*VLOOKUP(AL430, doc_control, 2, 0))*0.1*peso_dis, "")</f>
        <v/>
      </c>
      <c r="AN430" s="64"/>
      <c r="AO430" s="64"/>
      <c r="AP430" s="64"/>
      <c r="AQ430" s="80" t="str">
        <f>IFERROR((Tablas!$C$9*VLOOKUP(AN430, amb_control, 2, 0)+Tablas!$E$9*VLOOKUP(AO430, ejec_control, 2, 0)+Tablas!$G$9*VLOOKUP(AP430, cub_control, 2, 0))*0.1*peso_ejec, "")</f>
        <v/>
      </c>
      <c r="AR430" s="91" t="str">
        <f t="shared" si="702"/>
        <v/>
      </c>
      <c r="AS430" s="85" t="str">
        <f t="shared" si="694"/>
        <v/>
      </c>
      <c r="AT430" s="85" t="str">
        <f t="shared" si="695"/>
        <v/>
      </c>
      <c r="AU430" s="85" t="str">
        <f>IF(AR430&lt;Tablas!$G$19, 0, IF(AND(AR430&gt;=Tablas!$G$19, AR430&lt;Tablas!$G$20), 1,  IF(AND(AR430&gt;=Tablas!$G$20, AR430&lt;Tablas!$G$21), 2,  IF(AND(AR430&gt;=Tablas!$G$21, AR430&lt;=Tablas!$G$22), 3,  ""))))</f>
        <v/>
      </c>
      <c r="AV430" s="85" t="str">
        <f t="shared" si="703"/>
        <v/>
      </c>
      <c r="AW430" s="101" t="str">
        <f t="shared" si="704"/>
        <v/>
      </c>
      <c r="AX430" s="177"/>
      <c r="AY430" s="169"/>
      <c r="AZ430" s="158"/>
      <c r="BA430" s="169"/>
      <c r="BB430" s="182"/>
      <c r="BC430" s="182"/>
      <c r="BD430" s="185"/>
      <c r="BE430" s="185"/>
      <c r="BF430" s="158"/>
      <c r="BG430" s="191"/>
    </row>
    <row r="431" spans="1:59" ht="15.75" thickBot="1" x14ac:dyDescent="0.3">
      <c r="A431" s="167"/>
      <c r="B431" s="167"/>
      <c r="C431" s="161"/>
      <c r="D431" s="160"/>
      <c r="E431" s="162"/>
      <c r="F431" s="165"/>
      <c r="G431" s="161"/>
      <c r="H431" s="161"/>
      <c r="I431" s="161"/>
      <c r="J431" s="161"/>
      <c r="K431" s="161"/>
      <c r="L431" s="166"/>
      <c r="M431" s="166"/>
      <c r="N431" s="166"/>
      <c r="O431" s="166"/>
      <c r="P431" s="166"/>
      <c r="Q431" s="166"/>
      <c r="R431" s="166"/>
      <c r="S431" s="149"/>
      <c r="T431" s="149"/>
      <c r="U431" s="149"/>
      <c r="V431" s="149"/>
      <c r="W431" s="149"/>
      <c r="X431" s="165"/>
      <c r="Y431" s="165"/>
      <c r="Z431" s="172"/>
      <c r="AA431" s="188"/>
      <c r="AB431" s="172"/>
      <c r="AC431" s="172"/>
      <c r="AD431" s="175"/>
      <c r="AE431" s="66" t="s">
        <v>154</v>
      </c>
      <c r="AF431" s="134"/>
      <c r="AG431" s="67"/>
      <c r="AH431" s="69"/>
      <c r="AI431" s="69"/>
      <c r="AJ431" s="69"/>
      <c r="AK431" s="69"/>
      <c r="AL431" s="69"/>
      <c r="AM431" s="81" t="str">
        <f>IFERROR((Tablas!$C$1*VLOOKUP(AH431, tipo_control, 2, 0)+Tablas!$E$1*VLOOKUP(AI431, nat_control, 2, 0)+Tablas!$G$1*VLOOKUP(AJ431, ev_control, 2, 0)+Tablas!$I$1*VLOOKUP(AK431, frec_control, 2, 0)+Tablas!$K$1*VLOOKUP(AL431, doc_control, 2, 0))*0.1*peso_dis, "")</f>
        <v/>
      </c>
      <c r="AN431" s="69"/>
      <c r="AO431" s="69"/>
      <c r="AP431" s="69"/>
      <c r="AQ431" s="81" t="str">
        <f>IFERROR((Tablas!$C$9*VLOOKUP(AN431, amb_control, 2, 0)+Tablas!$E$9*VLOOKUP(AO431, ejec_control, 2, 0)+Tablas!$G$9*VLOOKUP(AP431, cub_control, 2, 0))*0.1*peso_ejec, "")</f>
        <v/>
      </c>
      <c r="AR431" s="93" t="str">
        <f t="shared" si="702"/>
        <v/>
      </c>
      <c r="AS431" s="94" t="str">
        <f t="shared" si="694"/>
        <v/>
      </c>
      <c r="AT431" s="94" t="str">
        <f t="shared" si="695"/>
        <v/>
      </c>
      <c r="AU431" s="94" t="str">
        <f>IF(AR431&lt;Tablas!$G$19, 0, IF(AND(AR431&gt;=Tablas!$G$19, AR431&lt;Tablas!$G$20), 1,  IF(AND(AR431&gt;=Tablas!$G$20, AR431&lt;Tablas!$G$21), 2,  IF(AND(AR431&gt;=Tablas!$G$21, AR431&lt;=Tablas!$G$22), 3,  ""))))</f>
        <v/>
      </c>
      <c r="AV431" s="94" t="str">
        <f t="shared" si="703"/>
        <v/>
      </c>
      <c r="AW431" s="102" t="str">
        <f t="shared" si="704"/>
        <v/>
      </c>
      <c r="AX431" s="157"/>
      <c r="AY431" s="170"/>
      <c r="AZ431" s="179"/>
      <c r="BA431" s="170"/>
      <c r="BB431" s="182"/>
      <c r="BC431" s="182"/>
      <c r="BD431" s="185"/>
      <c r="BE431" s="185"/>
      <c r="BF431" s="159"/>
      <c r="BG431" s="191"/>
    </row>
    <row r="432" spans="1:59" x14ac:dyDescent="0.25">
      <c r="A432" s="167"/>
      <c r="B432" s="167"/>
      <c r="C432" s="161" t="s">
        <v>20</v>
      </c>
      <c r="D432" s="160" t="s">
        <v>158</v>
      </c>
      <c r="E432" s="162"/>
      <c r="F432" s="163" t="str">
        <f t="shared" si="676"/>
        <v/>
      </c>
      <c r="G432" s="149"/>
      <c r="H432" s="149"/>
      <c r="I432" s="149"/>
      <c r="J432" s="149"/>
      <c r="K432" s="149"/>
      <c r="L432" s="165" t="str">
        <f t="shared" ref="L432" si="735">IFERROR(VLOOKUP(G432, tabla02, 2, 0), "")</f>
        <v/>
      </c>
      <c r="M432" s="165" t="str">
        <f t="shared" ref="M432" si="736">IFERROR(VLOOKUP(H432, tabla02, 2, 0), "")</f>
        <v/>
      </c>
      <c r="N432" s="165" t="str">
        <f t="shared" ref="N432" si="737">IFERROR(VLOOKUP(I432, tabla02, 2, 0), "")</f>
        <v/>
      </c>
      <c r="O432" s="165" t="str">
        <f t="shared" ref="O432" si="738">IFERROR(VLOOKUP(J432, tabla02, 2, 0), "")</f>
        <v/>
      </c>
      <c r="P432" s="165" t="str">
        <f t="shared" ref="P432" si="739">IFERROR(VLOOKUP(K432, tabla02, 2, 0), "")</f>
        <v/>
      </c>
      <c r="Q432" s="165" t="str">
        <f t="shared" ref="Q432" si="740">IF(SUM(L432:O436)=0, "", MAX(L432:P432))</f>
        <v/>
      </c>
      <c r="R432" s="165" t="str">
        <f>IFERROR(VLOOKUP(Q432, tabla04, 3, 0), "")</f>
        <v/>
      </c>
      <c r="S432" s="148"/>
      <c r="T432" s="148"/>
      <c r="U432" s="148"/>
      <c r="V432" s="148"/>
      <c r="W432" s="148"/>
      <c r="X432" s="163" t="str">
        <f>IFERROR(VLOOKUP(CONCATENATE(F432, "-", Q432), cuadrante_sev, 3, 0), "")</f>
        <v/>
      </c>
      <c r="Y432" s="163" t="str">
        <f t="shared" ref="Y432" si="741">IFERROR(IF(X432="Baja", 1, IF(X432="Moderada", 2, IF(X432="Alta", 3, IF(X432="Extrema", 4, "")))), "")</f>
        <v/>
      </c>
      <c r="Z432" s="172"/>
      <c r="AA432" s="188"/>
      <c r="AB432" s="172"/>
      <c r="AC432" s="172"/>
      <c r="AD432" s="175"/>
      <c r="AE432" s="70" t="s">
        <v>113</v>
      </c>
      <c r="AF432" s="135"/>
      <c r="AG432" s="74"/>
      <c r="AH432" s="72"/>
      <c r="AI432" s="72"/>
      <c r="AJ432" s="72"/>
      <c r="AK432" s="72"/>
      <c r="AL432" s="72"/>
      <c r="AM432" s="82" t="str">
        <f>IFERROR((Tablas!$C$1*VLOOKUP(AH432, tipo_control, 2, 0)+Tablas!$E$1*VLOOKUP(AI432, nat_control, 2, 0)+Tablas!$G$1*VLOOKUP(AJ432, ev_control, 2, 0)+Tablas!$I$1*VLOOKUP(AK432, frec_control, 2, 0)+Tablas!$K$1*VLOOKUP(AL432, doc_control, 2, 0))*0.1*peso_dis, "")</f>
        <v/>
      </c>
      <c r="AN432" s="72"/>
      <c r="AO432" s="72"/>
      <c r="AP432" s="72"/>
      <c r="AQ432" s="82" t="str">
        <f>IFERROR((Tablas!$C$9*VLOOKUP(AN432, amb_control, 2, 0)+Tablas!$E$9*VLOOKUP(AO432, ejec_control, 2, 0)+Tablas!$G$9*VLOOKUP(AP432, cub_control, 2, 0))*0.1*peso_ejec, "")</f>
        <v/>
      </c>
      <c r="AR432" s="96" t="str">
        <f t="shared" si="702"/>
        <v/>
      </c>
      <c r="AS432" s="97" t="str">
        <f t="shared" si="694"/>
        <v/>
      </c>
      <c r="AT432" s="87" t="str">
        <f t="shared" si="695"/>
        <v/>
      </c>
      <c r="AU432" s="97" t="str">
        <f>IF(AR432&lt;Tablas!$G$19, 0, IF(AND(AR432&gt;=Tablas!$G$19, AR432&lt;Tablas!$G$20), 1,  IF(AND(AR432&gt;=Tablas!$G$20, AR432&lt;Tablas!$G$21), 2,  IF(AND(AR432&gt;=Tablas!$G$21, AR432&lt;=Tablas!$G$22), 3,  ""))))</f>
        <v/>
      </c>
      <c r="AV432" s="97" t="str">
        <f t="shared" si="703"/>
        <v/>
      </c>
      <c r="AW432" s="103" t="str">
        <f t="shared" si="704"/>
        <v/>
      </c>
      <c r="AX432" s="176" t="str">
        <f t="shared" ref="AX432" si="742">IFERROR(VLOOKUP(AY432, tabla04, 2, 0), "")</f>
        <v/>
      </c>
      <c r="AY432" s="168" t="str">
        <f>IF(F432="", "", IF((F432-MAX(AV432:AV436))&lt;=0, 1, F432-MAX(AV432:AV436)))</f>
        <v/>
      </c>
      <c r="AZ432" s="178" t="str">
        <f t="shared" ref="AZ432" si="743">IFERROR(VLOOKUP(BA432, tabla04, 3, 0), "")</f>
        <v/>
      </c>
      <c r="BA432" s="168" t="str">
        <f>IF(Q432="", "", IF((Q432-MAX(AW432:AW436))&lt;=0, 1, Q432-MAX(AW432:AW436)))</f>
        <v/>
      </c>
      <c r="BB432" s="182"/>
      <c r="BC432" s="182"/>
      <c r="BD432" s="185"/>
      <c r="BE432" s="185"/>
      <c r="BF432" s="158" t="str">
        <f t="shared" ref="BF432:BF434" si="744">IFERROR(VLOOKUP(CONCATENATE(AY432, "-", BA432), cuadrante_sev, 3, 0), "")</f>
        <v/>
      </c>
      <c r="BG432" s="191"/>
    </row>
    <row r="433" spans="1:59" x14ac:dyDescent="0.25">
      <c r="A433" s="167"/>
      <c r="B433" s="167"/>
      <c r="C433" s="161"/>
      <c r="D433" s="160"/>
      <c r="E433" s="162"/>
      <c r="F433" s="164"/>
      <c r="G433" s="161"/>
      <c r="H433" s="161"/>
      <c r="I433" s="161"/>
      <c r="J433" s="161"/>
      <c r="K433" s="161"/>
      <c r="L433" s="166"/>
      <c r="M433" s="166"/>
      <c r="N433" s="166"/>
      <c r="O433" s="166"/>
      <c r="P433" s="166"/>
      <c r="Q433" s="166"/>
      <c r="R433" s="166"/>
      <c r="S433" s="167"/>
      <c r="T433" s="167"/>
      <c r="U433" s="167"/>
      <c r="V433" s="167"/>
      <c r="W433" s="167"/>
      <c r="X433" s="164"/>
      <c r="Y433" s="164"/>
      <c r="Z433" s="172"/>
      <c r="AA433" s="188"/>
      <c r="AB433" s="172"/>
      <c r="AC433" s="172"/>
      <c r="AD433" s="175"/>
      <c r="AE433" s="62" t="s">
        <v>114</v>
      </c>
      <c r="AF433" s="133"/>
      <c r="AG433" s="65"/>
      <c r="AH433" s="64"/>
      <c r="AI433" s="64"/>
      <c r="AJ433" s="64"/>
      <c r="AK433" s="64"/>
      <c r="AL433" s="64"/>
      <c r="AM433" s="80" t="str">
        <f>IFERROR((Tablas!$C$1*VLOOKUP(AH433, tipo_control, 2, 0)+Tablas!$E$1*VLOOKUP(AI433, nat_control, 2, 0)+Tablas!$G$1*VLOOKUP(AJ433, ev_control, 2, 0)+Tablas!$I$1*VLOOKUP(AK433, frec_control, 2, 0)+Tablas!$K$1*VLOOKUP(AL433, doc_control, 2, 0))*0.1*peso_dis, "")</f>
        <v/>
      </c>
      <c r="AN433" s="64"/>
      <c r="AO433" s="64"/>
      <c r="AP433" s="64"/>
      <c r="AQ433" s="80" t="str">
        <f>IFERROR((Tablas!$C$9*VLOOKUP(AN433, amb_control, 2, 0)+Tablas!$E$9*VLOOKUP(AO433, ejec_control, 2, 0)+Tablas!$G$9*VLOOKUP(AP433, cub_control, 2, 0))*0.1*peso_ejec, "")</f>
        <v/>
      </c>
      <c r="AR433" s="91" t="str">
        <f t="shared" si="702"/>
        <v/>
      </c>
      <c r="AS433" s="85" t="str">
        <f t="shared" si="694"/>
        <v/>
      </c>
      <c r="AT433" s="85" t="str">
        <f t="shared" si="695"/>
        <v/>
      </c>
      <c r="AU433" s="85" t="str">
        <f>IF(AR433&lt;Tablas!$G$19, 0, IF(AND(AR433&gt;=Tablas!$G$19, AR433&lt;Tablas!$G$20), 1,  IF(AND(AR433&gt;=Tablas!$G$20, AR433&lt;Tablas!$G$21), 2,  IF(AND(AR433&gt;=Tablas!$G$21, AR433&lt;=Tablas!$G$22), 3,  ""))))</f>
        <v/>
      </c>
      <c r="AV433" s="85" t="str">
        <f t="shared" si="703"/>
        <v/>
      </c>
      <c r="AW433" s="101" t="str">
        <f t="shared" si="704"/>
        <v/>
      </c>
      <c r="AX433" s="177"/>
      <c r="AY433" s="169"/>
      <c r="AZ433" s="158"/>
      <c r="BA433" s="169"/>
      <c r="BB433" s="182"/>
      <c r="BC433" s="182"/>
      <c r="BD433" s="185"/>
      <c r="BE433" s="185"/>
      <c r="BF433" s="158" t="str">
        <f t="shared" si="744"/>
        <v/>
      </c>
      <c r="BG433" s="191"/>
    </row>
    <row r="434" spans="1:59" x14ac:dyDescent="0.25">
      <c r="A434" s="167"/>
      <c r="B434" s="167"/>
      <c r="C434" s="161"/>
      <c r="D434" s="160"/>
      <c r="E434" s="162"/>
      <c r="F434" s="164"/>
      <c r="G434" s="161"/>
      <c r="H434" s="161"/>
      <c r="I434" s="161"/>
      <c r="J434" s="161"/>
      <c r="K434" s="161"/>
      <c r="L434" s="166"/>
      <c r="M434" s="166"/>
      <c r="N434" s="166"/>
      <c r="O434" s="166"/>
      <c r="P434" s="166"/>
      <c r="Q434" s="166"/>
      <c r="R434" s="166"/>
      <c r="S434" s="167"/>
      <c r="T434" s="167"/>
      <c r="U434" s="167"/>
      <c r="V434" s="167"/>
      <c r="W434" s="167"/>
      <c r="X434" s="164"/>
      <c r="Y434" s="164"/>
      <c r="Z434" s="172"/>
      <c r="AA434" s="188"/>
      <c r="AB434" s="172"/>
      <c r="AC434" s="172"/>
      <c r="AD434" s="175"/>
      <c r="AE434" s="62" t="s">
        <v>115</v>
      </c>
      <c r="AF434" s="133"/>
      <c r="AG434" s="65"/>
      <c r="AH434" s="64"/>
      <c r="AI434" s="64"/>
      <c r="AJ434" s="64"/>
      <c r="AK434" s="64"/>
      <c r="AL434" s="64"/>
      <c r="AM434" s="80" t="str">
        <f>IFERROR((Tablas!$C$1*VLOOKUP(AH434, tipo_control, 2, 0)+Tablas!$E$1*VLOOKUP(AI434, nat_control, 2, 0)+Tablas!$G$1*VLOOKUP(AJ434, ev_control, 2, 0)+Tablas!$I$1*VLOOKUP(AK434, frec_control, 2, 0)+Tablas!$K$1*VLOOKUP(AL434, doc_control, 2, 0))*0.1*peso_dis, "")</f>
        <v/>
      </c>
      <c r="AN434" s="64"/>
      <c r="AO434" s="64"/>
      <c r="AP434" s="64"/>
      <c r="AQ434" s="80" t="str">
        <f>IFERROR((Tablas!$C$9*VLOOKUP(AN434, amb_control, 2, 0)+Tablas!$E$9*VLOOKUP(AO434, ejec_control, 2, 0)+Tablas!$G$9*VLOOKUP(AP434, cub_control, 2, 0))*0.1*peso_ejec, "")</f>
        <v/>
      </c>
      <c r="AR434" s="91" t="str">
        <f t="shared" si="702"/>
        <v/>
      </c>
      <c r="AS434" s="85" t="str">
        <f t="shared" si="694"/>
        <v/>
      </c>
      <c r="AT434" s="85" t="str">
        <f t="shared" si="695"/>
        <v/>
      </c>
      <c r="AU434" s="85" t="str">
        <f>IF(AR434&lt;Tablas!$G$19, 0, IF(AND(AR434&gt;=Tablas!$G$19, AR434&lt;Tablas!$G$20), 1,  IF(AND(AR434&gt;=Tablas!$G$20, AR434&lt;Tablas!$G$21), 2,  IF(AND(AR434&gt;=Tablas!$G$21, AR434&lt;=Tablas!$G$22), 3,  ""))))</f>
        <v/>
      </c>
      <c r="AV434" s="85" t="str">
        <f t="shared" si="703"/>
        <v/>
      </c>
      <c r="AW434" s="101" t="str">
        <f t="shared" si="704"/>
        <v/>
      </c>
      <c r="AX434" s="177"/>
      <c r="AY434" s="169"/>
      <c r="AZ434" s="158"/>
      <c r="BA434" s="169"/>
      <c r="BB434" s="182"/>
      <c r="BC434" s="182"/>
      <c r="BD434" s="185"/>
      <c r="BE434" s="185"/>
      <c r="BF434" s="158" t="str">
        <f t="shared" si="744"/>
        <v/>
      </c>
      <c r="BG434" s="191"/>
    </row>
    <row r="435" spans="1:59" x14ac:dyDescent="0.25">
      <c r="A435" s="167"/>
      <c r="B435" s="167"/>
      <c r="C435" s="161"/>
      <c r="D435" s="160"/>
      <c r="E435" s="162"/>
      <c r="F435" s="164"/>
      <c r="G435" s="161"/>
      <c r="H435" s="161"/>
      <c r="I435" s="161"/>
      <c r="J435" s="161"/>
      <c r="K435" s="161"/>
      <c r="L435" s="166"/>
      <c r="M435" s="166"/>
      <c r="N435" s="166"/>
      <c r="O435" s="166"/>
      <c r="P435" s="166"/>
      <c r="Q435" s="166"/>
      <c r="R435" s="166"/>
      <c r="S435" s="167"/>
      <c r="T435" s="167"/>
      <c r="U435" s="167"/>
      <c r="V435" s="167"/>
      <c r="W435" s="167"/>
      <c r="X435" s="164"/>
      <c r="Y435" s="164"/>
      <c r="Z435" s="172"/>
      <c r="AA435" s="188"/>
      <c r="AB435" s="172"/>
      <c r="AC435" s="172"/>
      <c r="AD435" s="175"/>
      <c r="AE435" s="62" t="s">
        <v>153</v>
      </c>
      <c r="AF435" s="133"/>
      <c r="AG435" s="65"/>
      <c r="AH435" s="64"/>
      <c r="AI435" s="64"/>
      <c r="AJ435" s="64"/>
      <c r="AK435" s="64"/>
      <c r="AL435" s="64"/>
      <c r="AM435" s="80" t="str">
        <f>IFERROR((Tablas!$C$1*VLOOKUP(AH435, tipo_control, 2, 0)+Tablas!$E$1*VLOOKUP(AI435, nat_control, 2, 0)+Tablas!$G$1*VLOOKUP(AJ435, ev_control, 2, 0)+Tablas!$I$1*VLOOKUP(AK435, frec_control, 2, 0)+Tablas!$K$1*VLOOKUP(AL435, doc_control, 2, 0))*0.1*peso_dis, "")</f>
        <v/>
      </c>
      <c r="AN435" s="64"/>
      <c r="AO435" s="64"/>
      <c r="AP435" s="64"/>
      <c r="AQ435" s="80" t="str">
        <f>IFERROR((Tablas!$C$9*VLOOKUP(AN435, amb_control, 2, 0)+Tablas!$E$9*VLOOKUP(AO435, ejec_control, 2, 0)+Tablas!$G$9*VLOOKUP(AP435, cub_control, 2, 0))*0.1*peso_ejec, "")</f>
        <v/>
      </c>
      <c r="AR435" s="91" t="str">
        <f t="shared" si="702"/>
        <v/>
      </c>
      <c r="AS435" s="85" t="str">
        <f t="shared" si="694"/>
        <v/>
      </c>
      <c r="AT435" s="85" t="str">
        <f t="shared" si="695"/>
        <v/>
      </c>
      <c r="AU435" s="85" t="str">
        <f>IF(AR435&lt;Tablas!$G$19, 0, IF(AND(AR435&gt;=Tablas!$G$19, AR435&lt;Tablas!$G$20), 1,  IF(AND(AR435&gt;=Tablas!$G$20, AR435&lt;Tablas!$G$21), 2,  IF(AND(AR435&gt;=Tablas!$G$21, AR435&lt;=Tablas!$G$22), 3,  ""))))</f>
        <v/>
      </c>
      <c r="AV435" s="85" t="str">
        <f t="shared" si="703"/>
        <v/>
      </c>
      <c r="AW435" s="101" t="str">
        <f t="shared" si="704"/>
        <v/>
      </c>
      <c r="AX435" s="177"/>
      <c r="AY435" s="169"/>
      <c r="AZ435" s="158"/>
      <c r="BA435" s="169"/>
      <c r="BB435" s="182"/>
      <c r="BC435" s="182"/>
      <c r="BD435" s="185"/>
      <c r="BE435" s="185"/>
      <c r="BF435" s="158"/>
      <c r="BG435" s="191"/>
    </row>
    <row r="436" spans="1:59" ht="15.75" thickBot="1" x14ac:dyDescent="0.3">
      <c r="A436" s="167"/>
      <c r="B436" s="167"/>
      <c r="C436" s="161"/>
      <c r="D436" s="160"/>
      <c r="E436" s="162"/>
      <c r="F436" s="165"/>
      <c r="G436" s="161"/>
      <c r="H436" s="161"/>
      <c r="I436" s="161"/>
      <c r="J436" s="161"/>
      <c r="K436" s="161"/>
      <c r="L436" s="166"/>
      <c r="M436" s="166"/>
      <c r="N436" s="166"/>
      <c r="O436" s="166"/>
      <c r="P436" s="166"/>
      <c r="Q436" s="166"/>
      <c r="R436" s="166"/>
      <c r="S436" s="149"/>
      <c r="T436" s="149"/>
      <c r="U436" s="149"/>
      <c r="V436" s="149"/>
      <c r="W436" s="149"/>
      <c r="X436" s="165"/>
      <c r="Y436" s="165"/>
      <c r="Z436" s="172"/>
      <c r="AA436" s="188"/>
      <c r="AB436" s="172"/>
      <c r="AC436" s="172"/>
      <c r="AD436" s="175"/>
      <c r="AE436" s="66" t="s">
        <v>154</v>
      </c>
      <c r="AF436" s="134"/>
      <c r="AG436" s="67"/>
      <c r="AH436" s="69"/>
      <c r="AI436" s="69"/>
      <c r="AJ436" s="69"/>
      <c r="AK436" s="69"/>
      <c r="AL436" s="69"/>
      <c r="AM436" s="81" t="str">
        <f>IFERROR((Tablas!$C$1*VLOOKUP(AH436, tipo_control, 2, 0)+Tablas!$E$1*VLOOKUP(AI436, nat_control, 2, 0)+Tablas!$G$1*VLOOKUP(AJ436, ev_control, 2, 0)+Tablas!$I$1*VLOOKUP(AK436, frec_control, 2, 0)+Tablas!$K$1*VLOOKUP(AL436, doc_control, 2, 0))*0.1*peso_dis, "")</f>
        <v/>
      </c>
      <c r="AN436" s="69"/>
      <c r="AO436" s="69"/>
      <c r="AP436" s="69"/>
      <c r="AQ436" s="81" t="str">
        <f>IFERROR((Tablas!$C$9*VLOOKUP(AN436, amb_control, 2, 0)+Tablas!$E$9*VLOOKUP(AO436, ejec_control, 2, 0)+Tablas!$G$9*VLOOKUP(AP436, cub_control, 2, 0))*0.1*peso_ejec, "")</f>
        <v/>
      </c>
      <c r="AR436" s="93" t="str">
        <f t="shared" si="702"/>
        <v/>
      </c>
      <c r="AS436" s="94" t="str">
        <f t="shared" si="694"/>
        <v/>
      </c>
      <c r="AT436" s="94" t="str">
        <f t="shared" si="695"/>
        <v/>
      </c>
      <c r="AU436" s="94" t="str">
        <f>IF(AR436&lt;Tablas!$G$19, 0, IF(AND(AR436&gt;=Tablas!$G$19, AR436&lt;Tablas!$G$20), 1,  IF(AND(AR436&gt;=Tablas!$G$20, AR436&lt;Tablas!$G$21), 2,  IF(AND(AR436&gt;=Tablas!$G$21, AR436&lt;=Tablas!$G$22), 3,  ""))))</f>
        <v/>
      </c>
      <c r="AV436" s="94" t="str">
        <f t="shared" si="703"/>
        <v/>
      </c>
      <c r="AW436" s="102" t="str">
        <f t="shared" si="704"/>
        <v/>
      </c>
      <c r="AX436" s="157"/>
      <c r="AY436" s="170"/>
      <c r="AZ436" s="179"/>
      <c r="BA436" s="170"/>
      <c r="BB436" s="182"/>
      <c r="BC436" s="182"/>
      <c r="BD436" s="185"/>
      <c r="BE436" s="185"/>
      <c r="BF436" s="159"/>
      <c r="BG436" s="191"/>
    </row>
    <row r="437" spans="1:59" x14ac:dyDescent="0.25">
      <c r="A437" s="167"/>
      <c r="B437" s="167"/>
      <c r="C437" s="161" t="s">
        <v>180</v>
      </c>
      <c r="D437" s="160" t="s">
        <v>158</v>
      </c>
      <c r="E437" s="162"/>
      <c r="F437" s="163" t="str">
        <f t="shared" si="676"/>
        <v/>
      </c>
      <c r="G437" s="149"/>
      <c r="H437" s="149"/>
      <c r="I437" s="149"/>
      <c r="J437" s="149"/>
      <c r="K437" s="149"/>
      <c r="L437" s="165" t="str">
        <f t="shared" ref="L437" si="745">IFERROR(VLOOKUP(G437, tabla02, 2, 0), "")</f>
        <v/>
      </c>
      <c r="M437" s="165" t="str">
        <f t="shared" ref="M437" si="746">IFERROR(VLOOKUP(H437, tabla02, 2, 0), "")</f>
        <v/>
      </c>
      <c r="N437" s="165" t="str">
        <f t="shared" ref="N437" si="747">IFERROR(VLOOKUP(I437, tabla02, 2, 0), "")</f>
        <v/>
      </c>
      <c r="O437" s="165" t="str">
        <f t="shared" ref="O437" si="748">IFERROR(VLOOKUP(J437, tabla02, 2, 0), "")</f>
        <v/>
      </c>
      <c r="P437" s="165" t="str">
        <f t="shared" ref="P437" si="749">IFERROR(VLOOKUP(K437, tabla02, 2, 0), "")</f>
        <v/>
      </c>
      <c r="Q437" s="165" t="str">
        <f t="shared" ref="Q437" si="750">IF(SUM(L437:O441)=0, "", MAX(L437:P437))</f>
        <v/>
      </c>
      <c r="R437" s="165" t="str">
        <f>IFERROR(VLOOKUP(Q437, tabla04, 3, 0), "")</f>
        <v/>
      </c>
      <c r="S437" s="148"/>
      <c r="T437" s="148"/>
      <c r="U437" s="148"/>
      <c r="V437" s="148"/>
      <c r="W437" s="148"/>
      <c r="X437" s="163" t="str">
        <f>IFERROR(VLOOKUP(CONCATENATE(F437, "-", Q437), cuadrante_sev, 3, 0), "")</f>
        <v/>
      </c>
      <c r="Y437" s="163" t="str">
        <f t="shared" ref="Y437" si="751">IFERROR(IF(X437="Baja", 1, IF(X437="Moderada", 2, IF(X437="Alta", 3, IF(X437="Extrema", 4, "")))), "")</f>
        <v/>
      </c>
      <c r="Z437" s="172"/>
      <c r="AA437" s="188"/>
      <c r="AB437" s="172"/>
      <c r="AC437" s="172"/>
      <c r="AD437" s="175"/>
      <c r="AE437" s="70" t="s">
        <v>113</v>
      </c>
      <c r="AF437" s="135"/>
      <c r="AG437" s="74"/>
      <c r="AH437" s="72"/>
      <c r="AI437" s="72"/>
      <c r="AJ437" s="72"/>
      <c r="AK437" s="72"/>
      <c r="AL437" s="72"/>
      <c r="AM437" s="82" t="str">
        <f>IFERROR((Tablas!$C$1*VLOOKUP(AH437, tipo_control, 2, 0)+Tablas!$E$1*VLOOKUP(AI437, nat_control, 2, 0)+Tablas!$G$1*VLOOKUP(AJ437, ev_control, 2, 0)+Tablas!$I$1*VLOOKUP(AK437, frec_control, 2, 0)+Tablas!$K$1*VLOOKUP(AL437, doc_control, 2, 0))*0.1*peso_dis, "")</f>
        <v/>
      </c>
      <c r="AN437" s="72"/>
      <c r="AO437" s="72"/>
      <c r="AP437" s="72"/>
      <c r="AQ437" s="82" t="str">
        <f>IFERROR((Tablas!$C$9*VLOOKUP(AN437, amb_control, 2, 0)+Tablas!$E$9*VLOOKUP(AO437, ejec_control, 2, 0)+Tablas!$G$9*VLOOKUP(AP437, cub_control, 2, 0))*0.1*peso_ejec, "")</f>
        <v/>
      </c>
      <c r="AR437" s="96" t="str">
        <f t="shared" si="702"/>
        <v/>
      </c>
      <c r="AS437" s="97" t="str">
        <f t="shared" si="694"/>
        <v/>
      </c>
      <c r="AT437" s="87" t="str">
        <f t="shared" si="695"/>
        <v/>
      </c>
      <c r="AU437" s="97" t="str">
        <f>IF(AR437&lt;Tablas!$G$19, 0, IF(AND(AR437&gt;=Tablas!$G$19, AR437&lt;Tablas!$G$20), 1,  IF(AND(AR437&gt;=Tablas!$G$20, AR437&lt;Tablas!$G$21), 2,  IF(AND(AR437&gt;=Tablas!$G$21, AR437&lt;=Tablas!$G$22), 3,  ""))))</f>
        <v/>
      </c>
      <c r="AV437" s="97" t="str">
        <f t="shared" si="703"/>
        <v/>
      </c>
      <c r="AW437" s="103" t="str">
        <f t="shared" si="704"/>
        <v/>
      </c>
      <c r="AX437" s="176" t="str">
        <f t="shared" ref="AX437" si="752">IFERROR(VLOOKUP(AY437, tabla04, 2, 0), "")</f>
        <v/>
      </c>
      <c r="AY437" s="168" t="str">
        <f>IF(F437="", "", IF((F437-MAX(AV437:AV441))&lt;=0, 1, F437-MAX(AV437:AV441)))</f>
        <v/>
      </c>
      <c r="AZ437" s="178" t="str">
        <f t="shared" ref="AZ437" si="753">IFERROR(VLOOKUP(BA437, tabla04, 3, 0), "")</f>
        <v/>
      </c>
      <c r="BA437" s="168" t="str">
        <f>IF(Q437="", "", IF((Q437-MAX(AW437:AW441))&lt;=0, 1, Q437-MAX(AW437:AW441)))</f>
        <v/>
      </c>
      <c r="BB437" s="182"/>
      <c r="BC437" s="182"/>
      <c r="BD437" s="185"/>
      <c r="BE437" s="185"/>
      <c r="BF437" s="158" t="str">
        <f t="shared" ref="BF437:BF439" si="754">IFERROR(VLOOKUP(CONCATENATE(AY437, "-", BA437), cuadrante_sev, 3, 0), "")</f>
        <v/>
      </c>
      <c r="BG437" s="191"/>
    </row>
    <row r="438" spans="1:59" x14ac:dyDescent="0.25">
      <c r="A438" s="167"/>
      <c r="B438" s="167"/>
      <c r="C438" s="161"/>
      <c r="D438" s="160"/>
      <c r="E438" s="162"/>
      <c r="F438" s="164"/>
      <c r="G438" s="161"/>
      <c r="H438" s="161"/>
      <c r="I438" s="161"/>
      <c r="J438" s="161"/>
      <c r="K438" s="161"/>
      <c r="L438" s="166"/>
      <c r="M438" s="166"/>
      <c r="N438" s="166"/>
      <c r="O438" s="166"/>
      <c r="P438" s="166"/>
      <c r="Q438" s="166"/>
      <c r="R438" s="166"/>
      <c r="S438" s="167"/>
      <c r="T438" s="167"/>
      <c r="U438" s="167"/>
      <c r="V438" s="167"/>
      <c r="W438" s="167"/>
      <c r="X438" s="164"/>
      <c r="Y438" s="164"/>
      <c r="Z438" s="172"/>
      <c r="AA438" s="188"/>
      <c r="AB438" s="172"/>
      <c r="AC438" s="172"/>
      <c r="AD438" s="175"/>
      <c r="AE438" s="62" t="s">
        <v>114</v>
      </c>
      <c r="AF438" s="133"/>
      <c r="AG438" s="65"/>
      <c r="AH438" s="64"/>
      <c r="AI438" s="64"/>
      <c r="AJ438" s="64"/>
      <c r="AK438" s="64"/>
      <c r="AL438" s="64"/>
      <c r="AM438" s="80" t="str">
        <f>IFERROR((Tablas!$C$1*VLOOKUP(AH438, tipo_control, 2, 0)+Tablas!$E$1*VLOOKUP(AI438, nat_control, 2, 0)+Tablas!$G$1*VLOOKUP(AJ438, ev_control, 2, 0)+Tablas!$I$1*VLOOKUP(AK438, frec_control, 2, 0)+Tablas!$K$1*VLOOKUP(AL438, doc_control, 2, 0))*0.1*peso_dis, "")</f>
        <v/>
      </c>
      <c r="AN438" s="64"/>
      <c r="AO438" s="64"/>
      <c r="AP438" s="64"/>
      <c r="AQ438" s="80" t="str">
        <f>IFERROR((Tablas!$C$9*VLOOKUP(AN438, amb_control, 2, 0)+Tablas!$E$9*VLOOKUP(AO438, ejec_control, 2, 0)+Tablas!$G$9*VLOOKUP(AP438, cub_control, 2, 0))*0.1*peso_ejec, "")</f>
        <v/>
      </c>
      <c r="AR438" s="91" t="str">
        <f t="shared" si="702"/>
        <v/>
      </c>
      <c r="AS438" s="85" t="str">
        <f t="shared" si="694"/>
        <v/>
      </c>
      <c r="AT438" s="85" t="str">
        <f t="shared" si="695"/>
        <v/>
      </c>
      <c r="AU438" s="85" t="str">
        <f>IF(AR438&lt;Tablas!$G$19, 0, IF(AND(AR438&gt;=Tablas!$G$19, AR438&lt;Tablas!$G$20), 1,  IF(AND(AR438&gt;=Tablas!$G$20, AR438&lt;Tablas!$G$21), 2,  IF(AND(AR438&gt;=Tablas!$G$21, AR438&lt;=Tablas!$G$22), 3,  ""))))</f>
        <v/>
      </c>
      <c r="AV438" s="85" t="str">
        <f t="shared" si="703"/>
        <v/>
      </c>
      <c r="AW438" s="101" t="str">
        <f t="shared" si="704"/>
        <v/>
      </c>
      <c r="AX438" s="177"/>
      <c r="AY438" s="169"/>
      <c r="AZ438" s="158"/>
      <c r="BA438" s="169"/>
      <c r="BB438" s="182"/>
      <c r="BC438" s="182"/>
      <c r="BD438" s="185"/>
      <c r="BE438" s="185"/>
      <c r="BF438" s="158" t="str">
        <f t="shared" si="754"/>
        <v/>
      </c>
      <c r="BG438" s="191"/>
    </row>
    <row r="439" spans="1:59" x14ac:dyDescent="0.25">
      <c r="A439" s="167"/>
      <c r="B439" s="167"/>
      <c r="C439" s="161"/>
      <c r="D439" s="160"/>
      <c r="E439" s="162"/>
      <c r="F439" s="164"/>
      <c r="G439" s="161"/>
      <c r="H439" s="161"/>
      <c r="I439" s="161"/>
      <c r="J439" s="161"/>
      <c r="K439" s="161"/>
      <c r="L439" s="166"/>
      <c r="M439" s="166"/>
      <c r="N439" s="166"/>
      <c r="O439" s="166"/>
      <c r="P439" s="166"/>
      <c r="Q439" s="166"/>
      <c r="R439" s="166"/>
      <c r="S439" s="167"/>
      <c r="T439" s="167"/>
      <c r="U439" s="167"/>
      <c r="V439" s="167"/>
      <c r="W439" s="167"/>
      <c r="X439" s="164"/>
      <c r="Y439" s="164"/>
      <c r="Z439" s="172"/>
      <c r="AA439" s="188"/>
      <c r="AB439" s="172"/>
      <c r="AC439" s="172"/>
      <c r="AD439" s="175"/>
      <c r="AE439" s="62" t="s">
        <v>115</v>
      </c>
      <c r="AF439" s="133"/>
      <c r="AG439" s="65"/>
      <c r="AH439" s="64"/>
      <c r="AI439" s="64"/>
      <c r="AJ439" s="64"/>
      <c r="AK439" s="64"/>
      <c r="AL439" s="64"/>
      <c r="AM439" s="80" t="str">
        <f>IFERROR((Tablas!$C$1*VLOOKUP(AH439, tipo_control, 2, 0)+Tablas!$E$1*VLOOKUP(AI439, nat_control, 2, 0)+Tablas!$G$1*VLOOKUP(AJ439, ev_control, 2, 0)+Tablas!$I$1*VLOOKUP(AK439, frec_control, 2, 0)+Tablas!$K$1*VLOOKUP(AL439, doc_control, 2, 0))*0.1*peso_dis, "")</f>
        <v/>
      </c>
      <c r="AN439" s="64"/>
      <c r="AO439" s="64"/>
      <c r="AP439" s="64"/>
      <c r="AQ439" s="80" t="str">
        <f>IFERROR((Tablas!$C$9*VLOOKUP(AN439, amb_control, 2, 0)+Tablas!$E$9*VLOOKUP(AO439, ejec_control, 2, 0)+Tablas!$G$9*VLOOKUP(AP439, cub_control, 2, 0))*0.1*peso_ejec, "")</f>
        <v/>
      </c>
      <c r="AR439" s="91" t="str">
        <f t="shared" si="702"/>
        <v/>
      </c>
      <c r="AS439" s="85" t="str">
        <f t="shared" si="694"/>
        <v/>
      </c>
      <c r="AT439" s="85" t="str">
        <f t="shared" si="695"/>
        <v/>
      </c>
      <c r="AU439" s="85" t="str">
        <f>IF(AR439&lt;Tablas!$G$19, 0, IF(AND(AR439&gt;=Tablas!$G$19, AR439&lt;Tablas!$G$20), 1,  IF(AND(AR439&gt;=Tablas!$G$20, AR439&lt;Tablas!$G$21), 2,  IF(AND(AR439&gt;=Tablas!$G$21, AR439&lt;=Tablas!$G$22), 3,  ""))))</f>
        <v/>
      </c>
      <c r="AV439" s="85" t="str">
        <f t="shared" si="703"/>
        <v/>
      </c>
      <c r="AW439" s="101" t="str">
        <f t="shared" si="704"/>
        <v/>
      </c>
      <c r="AX439" s="177"/>
      <c r="AY439" s="169"/>
      <c r="AZ439" s="158"/>
      <c r="BA439" s="169"/>
      <c r="BB439" s="182"/>
      <c r="BC439" s="182"/>
      <c r="BD439" s="185"/>
      <c r="BE439" s="185"/>
      <c r="BF439" s="158" t="str">
        <f t="shared" si="754"/>
        <v/>
      </c>
      <c r="BG439" s="191"/>
    </row>
    <row r="440" spans="1:59" x14ac:dyDescent="0.25">
      <c r="A440" s="167"/>
      <c r="B440" s="167"/>
      <c r="C440" s="161"/>
      <c r="D440" s="160"/>
      <c r="E440" s="162"/>
      <c r="F440" s="164"/>
      <c r="G440" s="161"/>
      <c r="H440" s="161"/>
      <c r="I440" s="161"/>
      <c r="J440" s="161"/>
      <c r="K440" s="161"/>
      <c r="L440" s="166"/>
      <c r="M440" s="166"/>
      <c r="N440" s="166"/>
      <c r="O440" s="166"/>
      <c r="P440" s="166"/>
      <c r="Q440" s="166"/>
      <c r="R440" s="166"/>
      <c r="S440" s="167"/>
      <c r="T440" s="167"/>
      <c r="U440" s="167"/>
      <c r="V440" s="167"/>
      <c r="W440" s="167"/>
      <c r="X440" s="164"/>
      <c r="Y440" s="164"/>
      <c r="Z440" s="172"/>
      <c r="AA440" s="188"/>
      <c r="AB440" s="172"/>
      <c r="AC440" s="172"/>
      <c r="AD440" s="175"/>
      <c r="AE440" s="62" t="s">
        <v>153</v>
      </c>
      <c r="AF440" s="133"/>
      <c r="AG440" s="65"/>
      <c r="AH440" s="64"/>
      <c r="AI440" s="64"/>
      <c r="AJ440" s="64"/>
      <c r="AK440" s="64"/>
      <c r="AL440" s="64"/>
      <c r="AM440" s="80" t="str">
        <f>IFERROR((Tablas!$C$1*VLOOKUP(AH440, tipo_control, 2, 0)+Tablas!$E$1*VLOOKUP(AI440, nat_control, 2, 0)+Tablas!$G$1*VLOOKUP(AJ440, ev_control, 2, 0)+Tablas!$I$1*VLOOKUP(AK440, frec_control, 2, 0)+Tablas!$K$1*VLOOKUP(AL440, doc_control, 2, 0))*0.1*peso_dis, "")</f>
        <v/>
      </c>
      <c r="AN440" s="64"/>
      <c r="AO440" s="64"/>
      <c r="AP440" s="64"/>
      <c r="AQ440" s="80" t="str">
        <f>IFERROR((Tablas!$C$9*VLOOKUP(AN440, amb_control, 2, 0)+Tablas!$E$9*VLOOKUP(AO440, ejec_control, 2, 0)+Tablas!$G$9*VLOOKUP(AP440, cub_control, 2, 0))*0.1*peso_ejec, "")</f>
        <v/>
      </c>
      <c r="AR440" s="91" t="str">
        <f t="shared" si="702"/>
        <v/>
      </c>
      <c r="AS440" s="85" t="str">
        <f t="shared" si="694"/>
        <v/>
      </c>
      <c r="AT440" s="85" t="str">
        <f t="shared" si="695"/>
        <v/>
      </c>
      <c r="AU440" s="85" t="str">
        <f>IF(AR440&lt;Tablas!$G$19, 0, IF(AND(AR440&gt;=Tablas!$G$19, AR440&lt;Tablas!$G$20), 1,  IF(AND(AR440&gt;=Tablas!$G$20, AR440&lt;Tablas!$G$21), 2,  IF(AND(AR440&gt;=Tablas!$G$21, AR440&lt;=Tablas!$G$22), 3,  ""))))</f>
        <v/>
      </c>
      <c r="AV440" s="85" t="str">
        <f t="shared" si="703"/>
        <v/>
      </c>
      <c r="AW440" s="101" t="str">
        <f t="shared" si="704"/>
        <v/>
      </c>
      <c r="AX440" s="177"/>
      <c r="AY440" s="169"/>
      <c r="AZ440" s="158"/>
      <c r="BA440" s="169"/>
      <c r="BB440" s="182"/>
      <c r="BC440" s="182"/>
      <c r="BD440" s="185"/>
      <c r="BE440" s="185"/>
      <c r="BF440" s="158"/>
      <c r="BG440" s="191"/>
    </row>
    <row r="441" spans="1:59" ht="15.75" thickBot="1" x14ac:dyDescent="0.3">
      <c r="A441" s="167"/>
      <c r="B441" s="167"/>
      <c r="C441" s="161"/>
      <c r="D441" s="160"/>
      <c r="E441" s="162"/>
      <c r="F441" s="165"/>
      <c r="G441" s="161"/>
      <c r="H441" s="161"/>
      <c r="I441" s="161"/>
      <c r="J441" s="161"/>
      <c r="K441" s="161"/>
      <c r="L441" s="166"/>
      <c r="M441" s="166"/>
      <c r="N441" s="166"/>
      <c r="O441" s="166"/>
      <c r="P441" s="166"/>
      <c r="Q441" s="166"/>
      <c r="R441" s="166"/>
      <c r="S441" s="149"/>
      <c r="T441" s="149"/>
      <c r="U441" s="149"/>
      <c r="V441" s="149"/>
      <c r="W441" s="149"/>
      <c r="X441" s="165"/>
      <c r="Y441" s="165"/>
      <c r="Z441" s="172"/>
      <c r="AA441" s="188"/>
      <c r="AB441" s="172"/>
      <c r="AC441" s="172"/>
      <c r="AD441" s="175"/>
      <c r="AE441" s="66" t="s">
        <v>154</v>
      </c>
      <c r="AF441" s="134"/>
      <c r="AG441" s="67"/>
      <c r="AH441" s="69"/>
      <c r="AI441" s="69"/>
      <c r="AJ441" s="69"/>
      <c r="AK441" s="69"/>
      <c r="AL441" s="69"/>
      <c r="AM441" s="81" t="str">
        <f>IFERROR((Tablas!$C$1*VLOOKUP(AH441, tipo_control, 2, 0)+Tablas!$E$1*VLOOKUP(AI441, nat_control, 2, 0)+Tablas!$G$1*VLOOKUP(AJ441, ev_control, 2, 0)+Tablas!$I$1*VLOOKUP(AK441, frec_control, 2, 0)+Tablas!$K$1*VLOOKUP(AL441, doc_control, 2, 0))*0.1*peso_dis, "")</f>
        <v/>
      </c>
      <c r="AN441" s="69"/>
      <c r="AO441" s="69"/>
      <c r="AP441" s="69"/>
      <c r="AQ441" s="81" t="str">
        <f>IFERROR((Tablas!$C$9*VLOOKUP(AN441, amb_control, 2, 0)+Tablas!$E$9*VLOOKUP(AO441, ejec_control, 2, 0)+Tablas!$G$9*VLOOKUP(AP441, cub_control, 2, 0))*0.1*peso_ejec, "")</f>
        <v/>
      </c>
      <c r="AR441" s="93" t="str">
        <f t="shared" si="702"/>
        <v/>
      </c>
      <c r="AS441" s="94" t="str">
        <f t="shared" si="694"/>
        <v/>
      </c>
      <c r="AT441" s="94" t="str">
        <f t="shared" si="695"/>
        <v/>
      </c>
      <c r="AU441" s="94" t="str">
        <f>IF(AR441&lt;Tablas!$G$19, 0, IF(AND(AR441&gt;=Tablas!$G$19, AR441&lt;Tablas!$G$20), 1,  IF(AND(AR441&gt;=Tablas!$G$20, AR441&lt;Tablas!$G$21), 2,  IF(AND(AR441&gt;=Tablas!$G$21, AR441&lt;=Tablas!$G$22), 3,  ""))))</f>
        <v/>
      </c>
      <c r="AV441" s="94" t="str">
        <f t="shared" si="703"/>
        <v/>
      </c>
      <c r="AW441" s="102" t="str">
        <f t="shared" si="704"/>
        <v/>
      </c>
      <c r="AX441" s="157"/>
      <c r="AY441" s="170"/>
      <c r="AZ441" s="179"/>
      <c r="BA441" s="170"/>
      <c r="BB441" s="182"/>
      <c r="BC441" s="182"/>
      <c r="BD441" s="185"/>
      <c r="BE441" s="185"/>
      <c r="BF441" s="159"/>
      <c r="BG441" s="191"/>
    </row>
    <row r="442" spans="1:59" x14ac:dyDescent="0.25">
      <c r="A442" s="167"/>
      <c r="B442" s="167"/>
      <c r="C442" s="161" t="s">
        <v>181</v>
      </c>
      <c r="D442" s="160" t="s">
        <v>158</v>
      </c>
      <c r="E442" s="162"/>
      <c r="F442" s="163" t="str">
        <f t="shared" si="676"/>
        <v/>
      </c>
      <c r="G442" s="149"/>
      <c r="H442" s="149"/>
      <c r="I442" s="149"/>
      <c r="J442" s="149"/>
      <c r="K442" s="149"/>
      <c r="L442" s="165" t="str">
        <f t="shared" ref="L442" si="755">IFERROR(VLOOKUP(G442, tabla02, 2, 0), "")</f>
        <v/>
      </c>
      <c r="M442" s="165" t="str">
        <f t="shared" ref="M442" si="756">IFERROR(VLOOKUP(H442, tabla02, 2, 0), "")</f>
        <v/>
      </c>
      <c r="N442" s="165" t="str">
        <f t="shared" ref="N442" si="757">IFERROR(VLOOKUP(I442, tabla02, 2, 0), "")</f>
        <v/>
      </c>
      <c r="O442" s="165" t="str">
        <f t="shared" ref="O442" si="758">IFERROR(VLOOKUP(J442, tabla02, 2, 0), "")</f>
        <v/>
      </c>
      <c r="P442" s="165" t="str">
        <f t="shared" ref="P442" si="759">IFERROR(VLOOKUP(K442, tabla02, 2, 0), "")</f>
        <v/>
      </c>
      <c r="Q442" s="165" t="str">
        <f t="shared" ref="Q442" si="760">IF(SUM(L442:O446)=0, "", MAX(L442:P442))</f>
        <v/>
      </c>
      <c r="R442" s="165" t="str">
        <f>IFERROR(VLOOKUP(Q442, tabla04, 3, 0), "")</f>
        <v/>
      </c>
      <c r="S442" s="148"/>
      <c r="T442" s="148"/>
      <c r="U442" s="148"/>
      <c r="V442" s="148"/>
      <c r="W442" s="148"/>
      <c r="X442" s="163" t="str">
        <f>IFERROR(VLOOKUP(CONCATENATE(F442, "-", Q442), cuadrante_sev, 3, 0), "")</f>
        <v/>
      </c>
      <c r="Y442" s="163" t="str">
        <f t="shared" ref="Y442" si="761">IFERROR(IF(X442="Baja", 1, IF(X442="Moderada", 2, IF(X442="Alta", 3, IF(X442="Extrema", 4, "")))), "")</f>
        <v/>
      </c>
      <c r="Z442" s="172"/>
      <c r="AA442" s="188"/>
      <c r="AB442" s="172"/>
      <c r="AC442" s="172"/>
      <c r="AD442" s="175"/>
      <c r="AE442" s="70" t="s">
        <v>113</v>
      </c>
      <c r="AF442" s="135"/>
      <c r="AG442" s="74"/>
      <c r="AH442" s="72"/>
      <c r="AI442" s="72"/>
      <c r="AJ442" s="72"/>
      <c r="AK442" s="72"/>
      <c r="AL442" s="72"/>
      <c r="AM442" s="82" t="str">
        <f>IFERROR((Tablas!$C$1*VLOOKUP(AH442, tipo_control, 2, 0)+Tablas!$E$1*VLOOKUP(AI442, nat_control, 2, 0)+Tablas!$G$1*VLOOKUP(AJ442, ev_control, 2, 0)+Tablas!$I$1*VLOOKUP(AK442, frec_control, 2, 0)+Tablas!$K$1*VLOOKUP(AL442, doc_control, 2, 0))*0.1*peso_dis, "")</f>
        <v/>
      </c>
      <c r="AN442" s="72"/>
      <c r="AO442" s="72"/>
      <c r="AP442" s="72"/>
      <c r="AQ442" s="82" t="str">
        <f>IFERROR((Tablas!$C$9*VLOOKUP(AN442, amb_control, 2, 0)+Tablas!$E$9*VLOOKUP(AO442, ejec_control, 2, 0)+Tablas!$G$9*VLOOKUP(AP442, cub_control, 2, 0))*0.1*peso_ejec, "")</f>
        <v/>
      </c>
      <c r="AR442" s="96" t="str">
        <f t="shared" si="702"/>
        <v/>
      </c>
      <c r="AS442" s="97" t="str">
        <f t="shared" si="694"/>
        <v/>
      </c>
      <c r="AT442" s="87" t="str">
        <f t="shared" si="695"/>
        <v/>
      </c>
      <c r="AU442" s="97" t="str">
        <f>IF(AR442&lt;Tablas!$G$19, 0, IF(AND(AR442&gt;=Tablas!$G$19, AR442&lt;Tablas!$G$20), 1,  IF(AND(AR442&gt;=Tablas!$G$20, AR442&lt;Tablas!$G$21), 2,  IF(AND(AR442&gt;=Tablas!$G$21, AR442&lt;=Tablas!$G$22), 3,  ""))))</f>
        <v/>
      </c>
      <c r="AV442" s="97" t="str">
        <f t="shared" si="703"/>
        <v/>
      </c>
      <c r="AW442" s="103" t="str">
        <f t="shared" si="704"/>
        <v/>
      </c>
      <c r="AX442" s="176" t="str">
        <f t="shared" ref="AX442" si="762">IFERROR(VLOOKUP(AY442, tabla04, 2, 0), "")</f>
        <v/>
      </c>
      <c r="AY442" s="168" t="str">
        <f>IF(F442="", "", IF((F442-MAX(AV442:AV446))&lt;=0, 1, F442-MAX(AV442:AV446)))</f>
        <v/>
      </c>
      <c r="AZ442" s="178" t="str">
        <f t="shared" ref="AZ442" si="763">IFERROR(VLOOKUP(BA442, tabla04, 3, 0), "")</f>
        <v/>
      </c>
      <c r="BA442" s="168" t="str">
        <f>IF(Q442="", "", IF((Q442-MAX(AW442:AW446))&lt;=0, 1, Q442-MAX(AW442:AW446)))</f>
        <v/>
      </c>
      <c r="BB442" s="182"/>
      <c r="BC442" s="182"/>
      <c r="BD442" s="185"/>
      <c r="BE442" s="185"/>
      <c r="BF442" s="158" t="str">
        <f t="shared" ref="BF442:BF444" si="764">IFERROR(VLOOKUP(CONCATENATE(AY442, "-", BA442), cuadrante_sev, 3, 0), "")</f>
        <v/>
      </c>
      <c r="BG442" s="191"/>
    </row>
    <row r="443" spans="1:59" x14ac:dyDescent="0.25">
      <c r="A443" s="167"/>
      <c r="B443" s="167"/>
      <c r="C443" s="161"/>
      <c r="D443" s="160"/>
      <c r="E443" s="162"/>
      <c r="F443" s="164"/>
      <c r="G443" s="161"/>
      <c r="H443" s="161"/>
      <c r="I443" s="161"/>
      <c r="J443" s="161"/>
      <c r="K443" s="161"/>
      <c r="L443" s="166"/>
      <c r="M443" s="166"/>
      <c r="N443" s="166"/>
      <c r="O443" s="166"/>
      <c r="P443" s="166"/>
      <c r="Q443" s="166"/>
      <c r="R443" s="166"/>
      <c r="S443" s="167"/>
      <c r="T443" s="167"/>
      <c r="U443" s="167"/>
      <c r="V443" s="167"/>
      <c r="W443" s="167"/>
      <c r="X443" s="164"/>
      <c r="Y443" s="164"/>
      <c r="Z443" s="172"/>
      <c r="AA443" s="188"/>
      <c r="AB443" s="172"/>
      <c r="AC443" s="172"/>
      <c r="AD443" s="175"/>
      <c r="AE443" s="62" t="s">
        <v>114</v>
      </c>
      <c r="AF443" s="133"/>
      <c r="AG443" s="65"/>
      <c r="AH443" s="64"/>
      <c r="AI443" s="64"/>
      <c r="AJ443" s="64"/>
      <c r="AK443" s="64"/>
      <c r="AL443" s="64"/>
      <c r="AM443" s="80" t="str">
        <f>IFERROR((Tablas!$C$1*VLOOKUP(AH443, tipo_control, 2, 0)+Tablas!$E$1*VLOOKUP(AI443, nat_control, 2, 0)+Tablas!$G$1*VLOOKUP(AJ443, ev_control, 2, 0)+Tablas!$I$1*VLOOKUP(AK443, frec_control, 2, 0)+Tablas!$K$1*VLOOKUP(AL443, doc_control, 2, 0))*0.1*peso_dis, "")</f>
        <v/>
      </c>
      <c r="AN443" s="64"/>
      <c r="AO443" s="64"/>
      <c r="AP443" s="64"/>
      <c r="AQ443" s="80" t="str">
        <f>IFERROR((Tablas!$C$9*VLOOKUP(AN443, amb_control, 2, 0)+Tablas!$E$9*VLOOKUP(AO443, ejec_control, 2, 0)+Tablas!$G$9*VLOOKUP(AP443, cub_control, 2, 0))*0.1*peso_ejec, "")</f>
        <v/>
      </c>
      <c r="AR443" s="91" t="str">
        <f t="shared" si="702"/>
        <v/>
      </c>
      <c r="AS443" s="85" t="str">
        <f t="shared" si="694"/>
        <v/>
      </c>
      <c r="AT443" s="85" t="str">
        <f t="shared" si="695"/>
        <v/>
      </c>
      <c r="AU443" s="85" t="str">
        <f>IF(AR443&lt;Tablas!$G$19, 0, IF(AND(AR443&gt;=Tablas!$G$19, AR443&lt;Tablas!$G$20), 1,  IF(AND(AR443&gt;=Tablas!$G$20, AR443&lt;Tablas!$G$21), 2,  IF(AND(AR443&gt;=Tablas!$G$21, AR443&lt;=Tablas!$G$22), 3,  ""))))</f>
        <v/>
      </c>
      <c r="AV443" s="85" t="str">
        <f t="shared" si="703"/>
        <v/>
      </c>
      <c r="AW443" s="101" t="str">
        <f t="shared" si="704"/>
        <v/>
      </c>
      <c r="AX443" s="177"/>
      <c r="AY443" s="169"/>
      <c r="AZ443" s="158"/>
      <c r="BA443" s="169"/>
      <c r="BB443" s="182"/>
      <c r="BC443" s="182"/>
      <c r="BD443" s="185"/>
      <c r="BE443" s="185"/>
      <c r="BF443" s="158" t="str">
        <f t="shared" si="764"/>
        <v/>
      </c>
      <c r="BG443" s="191"/>
    </row>
    <row r="444" spans="1:59" x14ac:dyDescent="0.25">
      <c r="A444" s="167"/>
      <c r="B444" s="167"/>
      <c r="C444" s="161"/>
      <c r="D444" s="160"/>
      <c r="E444" s="162"/>
      <c r="F444" s="164"/>
      <c r="G444" s="161"/>
      <c r="H444" s="161"/>
      <c r="I444" s="161"/>
      <c r="J444" s="161"/>
      <c r="K444" s="161"/>
      <c r="L444" s="166"/>
      <c r="M444" s="166"/>
      <c r="N444" s="166"/>
      <c r="O444" s="166"/>
      <c r="P444" s="166"/>
      <c r="Q444" s="166"/>
      <c r="R444" s="166"/>
      <c r="S444" s="167"/>
      <c r="T444" s="167"/>
      <c r="U444" s="167"/>
      <c r="V444" s="167"/>
      <c r="W444" s="167"/>
      <c r="X444" s="164"/>
      <c r="Y444" s="164"/>
      <c r="Z444" s="172"/>
      <c r="AA444" s="188"/>
      <c r="AB444" s="172"/>
      <c r="AC444" s="172"/>
      <c r="AD444" s="175"/>
      <c r="AE444" s="62" t="s">
        <v>115</v>
      </c>
      <c r="AF444" s="133"/>
      <c r="AG444" s="65"/>
      <c r="AH444" s="64"/>
      <c r="AI444" s="64"/>
      <c r="AJ444" s="64"/>
      <c r="AK444" s="64"/>
      <c r="AL444" s="64"/>
      <c r="AM444" s="80" t="str">
        <f>IFERROR((Tablas!$C$1*VLOOKUP(AH444, tipo_control, 2, 0)+Tablas!$E$1*VLOOKUP(AI444, nat_control, 2, 0)+Tablas!$G$1*VLOOKUP(AJ444, ev_control, 2, 0)+Tablas!$I$1*VLOOKUP(AK444, frec_control, 2, 0)+Tablas!$K$1*VLOOKUP(AL444, doc_control, 2, 0))*0.1*peso_dis, "")</f>
        <v/>
      </c>
      <c r="AN444" s="64"/>
      <c r="AO444" s="64"/>
      <c r="AP444" s="64"/>
      <c r="AQ444" s="80" t="str">
        <f>IFERROR((Tablas!$C$9*VLOOKUP(AN444, amb_control, 2, 0)+Tablas!$E$9*VLOOKUP(AO444, ejec_control, 2, 0)+Tablas!$G$9*VLOOKUP(AP444, cub_control, 2, 0))*0.1*peso_ejec, "")</f>
        <v/>
      </c>
      <c r="AR444" s="91" t="str">
        <f t="shared" si="702"/>
        <v/>
      </c>
      <c r="AS444" s="85" t="str">
        <f t="shared" si="694"/>
        <v/>
      </c>
      <c r="AT444" s="85" t="str">
        <f t="shared" si="695"/>
        <v/>
      </c>
      <c r="AU444" s="85" t="str">
        <f>IF(AR444&lt;Tablas!$G$19, 0, IF(AND(AR444&gt;=Tablas!$G$19, AR444&lt;Tablas!$G$20), 1,  IF(AND(AR444&gt;=Tablas!$G$20, AR444&lt;Tablas!$G$21), 2,  IF(AND(AR444&gt;=Tablas!$G$21, AR444&lt;=Tablas!$G$22), 3,  ""))))</f>
        <v/>
      </c>
      <c r="AV444" s="85" t="str">
        <f t="shared" si="703"/>
        <v/>
      </c>
      <c r="AW444" s="101" t="str">
        <f t="shared" si="704"/>
        <v/>
      </c>
      <c r="AX444" s="177"/>
      <c r="AY444" s="169"/>
      <c r="AZ444" s="158"/>
      <c r="BA444" s="169"/>
      <c r="BB444" s="182"/>
      <c r="BC444" s="182"/>
      <c r="BD444" s="185"/>
      <c r="BE444" s="185"/>
      <c r="BF444" s="158" t="str">
        <f t="shared" si="764"/>
        <v/>
      </c>
      <c r="BG444" s="191"/>
    </row>
    <row r="445" spans="1:59" x14ac:dyDescent="0.25">
      <c r="A445" s="167"/>
      <c r="B445" s="167"/>
      <c r="C445" s="161"/>
      <c r="D445" s="160"/>
      <c r="E445" s="162"/>
      <c r="F445" s="164"/>
      <c r="G445" s="161"/>
      <c r="H445" s="161"/>
      <c r="I445" s="161"/>
      <c r="J445" s="161"/>
      <c r="K445" s="161"/>
      <c r="L445" s="166"/>
      <c r="M445" s="166"/>
      <c r="N445" s="166"/>
      <c r="O445" s="166"/>
      <c r="P445" s="166"/>
      <c r="Q445" s="166"/>
      <c r="R445" s="166"/>
      <c r="S445" s="167"/>
      <c r="T445" s="167"/>
      <c r="U445" s="167"/>
      <c r="V445" s="167"/>
      <c r="W445" s="167"/>
      <c r="X445" s="164"/>
      <c r="Y445" s="164"/>
      <c r="Z445" s="172"/>
      <c r="AA445" s="188"/>
      <c r="AB445" s="172"/>
      <c r="AC445" s="172"/>
      <c r="AD445" s="175"/>
      <c r="AE445" s="62" t="s">
        <v>153</v>
      </c>
      <c r="AF445" s="133"/>
      <c r="AG445" s="65"/>
      <c r="AH445" s="64"/>
      <c r="AI445" s="64"/>
      <c r="AJ445" s="64"/>
      <c r="AK445" s="64"/>
      <c r="AL445" s="64"/>
      <c r="AM445" s="80" t="str">
        <f>IFERROR((Tablas!$C$1*VLOOKUP(AH445, tipo_control, 2, 0)+Tablas!$E$1*VLOOKUP(AI445, nat_control, 2, 0)+Tablas!$G$1*VLOOKUP(AJ445, ev_control, 2, 0)+Tablas!$I$1*VLOOKUP(AK445, frec_control, 2, 0)+Tablas!$K$1*VLOOKUP(AL445, doc_control, 2, 0))*0.1*peso_dis, "")</f>
        <v/>
      </c>
      <c r="AN445" s="64"/>
      <c r="AO445" s="64"/>
      <c r="AP445" s="64"/>
      <c r="AQ445" s="80" t="str">
        <f>IFERROR((Tablas!$C$9*VLOOKUP(AN445, amb_control, 2, 0)+Tablas!$E$9*VLOOKUP(AO445, ejec_control, 2, 0)+Tablas!$G$9*VLOOKUP(AP445, cub_control, 2, 0))*0.1*peso_ejec, "")</f>
        <v/>
      </c>
      <c r="AR445" s="91" t="str">
        <f t="shared" si="702"/>
        <v/>
      </c>
      <c r="AS445" s="85" t="str">
        <f t="shared" si="694"/>
        <v/>
      </c>
      <c r="AT445" s="85" t="str">
        <f t="shared" si="695"/>
        <v/>
      </c>
      <c r="AU445" s="85" t="str">
        <f>IF(AR445&lt;Tablas!$G$19, 0, IF(AND(AR445&gt;=Tablas!$G$19, AR445&lt;Tablas!$G$20), 1,  IF(AND(AR445&gt;=Tablas!$G$20, AR445&lt;Tablas!$G$21), 2,  IF(AND(AR445&gt;=Tablas!$G$21, AR445&lt;=Tablas!$G$22), 3,  ""))))</f>
        <v/>
      </c>
      <c r="AV445" s="85" t="str">
        <f t="shared" si="703"/>
        <v/>
      </c>
      <c r="AW445" s="101" t="str">
        <f t="shared" si="704"/>
        <v/>
      </c>
      <c r="AX445" s="177"/>
      <c r="AY445" s="169"/>
      <c r="AZ445" s="158"/>
      <c r="BA445" s="169"/>
      <c r="BB445" s="182"/>
      <c r="BC445" s="182"/>
      <c r="BD445" s="185"/>
      <c r="BE445" s="185"/>
      <c r="BF445" s="158"/>
      <c r="BG445" s="191"/>
    </row>
    <row r="446" spans="1:59" ht="15.75" thickBot="1" x14ac:dyDescent="0.3">
      <c r="A446" s="167"/>
      <c r="B446" s="167"/>
      <c r="C446" s="161"/>
      <c r="D446" s="160"/>
      <c r="E446" s="162"/>
      <c r="F446" s="165"/>
      <c r="G446" s="161"/>
      <c r="H446" s="161"/>
      <c r="I446" s="161"/>
      <c r="J446" s="161"/>
      <c r="K446" s="161"/>
      <c r="L446" s="166"/>
      <c r="M446" s="166"/>
      <c r="N446" s="166"/>
      <c r="O446" s="166"/>
      <c r="P446" s="166"/>
      <c r="Q446" s="166"/>
      <c r="R446" s="166"/>
      <c r="S446" s="149"/>
      <c r="T446" s="149"/>
      <c r="U446" s="149"/>
      <c r="V446" s="149"/>
      <c r="W446" s="149"/>
      <c r="X446" s="165"/>
      <c r="Y446" s="165"/>
      <c r="Z446" s="172"/>
      <c r="AA446" s="188"/>
      <c r="AB446" s="172"/>
      <c r="AC446" s="172"/>
      <c r="AD446" s="175"/>
      <c r="AE446" s="66" t="s">
        <v>154</v>
      </c>
      <c r="AF446" s="134"/>
      <c r="AG446" s="67"/>
      <c r="AH446" s="69"/>
      <c r="AI446" s="69"/>
      <c r="AJ446" s="69"/>
      <c r="AK446" s="69"/>
      <c r="AL446" s="69"/>
      <c r="AM446" s="81" t="str">
        <f>IFERROR((Tablas!$C$1*VLOOKUP(AH446, tipo_control, 2, 0)+Tablas!$E$1*VLOOKUP(AI446, nat_control, 2, 0)+Tablas!$G$1*VLOOKUP(AJ446, ev_control, 2, 0)+Tablas!$I$1*VLOOKUP(AK446, frec_control, 2, 0)+Tablas!$K$1*VLOOKUP(AL446, doc_control, 2, 0))*0.1*peso_dis, "")</f>
        <v/>
      </c>
      <c r="AN446" s="69"/>
      <c r="AO446" s="69"/>
      <c r="AP446" s="69"/>
      <c r="AQ446" s="81" t="str">
        <f>IFERROR((Tablas!$C$9*VLOOKUP(AN446, amb_control, 2, 0)+Tablas!$E$9*VLOOKUP(AO446, ejec_control, 2, 0)+Tablas!$G$9*VLOOKUP(AP446, cub_control, 2, 0))*0.1*peso_ejec, "")</f>
        <v/>
      </c>
      <c r="AR446" s="93" t="str">
        <f t="shared" si="702"/>
        <v/>
      </c>
      <c r="AS446" s="94" t="str">
        <f t="shared" si="694"/>
        <v/>
      </c>
      <c r="AT446" s="94" t="str">
        <f t="shared" si="695"/>
        <v/>
      </c>
      <c r="AU446" s="94" t="str">
        <f>IF(AR446&lt;Tablas!$G$19, 0, IF(AND(AR446&gt;=Tablas!$G$19, AR446&lt;Tablas!$G$20), 1,  IF(AND(AR446&gt;=Tablas!$G$20, AR446&lt;Tablas!$G$21), 2,  IF(AND(AR446&gt;=Tablas!$G$21, AR446&lt;=Tablas!$G$22), 3,  ""))))</f>
        <v/>
      </c>
      <c r="AV446" s="94" t="str">
        <f t="shared" si="703"/>
        <v/>
      </c>
      <c r="AW446" s="102" t="str">
        <f t="shared" si="704"/>
        <v/>
      </c>
      <c r="AX446" s="157"/>
      <c r="AY446" s="170"/>
      <c r="AZ446" s="179"/>
      <c r="BA446" s="170"/>
      <c r="BB446" s="182"/>
      <c r="BC446" s="182"/>
      <c r="BD446" s="185"/>
      <c r="BE446" s="185"/>
      <c r="BF446" s="159"/>
      <c r="BG446" s="191"/>
    </row>
    <row r="447" spans="1:59" x14ac:dyDescent="0.25">
      <c r="A447" s="167"/>
      <c r="B447" s="167"/>
      <c r="C447" s="161" t="s">
        <v>182</v>
      </c>
      <c r="D447" s="160" t="s">
        <v>158</v>
      </c>
      <c r="E447" s="162"/>
      <c r="F447" s="163" t="str">
        <f t="shared" si="676"/>
        <v/>
      </c>
      <c r="G447" s="149"/>
      <c r="H447" s="149"/>
      <c r="I447" s="149"/>
      <c r="J447" s="149"/>
      <c r="K447" s="149"/>
      <c r="L447" s="165" t="str">
        <f t="shared" ref="L447" si="765">IFERROR(VLOOKUP(G447, tabla02, 2, 0), "")</f>
        <v/>
      </c>
      <c r="M447" s="165" t="str">
        <f t="shared" ref="M447" si="766">IFERROR(VLOOKUP(H447, tabla02, 2, 0), "")</f>
        <v/>
      </c>
      <c r="N447" s="165" t="str">
        <f t="shared" ref="N447" si="767">IFERROR(VLOOKUP(I447, tabla02, 2, 0), "")</f>
        <v/>
      </c>
      <c r="O447" s="165" t="str">
        <f t="shared" ref="O447" si="768">IFERROR(VLOOKUP(J447, tabla02, 2, 0), "")</f>
        <v/>
      </c>
      <c r="P447" s="165" t="str">
        <f t="shared" ref="P447" si="769">IFERROR(VLOOKUP(K447, tabla02, 2, 0), "")</f>
        <v/>
      </c>
      <c r="Q447" s="165" t="str">
        <f t="shared" ref="Q447" si="770">IF(SUM(L447:O451)=0, "", MAX(L447:P447))</f>
        <v/>
      </c>
      <c r="R447" s="165" t="str">
        <f>IFERROR(VLOOKUP(Q447, tabla04, 3, 0), "")</f>
        <v/>
      </c>
      <c r="S447" s="148"/>
      <c r="T447" s="148"/>
      <c r="U447" s="148"/>
      <c r="V447" s="148"/>
      <c r="W447" s="148"/>
      <c r="X447" s="163" t="str">
        <f>IFERROR(VLOOKUP(CONCATENATE(F447, "-", Q447), cuadrante_sev, 3, 0), "")</f>
        <v/>
      </c>
      <c r="Y447" s="163" t="str">
        <f t="shared" ref="Y447" si="771">IFERROR(IF(X447="Baja", 1, IF(X447="Moderada", 2, IF(X447="Alta", 3, IF(X447="Extrema", 4, "")))), "")</f>
        <v/>
      </c>
      <c r="Z447" s="172"/>
      <c r="AA447" s="188"/>
      <c r="AB447" s="172"/>
      <c r="AC447" s="172"/>
      <c r="AD447" s="175"/>
      <c r="AE447" s="70" t="s">
        <v>113</v>
      </c>
      <c r="AF447" s="135"/>
      <c r="AG447" s="74"/>
      <c r="AH447" s="72"/>
      <c r="AI447" s="72"/>
      <c r="AJ447" s="72"/>
      <c r="AK447" s="72"/>
      <c r="AL447" s="72"/>
      <c r="AM447" s="82" t="str">
        <f>IFERROR((Tablas!$C$1*VLOOKUP(AH447, tipo_control, 2, 0)+Tablas!$E$1*VLOOKUP(AI447, nat_control, 2, 0)+Tablas!$G$1*VLOOKUP(AJ447, ev_control, 2, 0)+Tablas!$I$1*VLOOKUP(AK447, frec_control, 2, 0)+Tablas!$K$1*VLOOKUP(AL447, doc_control, 2, 0))*0.1*peso_dis, "")</f>
        <v/>
      </c>
      <c r="AN447" s="72"/>
      <c r="AO447" s="72"/>
      <c r="AP447" s="72"/>
      <c r="AQ447" s="82" t="str">
        <f>IFERROR((Tablas!$C$9*VLOOKUP(AN447, amb_control, 2, 0)+Tablas!$E$9*VLOOKUP(AO447, ejec_control, 2, 0)+Tablas!$G$9*VLOOKUP(AP447, cub_control, 2, 0))*0.1*peso_ejec, "")</f>
        <v/>
      </c>
      <c r="AR447" s="96" t="str">
        <f t="shared" si="702"/>
        <v/>
      </c>
      <c r="AS447" s="97" t="str">
        <f t="shared" si="694"/>
        <v/>
      </c>
      <c r="AT447" s="87" t="str">
        <f t="shared" si="695"/>
        <v/>
      </c>
      <c r="AU447" s="97" t="str">
        <f>IF(AR447&lt;Tablas!$G$19, 0, IF(AND(AR447&gt;=Tablas!$G$19, AR447&lt;Tablas!$G$20), 1,  IF(AND(AR447&gt;=Tablas!$G$20, AR447&lt;Tablas!$G$21), 2,  IF(AND(AR447&gt;=Tablas!$G$21, AR447&lt;=Tablas!$G$22), 3,  ""))))</f>
        <v/>
      </c>
      <c r="AV447" s="97" t="str">
        <f t="shared" si="703"/>
        <v/>
      </c>
      <c r="AW447" s="103" t="str">
        <f t="shared" si="704"/>
        <v/>
      </c>
      <c r="AX447" s="176" t="str">
        <f t="shared" ref="AX447" si="772">IFERROR(VLOOKUP(AY447, tabla04, 2, 0), "")</f>
        <v/>
      </c>
      <c r="AY447" s="168" t="str">
        <f>IF(F447="", "", IF((F447-MAX(AV447:AV451))&lt;=0, 1, F447-MAX(AV447:AV451)))</f>
        <v/>
      </c>
      <c r="AZ447" s="178" t="str">
        <f t="shared" ref="AZ447" si="773">IFERROR(VLOOKUP(BA447, tabla04, 3, 0), "")</f>
        <v/>
      </c>
      <c r="BA447" s="168" t="str">
        <f>IF(Q447="", "", IF((Q447-MAX(AW447:AW451))&lt;=0, 1, Q447-MAX(AW447:AW451)))</f>
        <v/>
      </c>
      <c r="BB447" s="182"/>
      <c r="BC447" s="182"/>
      <c r="BD447" s="185"/>
      <c r="BE447" s="185"/>
      <c r="BF447" s="158" t="str">
        <f t="shared" ref="BF447:BF449" si="774">IFERROR(VLOOKUP(CONCATENATE(AY447, "-", BA447), cuadrante_sev, 3, 0), "")</f>
        <v/>
      </c>
      <c r="BG447" s="191"/>
    </row>
    <row r="448" spans="1:59" x14ac:dyDescent="0.25">
      <c r="A448" s="167"/>
      <c r="B448" s="167"/>
      <c r="C448" s="161"/>
      <c r="D448" s="160"/>
      <c r="E448" s="162"/>
      <c r="F448" s="164"/>
      <c r="G448" s="161"/>
      <c r="H448" s="161"/>
      <c r="I448" s="161"/>
      <c r="J448" s="161"/>
      <c r="K448" s="161"/>
      <c r="L448" s="166"/>
      <c r="M448" s="166"/>
      <c r="N448" s="166"/>
      <c r="O448" s="166"/>
      <c r="P448" s="166"/>
      <c r="Q448" s="166"/>
      <c r="R448" s="166"/>
      <c r="S448" s="167"/>
      <c r="T448" s="167"/>
      <c r="U448" s="167"/>
      <c r="V448" s="167"/>
      <c r="W448" s="167"/>
      <c r="X448" s="164"/>
      <c r="Y448" s="164"/>
      <c r="Z448" s="172"/>
      <c r="AA448" s="188"/>
      <c r="AB448" s="172"/>
      <c r="AC448" s="172"/>
      <c r="AD448" s="175"/>
      <c r="AE448" s="62" t="s">
        <v>114</v>
      </c>
      <c r="AF448" s="133"/>
      <c r="AG448" s="65"/>
      <c r="AH448" s="64"/>
      <c r="AI448" s="64"/>
      <c r="AJ448" s="64"/>
      <c r="AK448" s="64"/>
      <c r="AL448" s="64"/>
      <c r="AM448" s="80" t="str">
        <f>IFERROR((Tablas!$C$1*VLOOKUP(AH448, tipo_control, 2, 0)+Tablas!$E$1*VLOOKUP(AI448, nat_control, 2, 0)+Tablas!$G$1*VLOOKUP(AJ448, ev_control, 2, 0)+Tablas!$I$1*VLOOKUP(AK448, frec_control, 2, 0)+Tablas!$K$1*VLOOKUP(AL448, doc_control, 2, 0))*0.1*peso_dis, "")</f>
        <v/>
      </c>
      <c r="AN448" s="64"/>
      <c r="AO448" s="64"/>
      <c r="AP448" s="64"/>
      <c r="AQ448" s="80" t="str">
        <f>IFERROR((Tablas!$C$9*VLOOKUP(AN448, amb_control, 2, 0)+Tablas!$E$9*VLOOKUP(AO448, ejec_control, 2, 0)+Tablas!$G$9*VLOOKUP(AP448, cub_control, 2, 0))*0.1*peso_ejec, "")</f>
        <v/>
      </c>
      <c r="AR448" s="91" t="str">
        <f t="shared" si="702"/>
        <v/>
      </c>
      <c r="AS448" s="85" t="str">
        <f t="shared" si="694"/>
        <v/>
      </c>
      <c r="AT448" s="85" t="str">
        <f t="shared" si="695"/>
        <v/>
      </c>
      <c r="AU448" s="85" t="str">
        <f>IF(AR448&lt;Tablas!$G$19, 0, IF(AND(AR448&gt;=Tablas!$G$19, AR448&lt;Tablas!$G$20), 1,  IF(AND(AR448&gt;=Tablas!$G$20, AR448&lt;Tablas!$G$21), 2,  IF(AND(AR448&gt;=Tablas!$G$21, AR448&lt;=Tablas!$G$22), 3,  ""))))</f>
        <v/>
      </c>
      <c r="AV448" s="85" t="str">
        <f t="shared" si="703"/>
        <v/>
      </c>
      <c r="AW448" s="101" t="str">
        <f t="shared" si="704"/>
        <v/>
      </c>
      <c r="AX448" s="177"/>
      <c r="AY448" s="169"/>
      <c r="AZ448" s="158"/>
      <c r="BA448" s="169"/>
      <c r="BB448" s="182"/>
      <c r="BC448" s="182"/>
      <c r="BD448" s="185"/>
      <c r="BE448" s="185"/>
      <c r="BF448" s="158" t="str">
        <f t="shared" si="774"/>
        <v/>
      </c>
      <c r="BG448" s="191"/>
    </row>
    <row r="449" spans="1:59" x14ac:dyDescent="0.25">
      <c r="A449" s="167"/>
      <c r="B449" s="167"/>
      <c r="C449" s="161"/>
      <c r="D449" s="160"/>
      <c r="E449" s="162"/>
      <c r="F449" s="164"/>
      <c r="G449" s="161"/>
      <c r="H449" s="161"/>
      <c r="I449" s="161"/>
      <c r="J449" s="161"/>
      <c r="K449" s="161"/>
      <c r="L449" s="166"/>
      <c r="M449" s="166"/>
      <c r="N449" s="166"/>
      <c r="O449" s="166"/>
      <c r="P449" s="166"/>
      <c r="Q449" s="166"/>
      <c r="R449" s="166"/>
      <c r="S449" s="167"/>
      <c r="T449" s="167"/>
      <c r="U449" s="167"/>
      <c r="V449" s="167"/>
      <c r="W449" s="167"/>
      <c r="X449" s="164"/>
      <c r="Y449" s="164"/>
      <c r="Z449" s="172"/>
      <c r="AA449" s="188"/>
      <c r="AB449" s="172"/>
      <c r="AC449" s="172"/>
      <c r="AD449" s="175"/>
      <c r="AE449" s="62" t="s">
        <v>115</v>
      </c>
      <c r="AF449" s="133"/>
      <c r="AG449" s="65"/>
      <c r="AH449" s="64"/>
      <c r="AI449" s="64"/>
      <c r="AJ449" s="64"/>
      <c r="AK449" s="64"/>
      <c r="AL449" s="64"/>
      <c r="AM449" s="80" t="str">
        <f>IFERROR((Tablas!$C$1*VLOOKUP(AH449, tipo_control, 2, 0)+Tablas!$E$1*VLOOKUP(AI449, nat_control, 2, 0)+Tablas!$G$1*VLOOKUP(AJ449, ev_control, 2, 0)+Tablas!$I$1*VLOOKUP(AK449, frec_control, 2, 0)+Tablas!$K$1*VLOOKUP(AL449, doc_control, 2, 0))*0.1*peso_dis, "")</f>
        <v/>
      </c>
      <c r="AN449" s="64"/>
      <c r="AO449" s="64"/>
      <c r="AP449" s="64"/>
      <c r="AQ449" s="80" t="str">
        <f>IFERROR((Tablas!$C$9*VLOOKUP(AN449, amb_control, 2, 0)+Tablas!$E$9*VLOOKUP(AO449, ejec_control, 2, 0)+Tablas!$G$9*VLOOKUP(AP449, cub_control, 2, 0))*0.1*peso_ejec, "")</f>
        <v/>
      </c>
      <c r="AR449" s="91" t="str">
        <f t="shared" si="702"/>
        <v/>
      </c>
      <c r="AS449" s="85" t="str">
        <f t="shared" si="694"/>
        <v/>
      </c>
      <c r="AT449" s="85" t="str">
        <f t="shared" si="695"/>
        <v/>
      </c>
      <c r="AU449" s="85" t="str">
        <f>IF(AR449&lt;Tablas!$G$19, 0, IF(AND(AR449&gt;=Tablas!$G$19, AR449&lt;Tablas!$G$20), 1,  IF(AND(AR449&gt;=Tablas!$G$20, AR449&lt;Tablas!$G$21), 2,  IF(AND(AR449&gt;=Tablas!$G$21, AR449&lt;=Tablas!$G$22), 3,  ""))))</f>
        <v/>
      </c>
      <c r="AV449" s="85" t="str">
        <f t="shared" si="703"/>
        <v/>
      </c>
      <c r="AW449" s="101" t="str">
        <f t="shared" si="704"/>
        <v/>
      </c>
      <c r="AX449" s="177"/>
      <c r="AY449" s="169"/>
      <c r="AZ449" s="158"/>
      <c r="BA449" s="169"/>
      <c r="BB449" s="182"/>
      <c r="BC449" s="182"/>
      <c r="BD449" s="185"/>
      <c r="BE449" s="185"/>
      <c r="BF449" s="158" t="str">
        <f t="shared" si="774"/>
        <v/>
      </c>
      <c r="BG449" s="191"/>
    </row>
    <row r="450" spans="1:59" x14ac:dyDescent="0.25">
      <c r="A450" s="167"/>
      <c r="B450" s="167"/>
      <c r="C450" s="161"/>
      <c r="D450" s="160"/>
      <c r="E450" s="162"/>
      <c r="F450" s="164"/>
      <c r="G450" s="161"/>
      <c r="H450" s="161"/>
      <c r="I450" s="161"/>
      <c r="J450" s="161"/>
      <c r="K450" s="161"/>
      <c r="L450" s="166"/>
      <c r="M450" s="166"/>
      <c r="N450" s="166"/>
      <c r="O450" s="166"/>
      <c r="P450" s="166"/>
      <c r="Q450" s="166"/>
      <c r="R450" s="166"/>
      <c r="S450" s="167"/>
      <c r="T450" s="167"/>
      <c r="U450" s="167"/>
      <c r="V450" s="167"/>
      <c r="W450" s="167"/>
      <c r="X450" s="164"/>
      <c r="Y450" s="164"/>
      <c r="Z450" s="172"/>
      <c r="AA450" s="188"/>
      <c r="AB450" s="172"/>
      <c r="AC450" s="172"/>
      <c r="AD450" s="175"/>
      <c r="AE450" s="62" t="s">
        <v>153</v>
      </c>
      <c r="AF450" s="133"/>
      <c r="AG450" s="65"/>
      <c r="AH450" s="64"/>
      <c r="AI450" s="64"/>
      <c r="AJ450" s="64"/>
      <c r="AK450" s="64"/>
      <c r="AL450" s="64"/>
      <c r="AM450" s="80" t="str">
        <f>IFERROR((Tablas!$C$1*VLOOKUP(AH450, tipo_control, 2, 0)+Tablas!$E$1*VLOOKUP(AI450, nat_control, 2, 0)+Tablas!$G$1*VLOOKUP(AJ450, ev_control, 2, 0)+Tablas!$I$1*VLOOKUP(AK450, frec_control, 2, 0)+Tablas!$K$1*VLOOKUP(AL450, doc_control, 2, 0))*0.1*peso_dis, "")</f>
        <v/>
      </c>
      <c r="AN450" s="64"/>
      <c r="AO450" s="64"/>
      <c r="AP450" s="64"/>
      <c r="AQ450" s="80" t="str">
        <f>IFERROR((Tablas!$C$9*VLOOKUP(AN450, amb_control, 2, 0)+Tablas!$E$9*VLOOKUP(AO450, ejec_control, 2, 0)+Tablas!$G$9*VLOOKUP(AP450, cub_control, 2, 0))*0.1*peso_ejec, "")</f>
        <v/>
      </c>
      <c r="AR450" s="91" t="str">
        <f t="shared" si="702"/>
        <v/>
      </c>
      <c r="AS450" s="85" t="str">
        <f t="shared" si="694"/>
        <v/>
      </c>
      <c r="AT450" s="85" t="str">
        <f t="shared" si="695"/>
        <v/>
      </c>
      <c r="AU450" s="85" t="str">
        <f>IF(AR450&lt;Tablas!$G$19, 0, IF(AND(AR450&gt;=Tablas!$G$19, AR450&lt;Tablas!$G$20), 1,  IF(AND(AR450&gt;=Tablas!$G$20, AR450&lt;Tablas!$G$21), 2,  IF(AND(AR450&gt;=Tablas!$G$21, AR450&lt;=Tablas!$G$22), 3,  ""))))</f>
        <v/>
      </c>
      <c r="AV450" s="85" t="str">
        <f t="shared" si="703"/>
        <v/>
      </c>
      <c r="AW450" s="101" t="str">
        <f t="shared" si="704"/>
        <v/>
      </c>
      <c r="AX450" s="177"/>
      <c r="AY450" s="169"/>
      <c r="AZ450" s="158"/>
      <c r="BA450" s="169"/>
      <c r="BB450" s="182"/>
      <c r="BC450" s="182"/>
      <c r="BD450" s="185"/>
      <c r="BE450" s="185"/>
      <c r="BF450" s="158"/>
      <c r="BG450" s="191"/>
    </row>
    <row r="451" spans="1:59" ht="15.75" thickBot="1" x14ac:dyDescent="0.3">
      <c r="A451" s="167"/>
      <c r="B451" s="167"/>
      <c r="C451" s="161"/>
      <c r="D451" s="160"/>
      <c r="E451" s="162"/>
      <c r="F451" s="165"/>
      <c r="G451" s="161"/>
      <c r="H451" s="161"/>
      <c r="I451" s="161"/>
      <c r="J451" s="161"/>
      <c r="K451" s="161"/>
      <c r="L451" s="166"/>
      <c r="M451" s="166"/>
      <c r="N451" s="166"/>
      <c r="O451" s="166"/>
      <c r="P451" s="166"/>
      <c r="Q451" s="166"/>
      <c r="R451" s="166"/>
      <c r="S451" s="149"/>
      <c r="T451" s="149"/>
      <c r="U451" s="149"/>
      <c r="V451" s="149"/>
      <c r="W451" s="149"/>
      <c r="X451" s="165"/>
      <c r="Y451" s="165"/>
      <c r="Z451" s="172"/>
      <c r="AA451" s="188"/>
      <c r="AB451" s="172"/>
      <c r="AC451" s="172"/>
      <c r="AD451" s="175"/>
      <c r="AE451" s="66" t="s">
        <v>154</v>
      </c>
      <c r="AF451" s="134"/>
      <c r="AG451" s="67"/>
      <c r="AH451" s="69"/>
      <c r="AI451" s="69"/>
      <c r="AJ451" s="69"/>
      <c r="AK451" s="69"/>
      <c r="AL451" s="69"/>
      <c r="AM451" s="81" t="str">
        <f>IFERROR((Tablas!$C$1*VLOOKUP(AH451, tipo_control, 2, 0)+Tablas!$E$1*VLOOKUP(AI451, nat_control, 2, 0)+Tablas!$G$1*VLOOKUP(AJ451, ev_control, 2, 0)+Tablas!$I$1*VLOOKUP(AK451, frec_control, 2, 0)+Tablas!$K$1*VLOOKUP(AL451, doc_control, 2, 0))*0.1*peso_dis, "")</f>
        <v/>
      </c>
      <c r="AN451" s="69"/>
      <c r="AO451" s="69"/>
      <c r="AP451" s="69"/>
      <c r="AQ451" s="81" t="str">
        <f>IFERROR((Tablas!$C$9*VLOOKUP(AN451, amb_control, 2, 0)+Tablas!$E$9*VLOOKUP(AO451, ejec_control, 2, 0)+Tablas!$G$9*VLOOKUP(AP451, cub_control, 2, 0))*0.1*peso_ejec, "")</f>
        <v/>
      </c>
      <c r="AR451" s="93" t="str">
        <f t="shared" si="702"/>
        <v/>
      </c>
      <c r="AS451" s="94" t="str">
        <f t="shared" si="694"/>
        <v/>
      </c>
      <c r="AT451" s="94" t="str">
        <f t="shared" si="695"/>
        <v/>
      </c>
      <c r="AU451" s="94" t="str">
        <f>IF(AR451&lt;Tablas!$G$19, 0, IF(AND(AR451&gt;=Tablas!$G$19, AR451&lt;Tablas!$G$20), 1,  IF(AND(AR451&gt;=Tablas!$G$20, AR451&lt;Tablas!$G$21), 2,  IF(AND(AR451&gt;=Tablas!$G$21, AR451&lt;=Tablas!$G$22), 3,  ""))))</f>
        <v/>
      </c>
      <c r="AV451" s="94" t="str">
        <f t="shared" si="703"/>
        <v/>
      </c>
      <c r="AW451" s="102" t="str">
        <f t="shared" si="704"/>
        <v/>
      </c>
      <c r="AX451" s="157"/>
      <c r="AY451" s="170"/>
      <c r="AZ451" s="179"/>
      <c r="BA451" s="170"/>
      <c r="BB451" s="182"/>
      <c r="BC451" s="182"/>
      <c r="BD451" s="185"/>
      <c r="BE451" s="185"/>
      <c r="BF451" s="159"/>
      <c r="BG451" s="191"/>
    </row>
    <row r="452" spans="1:59" x14ac:dyDescent="0.25">
      <c r="A452" s="167"/>
      <c r="B452" s="167"/>
      <c r="C452" s="161" t="s">
        <v>183</v>
      </c>
      <c r="D452" s="160" t="s">
        <v>158</v>
      </c>
      <c r="E452" s="162"/>
      <c r="F452" s="163" t="str">
        <f t="shared" si="676"/>
        <v/>
      </c>
      <c r="G452" s="149"/>
      <c r="H452" s="149"/>
      <c r="I452" s="149"/>
      <c r="J452" s="149"/>
      <c r="K452" s="149"/>
      <c r="L452" s="165" t="str">
        <f t="shared" ref="L452" si="775">IFERROR(VLOOKUP(G452, tabla02, 2, 0), "")</f>
        <v/>
      </c>
      <c r="M452" s="165" t="str">
        <f t="shared" ref="M452" si="776">IFERROR(VLOOKUP(H452, tabla02, 2, 0), "")</f>
        <v/>
      </c>
      <c r="N452" s="165" t="str">
        <f t="shared" ref="N452" si="777">IFERROR(VLOOKUP(I452, tabla02, 2, 0), "")</f>
        <v/>
      </c>
      <c r="O452" s="165" t="str">
        <f t="shared" ref="O452" si="778">IFERROR(VLOOKUP(J452, tabla02, 2, 0), "")</f>
        <v/>
      </c>
      <c r="P452" s="165" t="str">
        <f t="shared" ref="P452" si="779">IFERROR(VLOOKUP(K452, tabla02, 2, 0), "")</f>
        <v/>
      </c>
      <c r="Q452" s="165" t="str">
        <f t="shared" ref="Q452" si="780">IF(SUM(L452:O456)=0, "", MAX(L452:P452))</f>
        <v/>
      </c>
      <c r="R452" s="165" t="str">
        <f>IFERROR(VLOOKUP(Q452, tabla04, 3, 0), "")</f>
        <v/>
      </c>
      <c r="S452" s="148"/>
      <c r="T452" s="148"/>
      <c r="U452" s="148"/>
      <c r="V452" s="148"/>
      <c r="W452" s="148"/>
      <c r="X452" s="163" t="str">
        <f>IFERROR(VLOOKUP(CONCATENATE(F452, "-", Q452), cuadrante_sev, 3, 0), "")</f>
        <v/>
      </c>
      <c r="Y452" s="163" t="str">
        <f t="shared" ref="Y452" si="781">IFERROR(IF(X452="Baja", 1, IF(X452="Moderada", 2, IF(X452="Alta", 3, IF(X452="Extrema", 4, "")))), "")</f>
        <v/>
      </c>
      <c r="Z452" s="172"/>
      <c r="AA452" s="188"/>
      <c r="AB452" s="172"/>
      <c r="AC452" s="172"/>
      <c r="AD452" s="175"/>
      <c r="AE452" s="70" t="s">
        <v>113</v>
      </c>
      <c r="AF452" s="135"/>
      <c r="AG452" s="74"/>
      <c r="AH452" s="72"/>
      <c r="AI452" s="72"/>
      <c r="AJ452" s="72"/>
      <c r="AK452" s="72"/>
      <c r="AL452" s="72"/>
      <c r="AM452" s="82" t="str">
        <f>IFERROR((Tablas!$C$1*VLOOKUP(AH452, tipo_control, 2, 0)+Tablas!$E$1*VLOOKUP(AI452, nat_control, 2, 0)+Tablas!$G$1*VLOOKUP(AJ452, ev_control, 2, 0)+Tablas!$I$1*VLOOKUP(AK452, frec_control, 2, 0)+Tablas!$K$1*VLOOKUP(AL452, doc_control, 2, 0))*0.1*peso_dis, "")</f>
        <v/>
      </c>
      <c r="AN452" s="72"/>
      <c r="AO452" s="72"/>
      <c r="AP452" s="72"/>
      <c r="AQ452" s="82" t="str">
        <f>IFERROR((Tablas!$C$9*VLOOKUP(AN452, amb_control, 2, 0)+Tablas!$E$9*VLOOKUP(AO452, ejec_control, 2, 0)+Tablas!$G$9*VLOOKUP(AP452, cub_control, 2, 0))*0.1*peso_ejec, "")</f>
        <v/>
      </c>
      <c r="AR452" s="96" t="str">
        <f t="shared" si="702"/>
        <v/>
      </c>
      <c r="AS452" s="97" t="str">
        <f t="shared" si="694"/>
        <v/>
      </c>
      <c r="AT452" s="87" t="str">
        <f t="shared" si="695"/>
        <v/>
      </c>
      <c r="AU452" s="97" t="str">
        <f>IF(AR452&lt;Tablas!$G$19, 0, IF(AND(AR452&gt;=Tablas!$G$19, AR452&lt;Tablas!$G$20), 1,  IF(AND(AR452&gt;=Tablas!$G$20, AR452&lt;Tablas!$G$21), 2,  IF(AND(AR452&gt;=Tablas!$G$21, AR452&lt;=Tablas!$G$22), 3,  ""))))</f>
        <v/>
      </c>
      <c r="AV452" s="97" t="str">
        <f t="shared" si="703"/>
        <v/>
      </c>
      <c r="AW452" s="103" t="str">
        <f t="shared" si="704"/>
        <v/>
      </c>
      <c r="AX452" s="176" t="str">
        <f t="shared" ref="AX452" si="782">IFERROR(VLOOKUP(AY452, tabla04, 2, 0), "")</f>
        <v/>
      </c>
      <c r="AY452" s="168" t="str">
        <f>IF(F452="", "", IF((F452-MAX(AV452:AV456))&lt;=0, 1, F452-MAX(AV452:AV456)))</f>
        <v/>
      </c>
      <c r="AZ452" s="178" t="str">
        <f t="shared" ref="AZ452" si="783">IFERROR(VLOOKUP(BA452, tabla04, 3, 0), "")</f>
        <v/>
      </c>
      <c r="BA452" s="168" t="str">
        <f>IF(Q452="", "", IF((Q452-MAX(AW452:AW456))&lt;=0, 1, Q452-MAX(AW452:AW456)))</f>
        <v/>
      </c>
      <c r="BB452" s="182"/>
      <c r="BC452" s="182"/>
      <c r="BD452" s="185"/>
      <c r="BE452" s="185"/>
      <c r="BF452" s="158" t="str">
        <f t="shared" ref="BF452:BF454" si="784">IFERROR(VLOOKUP(CONCATENATE(AY452, "-", BA452), cuadrante_sev, 3, 0), "")</f>
        <v/>
      </c>
      <c r="BG452" s="191"/>
    </row>
    <row r="453" spans="1:59" x14ac:dyDescent="0.25">
      <c r="A453" s="167"/>
      <c r="B453" s="167"/>
      <c r="C453" s="161"/>
      <c r="D453" s="160"/>
      <c r="E453" s="162"/>
      <c r="F453" s="164"/>
      <c r="G453" s="161"/>
      <c r="H453" s="161"/>
      <c r="I453" s="161"/>
      <c r="J453" s="161"/>
      <c r="K453" s="161"/>
      <c r="L453" s="166"/>
      <c r="M453" s="166"/>
      <c r="N453" s="166"/>
      <c r="O453" s="166"/>
      <c r="P453" s="166"/>
      <c r="Q453" s="166"/>
      <c r="R453" s="166"/>
      <c r="S453" s="167"/>
      <c r="T453" s="167"/>
      <c r="U453" s="167"/>
      <c r="V453" s="167"/>
      <c r="W453" s="167"/>
      <c r="X453" s="164"/>
      <c r="Y453" s="164"/>
      <c r="Z453" s="172"/>
      <c r="AA453" s="188"/>
      <c r="AB453" s="172"/>
      <c r="AC453" s="172"/>
      <c r="AD453" s="175"/>
      <c r="AE453" s="62" t="s">
        <v>114</v>
      </c>
      <c r="AF453" s="133"/>
      <c r="AG453" s="65"/>
      <c r="AH453" s="64"/>
      <c r="AI453" s="64"/>
      <c r="AJ453" s="64"/>
      <c r="AK453" s="64"/>
      <c r="AL453" s="64"/>
      <c r="AM453" s="80" t="str">
        <f>IFERROR((Tablas!$C$1*VLOOKUP(AH453, tipo_control, 2, 0)+Tablas!$E$1*VLOOKUP(AI453, nat_control, 2, 0)+Tablas!$G$1*VLOOKUP(AJ453, ev_control, 2, 0)+Tablas!$I$1*VLOOKUP(AK453, frec_control, 2, 0)+Tablas!$K$1*VLOOKUP(AL453, doc_control, 2, 0))*0.1*peso_dis, "")</f>
        <v/>
      </c>
      <c r="AN453" s="64"/>
      <c r="AO453" s="64"/>
      <c r="AP453" s="64"/>
      <c r="AQ453" s="80" t="str">
        <f>IFERROR((Tablas!$C$9*VLOOKUP(AN453, amb_control, 2, 0)+Tablas!$E$9*VLOOKUP(AO453, ejec_control, 2, 0)+Tablas!$G$9*VLOOKUP(AP453, cub_control, 2, 0))*0.1*peso_ejec, "")</f>
        <v/>
      </c>
      <c r="AR453" s="91" t="str">
        <f t="shared" si="702"/>
        <v/>
      </c>
      <c r="AS453" s="85" t="str">
        <f t="shared" si="694"/>
        <v/>
      </c>
      <c r="AT453" s="85" t="str">
        <f t="shared" si="695"/>
        <v/>
      </c>
      <c r="AU453" s="85" t="str">
        <f>IF(AR453&lt;Tablas!$G$19, 0, IF(AND(AR453&gt;=Tablas!$G$19, AR453&lt;Tablas!$G$20), 1,  IF(AND(AR453&gt;=Tablas!$G$20, AR453&lt;Tablas!$G$21), 2,  IF(AND(AR453&gt;=Tablas!$G$21, AR453&lt;=Tablas!$G$22), 3,  ""))))</f>
        <v/>
      </c>
      <c r="AV453" s="85" t="str">
        <f t="shared" si="703"/>
        <v/>
      </c>
      <c r="AW453" s="101" t="str">
        <f t="shared" si="704"/>
        <v/>
      </c>
      <c r="AX453" s="177"/>
      <c r="AY453" s="169"/>
      <c r="AZ453" s="158"/>
      <c r="BA453" s="169"/>
      <c r="BB453" s="182"/>
      <c r="BC453" s="182"/>
      <c r="BD453" s="185"/>
      <c r="BE453" s="185"/>
      <c r="BF453" s="158" t="str">
        <f t="shared" si="784"/>
        <v/>
      </c>
      <c r="BG453" s="191"/>
    </row>
    <row r="454" spans="1:59" x14ac:dyDescent="0.25">
      <c r="A454" s="167"/>
      <c r="B454" s="167"/>
      <c r="C454" s="161"/>
      <c r="D454" s="160"/>
      <c r="E454" s="162"/>
      <c r="F454" s="164"/>
      <c r="G454" s="161"/>
      <c r="H454" s="161"/>
      <c r="I454" s="161"/>
      <c r="J454" s="161"/>
      <c r="K454" s="161"/>
      <c r="L454" s="166"/>
      <c r="M454" s="166"/>
      <c r="N454" s="166"/>
      <c r="O454" s="166"/>
      <c r="P454" s="166"/>
      <c r="Q454" s="166"/>
      <c r="R454" s="166"/>
      <c r="S454" s="167"/>
      <c r="T454" s="167"/>
      <c r="U454" s="167"/>
      <c r="V454" s="167"/>
      <c r="W454" s="167"/>
      <c r="X454" s="164"/>
      <c r="Y454" s="164"/>
      <c r="Z454" s="172"/>
      <c r="AA454" s="188"/>
      <c r="AB454" s="172"/>
      <c r="AC454" s="172"/>
      <c r="AD454" s="175"/>
      <c r="AE454" s="62" t="s">
        <v>115</v>
      </c>
      <c r="AF454" s="133"/>
      <c r="AG454" s="65"/>
      <c r="AH454" s="64"/>
      <c r="AI454" s="64"/>
      <c r="AJ454" s="64"/>
      <c r="AK454" s="64"/>
      <c r="AL454" s="64"/>
      <c r="AM454" s="80" t="str">
        <f>IFERROR((Tablas!$C$1*VLOOKUP(AH454, tipo_control, 2, 0)+Tablas!$E$1*VLOOKUP(AI454, nat_control, 2, 0)+Tablas!$G$1*VLOOKUP(AJ454, ev_control, 2, 0)+Tablas!$I$1*VLOOKUP(AK454, frec_control, 2, 0)+Tablas!$K$1*VLOOKUP(AL454, doc_control, 2, 0))*0.1*peso_dis, "")</f>
        <v/>
      </c>
      <c r="AN454" s="64"/>
      <c r="AO454" s="64"/>
      <c r="AP454" s="64"/>
      <c r="AQ454" s="80" t="str">
        <f>IFERROR((Tablas!$C$9*VLOOKUP(AN454, amb_control, 2, 0)+Tablas!$E$9*VLOOKUP(AO454, ejec_control, 2, 0)+Tablas!$G$9*VLOOKUP(AP454, cub_control, 2, 0))*0.1*peso_ejec, "")</f>
        <v/>
      </c>
      <c r="AR454" s="91" t="str">
        <f t="shared" si="702"/>
        <v/>
      </c>
      <c r="AS454" s="85" t="str">
        <f t="shared" si="694"/>
        <v/>
      </c>
      <c r="AT454" s="85" t="str">
        <f t="shared" si="695"/>
        <v/>
      </c>
      <c r="AU454" s="85" t="str">
        <f>IF(AR454&lt;Tablas!$G$19, 0, IF(AND(AR454&gt;=Tablas!$G$19, AR454&lt;Tablas!$G$20), 1,  IF(AND(AR454&gt;=Tablas!$G$20, AR454&lt;Tablas!$G$21), 2,  IF(AND(AR454&gt;=Tablas!$G$21, AR454&lt;=Tablas!$G$22), 3,  ""))))</f>
        <v/>
      </c>
      <c r="AV454" s="85" t="str">
        <f t="shared" si="703"/>
        <v/>
      </c>
      <c r="AW454" s="101" t="str">
        <f t="shared" si="704"/>
        <v/>
      </c>
      <c r="AX454" s="177"/>
      <c r="AY454" s="169"/>
      <c r="AZ454" s="158"/>
      <c r="BA454" s="169"/>
      <c r="BB454" s="182"/>
      <c r="BC454" s="182"/>
      <c r="BD454" s="185"/>
      <c r="BE454" s="185"/>
      <c r="BF454" s="158" t="str">
        <f t="shared" si="784"/>
        <v/>
      </c>
      <c r="BG454" s="191"/>
    </row>
    <row r="455" spans="1:59" x14ac:dyDescent="0.25">
      <c r="A455" s="167"/>
      <c r="B455" s="167"/>
      <c r="C455" s="161"/>
      <c r="D455" s="160"/>
      <c r="E455" s="162"/>
      <c r="F455" s="164"/>
      <c r="G455" s="161"/>
      <c r="H455" s="161"/>
      <c r="I455" s="161"/>
      <c r="J455" s="161"/>
      <c r="K455" s="161"/>
      <c r="L455" s="166"/>
      <c r="M455" s="166"/>
      <c r="N455" s="166"/>
      <c r="O455" s="166"/>
      <c r="P455" s="166"/>
      <c r="Q455" s="166"/>
      <c r="R455" s="166"/>
      <c r="S455" s="167"/>
      <c r="T455" s="167"/>
      <c r="U455" s="167"/>
      <c r="V455" s="167"/>
      <c r="W455" s="167"/>
      <c r="X455" s="164"/>
      <c r="Y455" s="164"/>
      <c r="Z455" s="172"/>
      <c r="AA455" s="188"/>
      <c r="AB455" s="172"/>
      <c r="AC455" s="172"/>
      <c r="AD455" s="175"/>
      <c r="AE455" s="62" t="s">
        <v>153</v>
      </c>
      <c r="AF455" s="133"/>
      <c r="AG455" s="65"/>
      <c r="AH455" s="64"/>
      <c r="AI455" s="64"/>
      <c r="AJ455" s="64"/>
      <c r="AK455" s="64"/>
      <c r="AL455" s="64"/>
      <c r="AM455" s="80" t="str">
        <f>IFERROR((Tablas!$C$1*VLOOKUP(AH455, tipo_control, 2, 0)+Tablas!$E$1*VLOOKUP(AI455, nat_control, 2, 0)+Tablas!$G$1*VLOOKUP(AJ455, ev_control, 2, 0)+Tablas!$I$1*VLOOKUP(AK455, frec_control, 2, 0)+Tablas!$K$1*VLOOKUP(AL455, doc_control, 2, 0))*0.1*peso_dis, "")</f>
        <v/>
      </c>
      <c r="AN455" s="64"/>
      <c r="AO455" s="64"/>
      <c r="AP455" s="64"/>
      <c r="AQ455" s="80" t="str">
        <f>IFERROR((Tablas!$C$9*VLOOKUP(AN455, amb_control, 2, 0)+Tablas!$E$9*VLOOKUP(AO455, ejec_control, 2, 0)+Tablas!$G$9*VLOOKUP(AP455, cub_control, 2, 0))*0.1*peso_ejec, "")</f>
        <v/>
      </c>
      <c r="AR455" s="91" t="str">
        <f t="shared" si="702"/>
        <v/>
      </c>
      <c r="AS455" s="85" t="str">
        <f t="shared" si="694"/>
        <v/>
      </c>
      <c r="AT455" s="85" t="str">
        <f t="shared" si="695"/>
        <v/>
      </c>
      <c r="AU455" s="85" t="str">
        <f>IF(AR455&lt;Tablas!$G$19, 0, IF(AND(AR455&gt;=Tablas!$G$19, AR455&lt;Tablas!$G$20), 1,  IF(AND(AR455&gt;=Tablas!$G$20, AR455&lt;Tablas!$G$21), 2,  IF(AND(AR455&gt;=Tablas!$G$21, AR455&lt;=Tablas!$G$22), 3,  ""))))</f>
        <v/>
      </c>
      <c r="AV455" s="85" t="str">
        <f t="shared" si="703"/>
        <v/>
      </c>
      <c r="AW455" s="101" t="str">
        <f t="shared" si="704"/>
        <v/>
      </c>
      <c r="AX455" s="177"/>
      <c r="AY455" s="169"/>
      <c r="AZ455" s="158"/>
      <c r="BA455" s="169"/>
      <c r="BB455" s="182"/>
      <c r="BC455" s="182"/>
      <c r="BD455" s="185"/>
      <c r="BE455" s="185"/>
      <c r="BF455" s="158"/>
      <c r="BG455" s="191"/>
    </row>
    <row r="456" spans="1:59" ht="15.75" thickBot="1" x14ac:dyDescent="0.3">
      <c r="A456" s="149"/>
      <c r="B456" s="149"/>
      <c r="C456" s="161"/>
      <c r="D456" s="160"/>
      <c r="E456" s="162"/>
      <c r="F456" s="165"/>
      <c r="G456" s="161"/>
      <c r="H456" s="161"/>
      <c r="I456" s="161"/>
      <c r="J456" s="161"/>
      <c r="K456" s="161"/>
      <c r="L456" s="166"/>
      <c r="M456" s="166"/>
      <c r="N456" s="166"/>
      <c r="O456" s="166"/>
      <c r="P456" s="166"/>
      <c r="Q456" s="166"/>
      <c r="R456" s="166"/>
      <c r="S456" s="149"/>
      <c r="T456" s="149"/>
      <c r="U456" s="149"/>
      <c r="V456" s="149"/>
      <c r="W456" s="149"/>
      <c r="X456" s="165"/>
      <c r="Y456" s="165"/>
      <c r="Z456" s="173"/>
      <c r="AA456" s="189"/>
      <c r="AB456" s="173"/>
      <c r="AC456" s="173"/>
      <c r="AD456" s="175"/>
      <c r="AE456" s="75" t="s">
        <v>154</v>
      </c>
      <c r="AF456" s="136"/>
      <c r="AG456" s="68"/>
      <c r="AH456" s="76"/>
      <c r="AI456" s="76"/>
      <c r="AJ456" s="76"/>
      <c r="AK456" s="76"/>
      <c r="AL456" s="76"/>
      <c r="AM456" s="83" t="str">
        <f>IFERROR((Tablas!$C$1*VLOOKUP(AH456, tipo_control, 2, 0)+Tablas!$E$1*VLOOKUP(AI456, nat_control, 2, 0)+Tablas!$G$1*VLOOKUP(AJ456, ev_control, 2, 0)+Tablas!$I$1*VLOOKUP(AK456, frec_control, 2, 0)+Tablas!$K$1*VLOOKUP(AL456, doc_control, 2, 0))*0.1*peso_dis, "")</f>
        <v/>
      </c>
      <c r="AN456" s="76"/>
      <c r="AO456" s="76"/>
      <c r="AP456" s="76"/>
      <c r="AQ456" s="83" t="str">
        <f>IFERROR((Tablas!$C$9*VLOOKUP(AN456, amb_control, 2, 0)+Tablas!$E$9*VLOOKUP(AO456, ejec_control, 2, 0)+Tablas!$G$9*VLOOKUP(AP456, cub_control, 2, 0))*0.1*peso_ejec, "")</f>
        <v/>
      </c>
      <c r="AR456" s="99" t="str">
        <f t="shared" si="702"/>
        <v/>
      </c>
      <c r="AS456" s="86" t="str">
        <f t="shared" si="694"/>
        <v/>
      </c>
      <c r="AT456" s="86" t="str">
        <f t="shared" si="695"/>
        <v/>
      </c>
      <c r="AU456" s="86" t="str">
        <f>IF(AR456&lt;Tablas!$G$19, 0, IF(AND(AR456&gt;=Tablas!$G$19, AR456&lt;Tablas!$G$20), 1,  IF(AND(AR456&gt;=Tablas!$G$20, AR456&lt;Tablas!$G$21), 2,  IF(AND(AR456&gt;=Tablas!$G$21, AR456&lt;=Tablas!$G$22), 3,  ""))))</f>
        <v/>
      </c>
      <c r="AV456" s="86" t="str">
        <f t="shared" si="703"/>
        <v/>
      </c>
      <c r="AW456" s="84" t="str">
        <f t="shared" si="704"/>
        <v/>
      </c>
      <c r="AX456" s="157"/>
      <c r="AY456" s="170"/>
      <c r="AZ456" s="179"/>
      <c r="BA456" s="170"/>
      <c r="BB456" s="183"/>
      <c r="BC456" s="183"/>
      <c r="BD456" s="186"/>
      <c r="BE456" s="186"/>
      <c r="BF456" s="159"/>
      <c r="BG456" s="191"/>
    </row>
    <row r="457" spans="1:59" x14ac:dyDescent="0.25">
      <c r="A457" s="148" t="s">
        <v>193</v>
      </c>
      <c r="B457" s="148" t="s">
        <v>194</v>
      </c>
      <c r="C457" s="161" t="s">
        <v>14</v>
      </c>
      <c r="D457" s="160" t="s">
        <v>158</v>
      </c>
      <c r="E457" s="193"/>
      <c r="F457" s="163" t="str">
        <f t="shared" si="676"/>
        <v/>
      </c>
      <c r="G457" s="149"/>
      <c r="H457" s="149"/>
      <c r="I457" s="149"/>
      <c r="J457" s="149"/>
      <c r="K457" s="149"/>
      <c r="L457" s="165" t="str">
        <f>IFERROR(VLOOKUP(G457, tabla02, 2, 0), "")</f>
        <v/>
      </c>
      <c r="M457" s="165" t="str">
        <f>IFERROR(VLOOKUP(H457, tabla02, 2, 0), "")</f>
        <v/>
      </c>
      <c r="N457" s="165" t="str">
        <f>IFERROR(VLOOKUP(I457, tabla02, 2, 0), "")</f>
        <v/>
      </c>
      <c r="O457" s="165" t="str">
        <f>IFERROR(VLOOKUP(J457, tabla02, 2, 0), "")</f>
        <v/>
      </c>
      <c r="P457" s="165" t="str">
        <f>IFERROR(VLOOKUP(K457, tabla02, 2, 0), "")</f>
        <v/>
      </c>
      <c r="Q457" s="165" t="str">
        <f t="shared" ref="Q457" si="785">IF(SUM(L457:O461)=0, "", MAX(L457:P457))</f>
        <v/>
      </c>
      <c r="R457" s="165" t="str">
        <f>IFERROR(VLOOKUP(Q457, tabla04, 3, 0), "")</f>
        <v/>
      </c>
      <c r="S457" s="148"/>
      <c r="T457" s="148"/>
      <c r="U457" s="148"/>
      <c r="V457" s="148"/>
      <c r="W457" s="148"/>
      <c r="X457" s="164" t="str">
        <f>IFERROR(VLOOKUP(CONCATENATE(F457, "-", Q457), cuadrante_sev, 3, 0), "")</f>
        <v/>
      </c>
      <c r="Y457" s="163" t="str">
        <f>IFERROR(IF(X457="Baja", 1, IF(X457="Moderada", 2, IF(X457="Alta", 3, IF(X457="Extrema", 4, "")))), "")</f>
        <v/>
      </c>
      <c r="Z457" s="171">
        <f t="shared" ref="Z457" si="786">MAX(F457:F506)</f>
        <v>0</v>
      </c>
      <c r="AA457" s="187">
        <f t="shared" ref="AA457" si="787">MAX(Q457:Q506)</f>
        <v>0</v>
      </c>
      <c r="AB457" s="171" t="str">
        <f>IFERROR(VLOOKUP(Z457, tabla04, 2, 0), "")</f>
        <v/>
      </c>
      <c r="AC457" s="171" t="str">
        <f>IFERROR(VLOOKUP(AA457, tabla04, 3, 0), "")</f>
        <v/>
      </c>
      <c r="AD457" s="174" t="str">
        <f>IFERROR(VLOOKUP(CONCATENATE(Z457, "-", AA457), cuadrante_sev, 3, 0), "")</f>
        <v/>
      </c>
      <c r="AE457" s="59" t="s">
        <v>113</v>
      </c>
      <c r="AF457" s="132"/>
      <c r="AG457" s="77"/>
      <c r="AH457" s="61"/>
      <c r="AI457" s="61"/>
      <c r="AJ457" s="61"/>
      <c r="AK457" s="61"/>
      <c r="AL457" s="61"/>
      <c r="AM457" s="79" t="str">
        <f>IFERROR((Tablas!$C$1*VLOOKUP(AH457, tipo_control, 2, 0)+Tablas!$E$1*VLOOKUP(AI457, nat_control, 2, 0)+Tablas!$G$1*VLOOKUP(AJ457, ev_control, 2, 0)+Tablas!$I$1*VLOOKUP(AK457, frec_control, 2, 0)+Tablas!$K$1*VLOOKUP(AL457, doc_control, 2, 0))*0.1*peso_dis, "")</f>
        <v/>
      </c>
      <c r="AN457" s="61"/>
      <c r="AO457" s="61"/>
      <c r="AP457" s="61"/>
      <c r="AQ457" s="79" t="str">
        <f>IFERROR((Tablas!$C$9*VLOOKUP(AN457, amb_control, 2, 0)+Tablas!$E$9*VLOOKUP(AO457, ejec_control, 2, 0)+Tablas!$G$9*VLOOKUP(AP457, cub_control, 2, 0))*0.1*peso_ejec, "")</f>
        <v/>
      </c>
      <c r="AR457" s="89" t="str">
        <f>IFERROR(AM457+AQ457, "")</f>
        <v/>
      </c>
      <c r="AS457" s="87" t="str">
        <f t="shared" si="694"/>
        <v/>
      </c>
      <c r="AT457" s="87" t="str">
        <f t="shared" si="695"/>
        <v/>
      </c>
      <c r="AU457" s="87" t="str">
        <f>IF(AR457&lt;Tablas!$G$19, 0, IF(AND(AR457&gt;=Tablas!$G$19, AR457&lt;Tablas!$G$20), 1,  IF(AND(AR457&gt;=Tablas!$G$20, AR457&lt;Tablas!$G$21), 2,  IF(AND(AR457&gt;=Tablas!$G$21, AR457&lt;=Tablas!$G$22), 3,  ""))))</f>
        <v/>
      </c>
      <c r="AV457" s="87" t="str">
        <f>IF(AS457="Sí",AU457,"")</f>
        <v/>
      </c>
      <c r="AW457" s="100" t="str">
        <f>IF(AT457="Sí",AU457,"")</f>
        <v/>
      </c>
      <c r="AX457" s="176" t="str">
        <f>IFERROR(VLOOKUP(AY457, tabla04, 2, 0), "")</f>
        <v/>
      </c>
      <c r="AY457" s="168" t="str">
        <f>IF(F457="", "", IF((F457-MAX(AV457:AV461))&lt;=0, 1, F457-MAX(AV457:AV461)))</f>
        <v/>
      </c>
      <c r="AZ457" s="178" t="str">
        <f>IFERROR(VLOOKUP(BA457, tabla04, 3, 0), "")</f>
        <v/>
      </c>
      <c r="BA457" s="168" t="str">
        <f>IF(Q457="", "", IF((Q457-MAX(AW457:AW461))&lt;=0, 1, Q457-MAX(AW457:AW461)))</f>
        <v/>
      </c>
      <c r="BB457" s="170">
        <f>IFERROR(MAX(AY457:AY506), "")</f>
        <v>0</v>
      </c>
      <c r="BC457" s="170">
        <f>IFERROR(MAX(BA457:BA506), "")</f>
        <v>0</v>
      </c>
      <c r="BD457" s="184" t="str">
        <f>IFERROR(VLOOKUP(BB457, tabla04, 2, 0), "")</f>
        <v/>
      </c>
      <c r="BE457" s="184" t="str">
        <f>IFERROR(VLOOKUP(BC457, tabla04, 3, 0), "")</f>
        <v/>
      </c>
      <c r="BF457" s="158" t="str">
        <f>IFERROR(VLOOKUP(CONCATENATE(AY457, "-", BA457), cuadrante_sev, 3, 0), "")</f>
        <v/>
      </c>
      <c r="BG457" s="190" t="str">
        <f>IFERROR(VLOOKUP(CONCATENATE(BB457, "-", BC457), cuadrante_sev, 3, 0), "")</f>
        <v/>
      </c>
    </row>
    <row r="458" spans="1:59" x14ac:dyDescent="0.25">
      <c r="A458" s="167"/>
      <c r="B458" s="167"/>
      <c r="C458" s="161"/>
      <c r="D458" s="160"/>
      <c r="E458" s="162"/>
      <c r="F458" s="164"/>
      <c r="G458" s="161"/>
      <c r="H458" s="161"/>
      <c r="I458" s="161"/>
      <c r="J458" s="161"/>
      <c r="K458" s="161"/>
      <c r="L458" s="166"/>
      <c r="M458" s="166"/>
      <c r="N458" s="166"/>
      <c r="O458" s="166"/>
      <c r="P458" s="166"/>
      <c r="Q458" s="166"/>
      <c r="R458" s="166"/>
      <c r="S458" s="167"/>
      <c r="T458" s="167"/>
      <c r="U458" s="167"/>
      <c r="V458" s="167"/>
      <c r="W458" s="167"/>
      <c r="X458" s="164"/>
      <c r="Y458" s="164"/>
      <c r="Z458" s="172"/>
      <c r="AA458" s="188"/>
      <c r="AB458" s="172"/>
      <c r="AC458" s="172"/>
      <c r="AD458" s="175"/>
      <c r="AE458" s="62" t="s">
        <v>114</v>
      </c>
      <c r="AF458" s="133"/>
      <c r="AG458" s="65"/>
      <c r="AH458" s="64"/>
      <c r="AI458" s="64"/>
      <c r="AJ458" s="64"/>
      <c r="AK458" s="64"/>
      <c r="AL458" s="64"/>
      <c r="AM458" s="80" t="str">
        <f>IFERROR((Tablas!$C$1*VLOOKUP(AH458, tipo_control, 2, 0)+Tablas!$E$1*VLOOKUP(AI458, nat_control, 2, 0)+Tablas!$G$1*VLOOKUP(AJ458, ev_control, 2, 0)+Tablas!$I$1*VLOOKUP(AK458, frec_control, 2, 0)+Tablas!$K$1*VLOOKUP(AL458, doc_control, 2, 0))*0.1*peso_dis, "")</f>
        <v/>
      </c>
      <c r="AN458" s="64"/>
      <c r="AO458" s="64"/>
      <c r="AP458" s="64"/>
      <c r="AQ458" s="80" t="str">
        <f>IFERROR((Tablas!$C$9*VLOOKUP(AN458, amb_control, 2, 0)+Tablas!$E$9*VLOOKUP(AO458, ejec_control, 2, 0)+Tablas!$G$9*VLOOKUP(AP458, cub_control, 2, 0))*0.1*peso_ejec, "")</f>
        <v/>
      </c>
      <c r="AR458" s="91" t="str">
        <f t="shared" ref="AR458:AR506" si="788">IFERROR(AM458+AQ458, "")</f>
        <v/>
      </c>
      <c r="AS458" s="87" t="str">
        <f t="shared" si="694"/>
        <v/>
      </c>
      <c r="AT458" s="85" t="str">
        <f t="shared" si="695"/>
        <v/>
      </c>
      <c r="AU458" s="85" t="str">
        <f>IF(AR458&lt;Tablas!$G$19, 0, IF(AND(AR458&gt;=Tablas!$G$19, AR458&lt;Tablas!$G$20), 1,  IF(AND(AR458&gt;=Tablas!$G$20, AR458&lt;Tablas!$G$21), 2,  IF(AND(AR458&gt;=Tablas!$G$21, AR458&lt;=Tablas!$G$22), 3,  ""))))</f>
        <v/>
      </c>
      <c r="AV458" s="85" t="str">
        <f t="shared" ref="AV458:AV506" si="789">IF(AS458="Sí",AU458,"")</f>
        <v/>
      </c>
      <c r="AW458" s="101" t="str">
        <f t="shared" ref="AW458:AW506" si="790">IF(AT458="Sí",AU458,"")</f>
        <v/>
      </c>
      <c r="AX458" s="177"/>
      <c r="AY458" s="169"/>
      <c r="AZ458" s="158"/>
      <c r="BA458" s="169"/>
      <c r="BB458" s="182"/>
      <c r="BC458" s="182"/>
      <c r="BD458" s="185"/>
      <c r="BE458" s="185"/>
      <c r="BF458" s="158"/>
      <c r="BG458" s="191"/>
    </row>
    <row r="459" spans="1:59" x14ac:dyDescent="0.25">
      <c r="A459" s="167"/>
      <c r="B459" s="167"/>
      <c r="C459" s="161"/>
      <c r="D459" s="160"/>
      <c r="E459" s="162"/>
      <c r="F459" s="164"/>
      <c r="G459" s="161"/>
      <c r="H459" s="161"/>
      <c r="I459" s="161"/>
      <c r="J459" s="161"/>
      <c r="K459" s="161"/>
      <c r="L459" s="166"/>
      <c r="M459" s="166"/>
      <c r="N459" s="166"/>
      <c r="O459" s="166"/>
      <c r="P459" s="166"/>
      <c r="Q459" s="166"/>
      <c r="R459" s="166"/>
      <c r="S459" s="167"/>
      <c r="T459" s="167"/>
      <c r="U459" s="167"/>
      <c r="V459" s="167"/>
      <c r="W459" s="167"/>
      <c r="X459" s="164"/>
      <c r="Y459" s="164"/>
      <c r="Z459" s="172"/>
      <c r="AA459" s="188"/>
      <c r="AB459" s="172"/>
      <c r="AC459" s="172"/>
      <c r="AD459" s="175"/>
      <c r="AE459" s="62" t="s">
        <v>115</v>
      </c>
      <c r="AF459" s="133"/>
      <c r="AG459" s="65"/>
      <c r="AH459" s="64"/>
      <c r="AI459" s="64"/>
      <c r="AJ459" s="64"/>
      <c r="AK459" s="64"/>
      <c r="AL459" s="64"/>
      <c r="AM459" s="80" t="str">
        <f>IFERROR((Tablas!$C$1*VLOOKUP(AH459, tipo_control, 2, 0)+Tablas!$E$1*VLOOKUP(AI459, nat_control, 2, 0)+Tablas!$G$1*VLOOKUP(AJ459, ev_control, 2, 0)+Tablas!$I$1*VLOOKUP(AK459, frec_control, 2, 0)+Tablas!$K$1*VLOOKUP(AL459, doc_control, 2, 0))*0.1*peso_dis, "")</f>
        <v/>
      </c>
      <c r="AN459" s="64"/>
      <c r="AO459" s="64"/>
      <c r="AP459" s="64"/>
      <c r="AQ459" s="80" t="str">
        <f>IFERROR((Tablas!$C$9*VLOOKUP(AN459, amb_control, 2, 0)+Tablas!$E$9*VLOOKUP(AO459, ejec_control, 2, 0)+Tablas!$G$9*VLOOKUP(AP459, cub_control, 2, 0))*0.1*peso_ejec, "")</f>
        <v/>
      </c>
      <c r="AR459" s="91" t="str">
        <f t="shared" si="788"/>
        <v/>
      </c>
      <c r="AS459" s="87" t="str">
        <f t="shared" si="694"/>
        <v/>
      </c>
      <c r="AT459" s="85" t="str">
        <f t="shared" si="695"/>
        <v/>
      </c>
      <c r="AU459" s="85" t="str">
        <f>IF(AR459&lt;Tablas!$G$19, 0, IF(AND(AR459&gt;=Tablas!$G$19, AR459&lt;Tablas!$G$20), 1,  IF(AND(AR459&gt;=Tablas!$G$20, AR459&lt;Tablas!$G$21), 2,  IF(AND(AR459&gt;=Tablas!$G$21, AR459&lt;=Tablas!$G$22), 3,  ""))))</f>
        <v/>
      </c>
      <c r="AV459" s="85" t="str">
        <f t="shared" si="789"/>
        <v/>
      </c>
      <c r="AW459" s="101" t="str">
        <f t="shared" si="790"/>
        <v/>
      </c>
      <c r="AX459" s="177"/>
      <c r="AY459" s="169"/>
      <c r="AZ459" s="158"/>
      <c r="BA459" s="169"/>
      <c r="BB459" s="182"/>
      <c r="BC459" s="182"/>
      <c r="BD459" s="185"/>
      <c r="BE459" s="185"/>
      <c r="BF459" s="158"/>
      <c r="BG459" s="191"/>
    </row>
    <row r="460" spans="1:59" x14ac:dyDescent="0.25">
      <c r="A460" s="167"/>
      <c r="B460" s="167"/>
      <c r="C460" s="161"/>
      <c r="D460" s="160"/>
      <c r="E460" s="162"/>
      <c r="F460" s="164"/>
      <c r="G460" s="161"/>
      <c r="H460" s="161"/>
      <c r="I460" s="161"/>
      <c r="J460" s="161"/>
      <c r="K460" s="161"/>
      <c r="L460" s="166"/>
      <c r="M460" s="166"/>
      <c r="N460" s="166"/>
      <c r="O460" s="166"/>
      <c r="P460" s="166"/>
      <c r="Q460" s="166"/>
      <c r="R460" s="166"/>
      <c r="S460" s="167"/>
      <c r="T460" s="167"/>
      <c r="U460" s="167"/>
      <c r="V460" s="167"/>
      <c r="W460" s="167"/>
      <c r="X460" s="164"/>
      <c r="Y460" s="164"/>
      <c r="Z460" s="172"/>
      <c r="AA460" s="188"/>
      <c r="AB460" s="172"/>
      <c r="AC460" s="172"/>
      <c r="AD460" s="175"/>
      <c r="AE460" s="62" t="s">
        <v>153</v>
      </c>
      <c r="AF460" s="133"/>
      <c r="AG460" s="65"/>
      <c r="AH460" s="64"/>
      <c r="AI460" s="64"/>
      <c r="AJ460" s="64"/>
      <c r="AK460" s="64"/>
      <c r="AL460" s="64"/>
      <c r="AM460" s="80" t="str">
        <f>IFERROR((Tablas!$C$1*VLOOKUP(AH460, tipo_control, 2, 0)+Tablas!$E$1*VLOOKUP(AI460, nat_control, 2, 0)+Tablas!$G$1*VLOOKUP(AJ460, ev_control, 2, 0)+Tablas!$I$1*VLOOKUP(AK460, frec_control, 2, 0)+Tablas!$K$1*VLOOKUP(AL460, doc_control, 2, 0))*0.1*peso_dis, "")</f>
        <v/>
      </c>
      <c r="AN460" s="64"/>
      <c r="AO460" s="64"/>
      <c r="AP460" s="64"/>
      <c r="AQ460" s="80" t="str">
        <f>IFERROR((Tablas!$C$9*VLOOKUP(AN460, amb_control, 2, 0)+Tablas!$E$9*VLOOKUP(AO460, ejec_control, 2, 0)+Tablas!$G$9*VLOOKUP(AP460, cub_control, 2, 0))*0.1*peso_ejec, "")</f>
        <v/>
      </c>
      <c r="AR460" s="91" t="str">
        <f t="shared" si="788"/>
        <v/>
      </c>
      <c r="AS460" s="87" t="str">
        <f t="shared" si="694"/>
        <v/>
      </c>
      <c r="AT460" s="85" t="str">
        <f t="shared" si="695"/>
        <v/>
      </c>
      <c r="AU460" s="85" t="str">
        <f>IF(AR460&lt;Tablas!$G$19, 0, IF(AND(AR460&gt;=Tablas!$G$19, AR460&lt;Tablas!$G$20), 1,  IF(AND(AR460&gt;=Tablas!$G$20, AR460&lt;Tablas!$G$21), 2,  IF(AND(AR460&gt;=Tablas!$G$21, AR460&lt;=Tablas!$G$22), 3,  ""))))</f>
        <v/>
      </c>
      <c r="AV460" s="85" t="str">
        <f t="shared" si="789"/>
        <v/>
      </c>
      <c r="AW460" s="101" t="str">
        <f t="shared" si="790"/>
        <v/>
      </c>
      <c r="AX460" s="177"/>
      <c r="AY460" s="169"/>
      <c r="AZ460" s="158"/>
      <c r="BA460" s="169"/>
      <c r="BB460" s="182"/>
      <c r="BC460" s="182"/>
      <c r="BD460" s="185"/>
      <c r="BE460" s="185"/>
      <c r="BF460" s="158"/>
      <c r="BG460" s="191"/>
    </row>
    <row r="461" spans="1:59" ht="15.75" thickBot="1" x14ac:dyDescent="0.3">
      <c r="A461" s="167"/>
      <c r="B461" s="167"/>
      <c r="C461" s="161"/>
      <c r="D461" s="160"/>
      <c r="E461" s="162"/>
      <c r="F461" s="165"/>
      <c r="G461" s="161"/>
      <c r="H461" s="161"/>
      <c r="I461" s="161"/>
      <c r="J461" s="161"/>
      <c r="K461" s="161"/>
      <c r="L461" s="166"/>
      <c r="M461" s="166"/>
      <c r="N461" s="166"/>
      <c r="O461" s="166"/>
      <c r="P461" s="166"/>
      <c r="Q461" s="166"/>
      <c r="R461" s="166"/>
      <c r="S461" s="149"/>
      <c r="T461" s="149"/>
      <c r="U461" s="149"/>
      <c r="V461" s="149"/>
      <c r="W461" s="149"/>
      <c r="X461" s="165"/>
      <c r="Y461" s="165"/>
      <c r="Z461" s="172"/>
      <c r="AA461" s="188"/>
      <c r="AB461" s="172"/>
      <c r="AC461" s="172"/>
      <c r="AD461" s="175"/>
      <c r="AE461" s="66" t="s">
        <v>154</v>
      </c>
      <c r="AF461" s="134"/>
      <c r="AG461" s="67"/>
      <c r="AH461" s="69"/>
      <c r="AI461" s="69"/>
      <c r="AJ461" s="69"/>
      <c r="AK461" s="69"/>
      <c r="AL461" s="69"/>
      <c r="AM461" s="81" t="str">
        <f>IFERROR((Tablas!$C$1*VLOOKUP(AH461, tipo_control, 2, 0)+Tablas!$E$1*VLOOKUP(AI461, nat_control, 2, 0)+Tablas!$G$1*VLOOKUP(AJ461, ev_control, 2, 0)+Tablas!$I$1*VLOOKUP(AK461, frec_control, 2, 0)+Tablas!$K$1*VLOOKUP(AL461, doc_control, 2, 0))*0.1*peso_dis, "")</f>
        <v/>
      </c>
      <c r="AN461" s="69"/>
      <c r="AO461" s="69"/>
      <c r="AP461" s="69"/>
      <c r="AQ461" s="81" t="str">
        <f>IFERROR((Tablas!$C$9*VLOOKUP(AN461, amb_control, 2, 0)+Tablas!$E$9*VLOOKUP(AO461, ejec_control, 2, 0)+Tablas!$G$9*VLOOKUP(AP461, cub_control, 2, 0))*0.1*peso_ejec, "")</f>
        <v/>
      </c>
      <c r="AR461" s="93" t="str">
        <f t="shared" si="788"/>
        <v/>
      </c>
      <c r="AS461" s="87" t="str">
        <f t="shared" si="694"/>
        <v/>
      </c>
      <c r="AT461" s="94" t="str">
        <f t="shared" si="695"/>
        <v/>
      </c>
      <c r="AU461" s="94" t="str">
        <f>IF(AR461&lt;Tablas!$G$19, 0, IF(AND(AR461&gt;=Tablas!$G$19, AR461&lt;Tablas!$G$20), 1,  IF(AND(AR461&gt;=Tablas!$G$20, AR461&lt;Tablas!$G$21), 2,  IF(AND(AR461&gt;=Tablas!$G$21, AR461&lt;=Tablas!$G$22), 3,  ""))))</f>
        <v/>
      </c>
      <c r="AV461" s="94" t="str">
        <f t="shared" si="789"/>
        <v/>
      </c>
      <c r="AW461" s="102" t="str">
        <f t="shared" si="790"/>
        <v/>
      </c>
      <c r="AX461" s="157"/>
      <c r="AY461" s="170"/>
      <c r="AZ461" s="179"/>
      <c r="BA461" s="170"/>
      <c r="BB461" s="182"/>
      <c r="BC461" s="182"/>
      <c r="BD461" s="185"/>
      <c r="BE461" s="185"/>
      <c r="BF461" s="159"/>
      <c r="BG461" s="191"/>
    </row>
    <row r="462" spans="1:59" x14ac:dyDescent="0.25">
      <c r="A462" s="167"/>
      <c r="B462" s="167"/>
      <c r="C462" s="161" t="s">
        <v>15</v>
      </c>
      <c r="D462" s="160" t="s">
        <v>158</v>
      </c>
      <c r="E462" s="162"/>
      <c r="F462" s="163" t="str">
        <f t="shared" ref="F462:F522" si="791">IFERROR(VLOOKUP(E462, tabla01, 3, 0), "")</f>
        <v/>
      </c>
      <c r="G462" s="149"/>
      <c r="H462" s="149"/>
      <c r="I462" s="149"/>
      <c r="J462" s="149"/>
      <c r="K462" s="149"/>
      <c r="L462" s="165" t="str">
        <f>IFERROR(VLOOKUP(G462, tabla02, 2, 0), "")</f>
        <v/>
      </c>
      <c r="M462" s="165" t="str">
        <f>IFERROR(VLOOKUP(H462, tabla02, 2, 0), "")</f>
        <v/>
      </c>
      <c r="N462" s="165" t="str">
        <f>IFERROR(VLOOKUP(I462, tabla02, 2, 0), "")</f>
        <v/>
      </c>
      <c r="O462" s="165" t="str">
        <f>IFERROR(VLOOKUP(J462, tabla02, 2, 0), "")</f>
        <v/>
      </c>
      <c r="P462" s="165" t="str">
        <f>IFERROR(VLOOKUP(K462, tabla02, 2, 0), "")</f>
        <v/>
      </c>
      <c r="Q462" s="165" t="str">
        <f t="shared" ref="Q462" si="792">IF(SUM(L462:O466)=0, "", MAX(L462:P462))</f>
        <v/>
      </c>
      <c r="R462" s="165" t="str">
        <f>IFERROR(VLOOKUP(Q462, tabla04, 3, 0), "")</f>
        <v/>
      </c>
      <c r="S462" s="148"/>
      <c r="T462" s="148"/>
      <c r="U462" s="148"/>
      <c r="V462" s="148"/>
      <c r="W462" s="148"/>
      <c r="X462" s="163" t="str">
        <f>IFERROR(VLOOKUP(CONCATENATE(F462, "-", Q462), cuadrante_sev, 3, 0), "")</f>
        <v/>
      </c>
      <c r="Y462" s="163" t="str">
        <f t="shared" ref="Y462" si="793">IFERROR(IF(X462="Baja", 1, IF(X462="Moderada", 2, IF(X462="Alta", 3, IF(X462="Extrema", 4, "")))), "")</f>
        <v/>
      </c>
      <c r="Z462" s="172"/>
      <c r="AA462" s="188"/>
      <c r="AB462" s="172"/>
      <c r="AC462" s="172"/>
      <c r="AD462" s="175"/>
      <c r="AE462" s="70" t="s">
        <v>113</v>
      </c>
      <c r="AF462" s="135"/>
      <c r="AG462" s="74"/>
      <c r="AH462" s="72"/>
      <c r="AI462" s="72"/>
      <c r="AJ462" s="72"/>
      <c r="AK462" s="72"/>
      <c r="AL462" s="72"/>
      <c r="AM462" s="82" t="str">
        <f>IFERROR((Tablas!$C$1*VLOOKUP(AH462, tipo_control, 2, 0)+Tablas!$E$1*VLOOKUP(AI462, nat_control, 2, 0)+Tablas!$G$1*VLOOKUP(AJ462, ev_control, 2, 0)+Tablas!$I$1*VLOOKUP(AK462, frec_control, 2, 0)+Tablas!$K$1*VLOOKUP(AL462, doc_control, 2, 0))*0.1*peso_dis, "")</f>
        <v/>
      </c>
      <c r="AN462" s="72"/>
      <c r="AO462" s="72"/>
      <c r="AP462" s="72"/>
      <c r="AQ462" s="82" t="str">
        <f>IFERROR((Tablas!$C$9*VLOOKUP(AN462, amb_control, 2, 0)+Tablas!$E$9*VLOOKUP(AO462, ejec_control, 2, 0)+Tablas!$G$9*VLOOKUP(AP462, cub_control, 2, 0))*0.1*peso_ejec, "")</f>
        <v/>
      </c>
      <c r="AR462" s="96" t="str">
        <f t="shared" si="788"/>
        <v/>
      </c>
      <c r="AS462" s="97" t="str">
        <f t="shared" si="694"/>
        <v/>
      </c>
      <c r="AT462" s="87" t="str">
        <f t="shared" si="695"/>
        <v/>
      </c>
      <c r="AU462" s="97" t="str">
        <f>IF(AR462&lt;Tablas!$G$19, 0, IF(AND(AR462&gt;=Tablas!$G$19, AR462&lt;Tablas!$G$20), 1,  IF(AND(AR462&gt;=Tablas!$G$20, AR462&lt;Tablas!$G$21), 2,  IF(AND(AR462&gt;=Tablas!$G$21, AR462&lt;=Tablas!$G$22), 3,  ""))))</f>
        <v/>
      </c>
      <c r="AV462" s="97" t="str">
        <f t="shared" si="789"/>
        <v/>
      </c>
      <c r="AW462" s="103" t="str">
        <f t="shared" si="790"/>
        <v/>
      </c>
      <c r="AX462" s="176" t="str">
        <f t="shared" ref="AX462" si="794">IFERROR(VLOOKUP(AY462, tabla04, 2, 0), "")</f>
        <v/>
      </c>
      <c r="AY462" s="168" t="str">
        <f>IF(F462="", "", IF((F462-MAX(AV462:AV466))&lt;=0, 1, F462-MAX(AV462:AV466)))</f>
        <v/>
      </c>
      <c r="AZ462" s="178" t="str">
        <f t="shared" ref="AZ462" si="795">IFERROR(VLOOKUP(BA462, tabla04, 3, 0), "")</f>
        <v/>
      </c>
      <c r="BA462" s="168" t="str">
        <f>IF(Q462="", "", IF((Q462-MAX(AW462:AW466))&lt;=0, 1, Q462-MAX(AW462:AW466)))</f>
        <v/>
      </c>
      <c r="BB462" s="182"/>
      <c r="BC462" s="182"/>
      <c r="BD462" s="185"/>
      <c r="BE462" s="185"/>
      <c r="BF462" s="158" t="str">
        <f t="shared" ref="BF462:BF464" si="796">IFERROR(VLOOKUP(CONCATENATE(AY462, "-", BA462), cuadrante_sev, 3, 0), "")</f>
        <v/>
      </c>
      <c r="BG462" s="191"/>
    </row>
    <row r="463" spans="1:59" x14ac:dyDescent="0.25">
      <c r="A463" s="167"/>
      <c r="B463" s="167"/>
      <c r="C463" s="161"/>
      <c r="D463" s="160"/>
      <c r="E463" s="162"/>
      <c r="F463" s="164"/>
      <c r="G463" s="161"/>
      <c r="H463" s="161"/>
      <c r="I463" s="161"/>
      <c r="J463" s="161"/>
      <c r="K463" s="161"/>
      <c r="L463" s="166"/>
      <c r="M463" s="166"/>
      <c r="N463" s="166"/>
      <c r="O463" s="166"/>
      <c r="P463" s="166"/>
      <c r="Q463" s="166"/>
      <c r="R463" s="166"/>
      <c r="S463" s="167"/>
      <c r="T463" s="167"/>
      <c r="U463" s="167"/>
      <c r="V463" s="167"/>
      <c r="W463" s="167"/>
      <c r="X463" s="164"/>
      <c r="Y463" s="164"/>
      <c r="Z463" s="172"/>
      <c r="AA463" s="188"/>
      <c r="AB463" s="172"/>
      <c r="AC463" s="172"/>
      <c r="AD463" s="175"/>
      <c r="AE463" s="62" t="s">
        <v>114</v>
      </c>
      <c r="AF463" s="133"/>
      <c r="AG463" s="65"/>
      <c r="AH463" s="64"/>
      <c r="AI463" s="64"/>
      <c r="AJ463" s="64"/>
      <c r="AK463" s="64"/>
      <c r="AL463" s="64"/>
      <c r="AM463" s="80" t="str">
        <f>IFERROR((Tablas!$C$1*VLOOKUP(AH463, tipo_control, 2, 0)+Tablas!$E$1*VLOOKUP(AI463, nat_control, 2, 0)+Tablas!$G$1*VLOOKUP(AJ463, ev_control, 2, 0)+Tablas!$I$1*VLOOKUP(AK463, frec_control, 2, 0)+Tablas!$K$1*VLOOKUP(AL463, doc_control, 2, 0))*0.1*peso_dis, "")</f>
        <v/>
      </c>
      <c r="AN463" s="64"/>
      <c r="AO463" s="64"/>
      <c r="AP463" s="64"/>
      <c r="AQ463" s="80" t="str">
        <f>IFERROR((Tablas!$C$9*VLOOKUP(AN463, amb_control, 2, 0)+Tablas!$E$9*VLOOKUP(AO463, ejec_control, 2, 0)+Tablas!$G$9*VLOOKUP(AP463, cub_control, 2, 0))*0.1*peso_ejec, "")</f>
        <v/>
      </c>
      <c r="AR463" s="91" t="str">
        <f t="shared" si="788"/>
        <v/>
      </c>
      <c r="AS463" s="85" t="str">
        <f t="shared" si="694"/>
        <v/>
      </c>
      <c r="AT463" s="85" t="str">
        <f t="shared" si="695"/>
        <v/>
      </c>
      <c r="AU463" s="85" t="str">
        <f>IF(AR463&lt;Tablas!$G$19, 0, IF(AND(AR463&gt;=Tablas!$G$19, AR463&lt;Tablas!$G$20), 1,  IF(AND(AR463&gt;=Tablas!$G$20, AR463&lt;Tablas!$G$21), 2,  IF(AND(AR463&gt;=Tablas!$G$21, AR463&lt;=Tablas!$G$22), 3,  ""))))</f>
        <v/>
      </c>
      <c r="AV463" s="85" t="str">
        <f t="shared" si="789"/>
        <v/>
      </c>
      <c r="AW463" s="101" t="str">
        <f t="shared" si="790"/>
        <v/>
      </c>
      <c r="AX463" s="177"/>
      <c r="AY463" s="169"/>
      <c r="AZ463" s="158"/>
      <c r="BA463" s="169"/>
      <c r="BB463" s="182"/>
      <c r="BC463" s="182"/>
      <c r="BD463" s="185"/>
      <c r="BE463" s="185"/>
      <c r="BF463" s="158" t="str">
        <f t="shared" si="796"/>
        <v/>
      </c>
      <c r="BG463" s="191"/>
    </row>
    <row r="464" spans="1:59" x14ac:dyDescent="0.25">
      <c r="A464" s="167"/>
      <c r="B464" s="167"/>
      <c r="C464" s="161"/>
      <c r="D464" s="160"/>
      <c r="E464" s="162"/>
      <c r="F464" s="164"/>
      <c r="G464" s="161"/>
      <c r="H464" s="161"/>
      <c r="I464" s="161"/>
      <c r="J464" s="161"/>
      <c r="K464" s="161"/>
      <c r="L464" s="166"/>
      <c r="M464" s="166"/>
      <c r="N464" s="166"/>
      <c r="O464" s="166"/>
      <c r="P464" s="166"/>
      <c r="Q464" s="166"/>
      <c r="R464" s="166"/>
      <c r="S464" s="167"/>
      <c r="T464" s="167"/>
      <c r="U464" s="167"/>
      <c r="V464" s="167"/>
      <c r="W464" s="167"/>
      <c r="X464" s="164"/>
      <c r="Y464" s="164"/>
      <c r="Z464" s="172"/>
      <c r="AA464" s="188"/>
      <c r="AB464" s="172"/>
      <c r="AC464" s="172"/>
      <c r="AD464" s="175"/>
      <c r="AE464" s="62" t="s">
        <v>115</v>
      </c>
      <c r="AF464" s="133"/>
      <c r="AG464" s="65"/>
      <c r="AH464" s="64"/>
      <c r="AI464" s="64"/>
      <c r="AJ464" s="64"/>
      <c r="AK464" s="64"/>
      <c r="AL464" s="64"/>
      <c r="AM464" s="80" t="str">
        <f>IFERROR((Tablas!$C$1*VLOOKUP(AH464, tipo_control, 2, 0)+Tablas!$E$1*VLOOKUP(AI464, nat_control, 2, 0)+Tablas!$G$1*VLOOKUP(AJ464, ev_control, 2, 0)+Tablas!$I$1*VLOOKUP(AK464, frec_control, 2, 0)+Tablas!$K$1*VLOOKUP(AL464, doc_control, 2, 0))*0.1*peso_dis, "")</f>
        <v/>
      </c>
      <c r="AN464" s="64"/>
      <c r="AO464" s="64"/>
      <c r="AP464" s="64"/>
      <c r="AQ464" s="80" t="str">
        <f>IFERROR((Tablas!$C$9*VLOOKUP(AN464, amb_control, 2, 0)+Tablas!$E$9*VLOOKUP(AO464, ejec_control, 2, 0)+Tablas!$G$9*VLOOKUP(AP464, cub_control, 2, 0))*0.1*peso_ejec, "")</f>
        <v/>
      </c>
      <c r="AR464" s="91" t="str">
        <f t="shared" si="788"/>
        <v/>
      </c>
      <c r="AS464" s="85" t="str">
        <f t="shared" si="694"/>
        <v/>
      </c>
      <c r="AT464" s="85" t="str">
        <f t="shared" si="695"/>
        <v/>
      </c>
      <c r="AU464" s="85" t="str">
        <f>IF(AR464&lt;Tablas!$G$19, 0, IF(AND(AR464&gt;=Tablas!$G$19, AR464&lt;Tablas!$G$20), 1,  IF(AND(AR464&gt;=Tablas!$G$20, AR464&lt;Tablas!$G$21), 2,  IF(AND(AR464&gt;=Tablas!$G$21, AR464&lt;=Tablas!$G$22), 3,  ""))))</f>
        <v/>
      </c>
      <c r="AV464" s="85" t="str">
        <f t="shared" si="789"/>
        <v/>
      </c>
      <c r="AW464" s="101" t="str">
        <f t="shared" si="790"/>
        <v/>
      </c>
      <c r="AX464" s="177"/>
      <c r="AY464" s="169"/>
      <c r="AZ464" s="158"/>
      <c r="BA464" s="169"/>
      <c r="BB464" s="182"/>
      <c r="BC464" s="182"/>
      <c r="BD464" s="185"/>
      <c r="BE464" s="185"/>
      <c r="BF464" s="158" t="str">
        <f t="shared" si="796"/>
        <v/>
      </c>
      <c r="BG464" s="191"/>
    </row>
    <row r="465" spans="1:59" x14ac:dyDescent="0.25">
      <c r="A465" s="167"/>
      <c r="B465" s="167"/>
      <c r="C465" s="161"/>
      <c r="D465" s="160"/>
      <c r="E465" s="162"/>
      <c r="F465" s="164"/>
      <c r="G465" s="161"/>
      <c r="H465" s="161"/>
      <c r="I465" s="161"/>
      <c r="J465" s="161"/>
      <c r="K465" s="161"/>
      <c r="L465" s="166"/>
      <c r="M465" s="166"/>
      <c r="N465" s="166"/>
      <c r="O465" s="166"/>
      <c r="P465" s="166"/>
      <c r="Q465" s="166"/>
      <c r="R465" s="166"/>
      <c r="S465" s="167"/>
      <c r="T465" s="167"/>
      <c r="U465" s="167"/>
      <c r="V465" s="167"/>
      <c r="W465" s="167"/>
      <c r="X465" s="164"/>
      <c r="Y465" s="164"/>
      <c r="Z465" s="172"/>
      <c r="AA465" s="188"/>
      <c r="AB465" s="172"/>
      <c r="AC465" s="172"/>
      <c r="AD465" s="175"/>
      <c r="AE465" s="62" t="s">
        <v>153</v>
      </c>
      <c r="AF465" s="133"/>
      <c r="AG465" s="65"/>
      <c r="AH465" s="64"/>
      <c r="AI465" s="64"/>
      <c r="AJ465" s="64"/>
      <c r="AK465" s="64"/>
      <c r="AL465" s="64"/>
      <c r="AM465" s="80" t="str">
        <f>IFERROR((Tablas!$C$1*VLOOKUP(AH465, tipo_control, 2, 0)+Tablas!$E$1*VLOOKUP(AI465, nat_control, 2, 0)+Tablas!$G$1*VLOOKUP(AJ465, ev_control, 2, 0)+Tablas!$I$1*VLOOKUP(AK465, frec_control, 2, 0)+Tablas!$K$1*VLOOKUP(AL465, doc_control, 2, 0))*0.1*peso_dis, "")</f>
        <v/>
      </c>
      <c r="AN465" s="64"/>
      <c r="AO465" s="64"/>
      <c r="AP465" s="64"/>
      <c r="AQ465" s="80" t="str">
        <f>IFERROR((Tablas!$C$9*VLOOKUP(AN465, amb_control, 2, 0)+Tablas!$E$9*VLOOKUP(AO465, ejec_control, 2, 0)+Tablas!$G$9*VLOOKUP(AP465, cub_control, 2, 0))*0.1*peso_ejec, "")</f>
        <v/>
      </c>
      <c r="AR465" s="91" t="str">
        <f t="shared" si="788"/>
        <v/>
      </c>
      <c r="AS465" s="85" t="str">
        <f t="shared" si="694"/>
        <v/>
      </c>
      <c r="AT465" s="85" t="str">
        <f t="shared" si="695"/>
        <v/>
      </c>
      <c r="AU465" s="85" t="str">
        <f>IF(AR465&lt;Tablas!$G$19, 0, IF(AND(AR465&gt;=Tablas!$G$19, AR465&lt;Tablas!$G$20), 1,  IF(AND(AR465&gt;=Tablas!$G$20, AR465&lt;Tablas!$G$21), 2,  IF(AND(AR465&gt;=Tablas!$G$21, AR465&lt;=Tablas!$G$22), 3,  ""))))</f>
        <v/>
      </c>
      <c r="AV465" s="85" t="str">
        <f t="shared" si="789"/>
        <v/>
      </c>
      <c r="AW465" s="101" t="str">
        <f t="shared" si="790"/>
        <v/>
      </c>
      <c r="AX465" s="177"/>
      <c r="AY465" s="169"/>
      <c r="AZ465" s="158"/>
      <c r="BA465" s="169"/>
      <c r="BB465" s="182"/>
      <c r="BC465" s="182"/>
      <c r="BD465" s="185"/>
      <c r="BE465" s="185"/>
      <c r="BF465" s="158"/>
      <c r="BG465" s="191"/>
    </row>
    <row r="466" spans="1:59" ht="15.75" thickBot="1" x14ac:dyDescent="0.3">
      <c r="A466" s="167"/>
      <c r="B466" s="167"/>
      <c r="C466" s="161"/>
      <c r="D466" s="160"/>
      <c r="E466" s="162"/>
      <c r="F466" s="165"/>
      <c r="G466" s="161"/>
      <c r="H466" s="161"/>
      <c r="I466" s="161"/>
      <c r="J466" s="161"/>
      <c r="K466" s="161"/>
      <c r="L466" s="166"/>
      <c r="M466" s="166"/>
      <c r="N466" s="166"/>
      <c r="O466" s="166"/>
      <c r="P466" s="166"/>
      <c r="Q466" s="166"/>
      <c r="R466" s="166"/>
      <c r="S466" s="149"/>
      <c r="T466" s="149"/>
      <c r="U466" s="149"/>
      <c r="V466" s="149"/>
      <c r="W466" s="149"/>
      <c r="X466" s="165"/>
      <c r="Y466" s="165"/>
      <c r="Z466" s="172"/>
      <c r="AA466" s="188"/>
      <c r="AB466" s="172"/>
      <c r="AC466" s="172"/>
      <c r="AD466" s="175"/>
      <c r="AE466" s="66" t="s">
        <v>154</v>
      </c>
      <c r="AF466" s="134"/>
      <c r="AG466" s="67"/>
      <c r="AH466" s="69"/>
      <c r="AI466" s="69"/>
      <c r="AJ466" s="69"/>
      <c r="AK466" s="69"/>
      <c r="AL466" s="69"/>
      <c r="AM466" s="81" t="str">
        <f>IFERROR((Tablas!$C$1*VLOOKUP(AH466, tipo_control, 2, 0)+Tablas!$E$1*VLOOKUP(AI466, nat_control, 2, 0)+Tablas!$G$1*VLOOKUP(AJ466, ev_control, 2, 0)+Tablas!$I$1*VLOOKUP(AK466, frec_control, 2, 0)+Tablas!$K$1*VLOOKUP(AL466, doc_control, 2, 0))*0.1*peso_dis, "")</f>
        <v/>
      </c>
      <c r="AN466" s="69"/>
      <c r="AO466" s="69"/>
      <c r="AP466" s="69"/>
      <c r="AQ466" s="81" t="str">
        <f>IFERROR((Tablas!$C$9*VLOOKUP(AN466, amb_control, 2, 0)+Tablas!$E$9*VLOOKUP(AO466, ejec_control, 2, 0)+Tablas!$G$9*VLOOKUP(AP466, cub_control, 2, 0))*0.1*peso_ejec, "")</f>
        <v/>
      </c>
      <c r="AR466" s="93" t="str">
        <f t="shared" si="788"/>
        <v/>
      </c>
      <c r="AS466" s="94" t="str">
        <f t="shared" ref="AS466:AS529" si="797">IFERROR(VLOOKUP(AH466, tabla03, 12, 0), "")</f>
        <v/>
      </c>
      <c r="AT466" s="94" t="str">
        <f t="shared" ref="AT466:AT529" si="798">IFERROR(VLOOKUP(AH466, tabla03, 13, 0), "")</f>
        <v/>
      </c>
      <c r="AU466" s="94" t="str">
        <f>IF(AR466&lt;Tablas!$G$19, 0, IF(AND(AR466&gt;=Tablas!$G$19, AR466&lt;Tablas!$G$20), 1,  IF(AND(AR466&gt;=Tablas!$G$20, AR466&lt;Tablas!$G$21), 2,  IF(AND(AR466&gt;=Tablas!$G$21, AR466&lt;=Tablas!$G$22), 3,  ""))))</f>
        <v/>
      </c>
      <c r="AV466" s="94" t="str">
        <f t="shared" si="789"/>
        <v/>
      </c>
      <c r="AW466" s="102" t="str">
        <f t="shared" si="790"/>
        <v/>
      </c>
      <c r="AX466" s="157"/>
      <c r="AY466" s="170"/>
      <c r="AZ466" s="179"/>
      <c r="BA466" s="170"/>
      <c r="BB466" s="182"/>
      <c r="BC466" s="182"/>
      <c r="BD466" s="185"/>
      <c r="BE466" s="185"/>
      <c r="BF466" s="159"/>
      <c r="BG466" s="191"/>
    </row>
    <row r="467" spans="1:59" x14ac:dyDescent="0.25">
      <c r="A467" s="167"/>
      <c r="B467" s="167"/>
      <c r="C467" s="161" t="s">
        <v>16</v>
      </c>
      <c r="D467" s="160" t="s">
        <v>158</v>
      </c>
      <c r="E467" s="162"/>
      <c r="F467" s="163" t="str">
        <f t="shared" si="791"/>
        <v/>
      </c>
      <c r="G467" s="149"/>
      <c r="H467" s="149"/>
      <c r="I467" s="149"/>
      <c r="J467" s="149"/>
      <c r="K467" s="149"/>
      <c r="L467" s="165" t="str">
        <f>IFERROR(VLOOKUP(G467, tabla02, 2, 0), "")</f>
        <v/>
      </c>
      <c r="M467" s="165" t="str">
        <f>IFERROR(VLOOKUP(H467, tabla02, 2, 0), "")</f>
        <v/>
      </c>
      <c r="N467" s="165" t="str">
        <f>IFERROR(VLOOKUP(I467, tabla02, 2, 0), "")</f>
        <v/>
      </c>
      <c r="O467" s="165" t="str">
        <f>IFERROR(VLOOKUP(J467, tabla02, 2, 0), "")</f>
        <v/>
      </c>
      <c r="P467" s="165" t="str">
        <f>IFERROR(VLOOKUP(K467, tabla02, 2, 0), "")</f>
        <v/>
      </c>
      <c r="Q467" s="165" t="str">
        <f t="shared" ref="Q467" si="799">IF(SUM(L467:O471)=0, "", MAX(L467:P467))</f>
        <v/>
      </c>
      <c r="R467" s="165" t="str">
        <f>IFERROR(VLOOKUP(Q467, tabla04, 3, 0), "")</f>
        <v/>
      </c>
      <c r="S467" s="148"/>
      <c r="T467" s="148"/>
      <c r="U467" s="148"/>
      <c r="V467" s="148"/>
      <c r="W467" s="148"/>
      <c r="X467" s="163" t="str">
        <f>IFERROR(VLOOKUP(CONCATENATE(F467, "-", Q467), cuadrante_sev, 3, 0), "")</f>
        <v/>
      </c>
      <c r="Y467" s="163" t="str">
        <f t="shared" ref="Y467" si="800">IFERROR(IF(X467="Baja", 1, IF(X467="Moderada", 2, IF(X467="Alta", 3, IF(X467="Extrema", 4, "")))), "")</f>
        <v/>
      </c>
      <c r="Z467" s="172"/>
      <c r="AA467" s="188"/>
      <c r="AB467" s="172"/>
      <c r="AC467" s="172"/>
      <c r="AD467" s="175"/>
      <c r="AE467" s="70" t="s">
        <v>113</v>
      </c>
      <c r="AF467" s="135"/>
      <c r="AG467" s="77"/>
      <c r="AH467" s="61"/>
      <c r="AI467" s="61"/>
      <c r="AJ467" s="61"/>
      <c r="AK467" s="61"/>
      <c r="AL467" s="61"/>
      <c r="AM467" s="82" t="str">
        <f>IFERROR((Tablas!$C$1*VLOOKUP(AH467, tipo_control, 2, 0)+Tablas!$E$1*VLOOKUP(AI467, nat_control, 2, 0)+Tablas!$G$1*VLOOKUP(AJ467, ev_control, 2, 0)+Tablas!$I$1*VLOOKUP(AK467, frec_control, 2, 0)+Tablas!$K$1*VLOOKUP(AL467, doc_control, 2, 0))*0.1*peso_dis, "")</f>
        <v/>
      </c>
      <c r="AN467" s="61"/>
      <c r="AO467" s="61"/>
      <c r="AP467" s="61"/>
      <c r="AQ467" s="82" t="str">
        <f>IFERROR((Tablas!$C$9*VLOOKUP(AN467, amb_control, 2, 0)+Tablas!$E$9*VLOOKUP(AO467, ejec_control, 2, 0)+Tablas!$G$9*VLOOKUP(AP467, cub_control, 2, 0))*0.1*peso_ejec, "")</f>
        <v/>
      </c>
      <c r="AR467" s="96" t="str">
        <f t="shared" si="788"/>
        <v/>
      </c>
      <c r="AS467" s="97" t="str">
        <f t="shared" si="797"/>
        <v/>
      </c>
      <c r="AT467" s="87" t="str">
        <f t="shared" si="798"/>
        <v/>
      </c>
      <c r="AU467" s="97" t="str">
        <f>IF(AR467&lt;Tablas!$G$19, 0, IF(AND(AR467&gt;=Tablas!$G$19, AR467&lt;Tablas!$G$20), 1,  IF(AND(AR467&gt;=Tablas!$G$20, AR467&lt;Tablas!$G$21), 2,  IF(AND(AR467&gt;=Tablas!$G$21, AR467&lt;=Tablas!$G$22), 3,  ""))))</f>
        <v/>
      </c>
      <c r="AV467" s="97" t="str">
        <f t="shared" si="789"/>
        <v/>
      </c>
      <c r="AW467" s="103" t="str">
        <f t="shared" si="790"/>
        <v/>
      </c>
      <c r="AX467" s="176" t="str">
        <f t="shared" ref="AX467" si="801">IFERROR(VLOOKUP(AY467, tabla04, 2, 0), "")</f>
        <v/>
      </c>
      <c r="AY467" s="168" t="str">
        <f>IF(F467="", "", IF((F467-MAX(AV467:AV471))&lt;=0, 1, F467-MAX(AV467:AV471)))</f>
        <v/>
      </c>
      <c r="AZ467" s="178" t="str">
        <f t="shared" ref="AZ467" si="802">IFERROR(VLOOKUP(BA467, tabla04, 3, 0), "")</f>
        <v/>
      </c>
      <c r="BA467" s="168" t="str">
        <f>IF(Q467="", "", IF((Q467-MAX(AW467:AW471))&lt;=0, 1, Q467-MAX(AW467:AW471)))</f>
        <v/>
      </c>
      <c r="BB467" s="182"/>
      <c r="BC467" s="182"/>
      <c r="BD467" s="185"/>
      <c r="BE467" s="185"/>
      <c r="BF467" s="158" t="str">
        <f t="shared" ref="BF467:BF469" si="803">IFERROR(VLOOKUP(CONCATENATE(AY467, "-", BA467), cuadrante_sev, 3, 0), "")</f>
        <v/>
      </c>
      <c r="BG467" s="191"/>
    </row>
    <row r="468" spans="1:59" x14ac:dyDescent="0.25">
      <c r="A468" s="167"/>
      <c r="B468" s="167"/>
      <c r="C468" s="161"/>
      <c r="D468" s="160"/>
      <c r="E468" s="162"/>
      <c r="F468" s="164"/>
      <c r="G468" s="161"/>
      <c r="H468" s="161"/>
      <c r="I468" s="161"/>
      <c r="J468" s="161"/>
      <c r="K468" s="161"/>
      <c r="L468" s="166"/>
      <c r="M468" s="166"/>
      <c r="N468" s="166"/>
      <c r="O468" s="166"/>
      <c r="P468" s="166"/>
      <c r="Q468" s="166"/>
      <c r="R468" s="166"/>
      <c r="S468" s="167"/>
      <c r="T468" s="167"/>
      <c r="U468" s="167"/>
      <c r="V468" s="167"/>
      <c r="W468" s="167"/>
      <c r="X468" s="164"/>
      <c r="Y468" s="164"/>
      <c r="Z468" s="172"/>
      <c r="AA468" s="188"/>
      <c r="AB468" s="172"/>
      <c r="AC468" s="172"/>
      <c r="AD468" s="175"/>
      <c r="AE468" s="62" t="s">
        <v>114</v>
      </c>
      <c r="AF468" s="133"/>
      <c r="AG468" s="65"/>
      <c r="AH468" s="64"/>
      <c r="AI468" s="64"/>
      <c r="AJ468" s="64"/>
      <c r="AK468" s="64"/>
      <c r="AL468" s="64"/>
      <c r="AM468" s="80" t="str">
        <f>IFERROR((Tablas!$C$1*VLOOKUP(AH468, tipo_control, 2, 0)+Tablas!$E$1*VLOOKUP(AI468, nat_control, 2, 0)+Tablas!$G$1*VLOOKUP(AJ468, ev_control, 2, 0)+Tablas!$I$1*VLOOKUP(AK468, frec_control, 2, 0)+Tablas!$K$1*VLOOKUP(AL468, doc_control, 2, 0))*0.1*peso_dis, "")</f>
        <v/>
      </c>
      <c r="AN468" s="64"/>
      <c r="AO468" s="64"/>
      <c r="AP468" s="64"/>
      <c r="AQ468" s="80" t="str">
        <f>IFERROR((Tablas!$C$9*VLOOKUP(AN468, amb_control, 2, 0)+Tablas!$E$9*VLOOKUP(AO468, ejec_control, 2, 0)+Tablas!$G$9*VLOOKUP(AP468, cub_control, 2, 0))*0.1*peso_ejec, "")</f>
        <v/>
      </c>
      <c r="AR468" s="91" t="str">
        <f t="shared" si="788"/>
        <v/>
      </c>
      <c r="AS468" s="85" t="str">
        <f t="shared" si="797"/>
        <v/>
      </c>
      <c r="AT468" s="85" t="str">
        <f t="shared" si="798"/>
        <v/>
      </c>
      <c r="AU468" s="85" t="str">
        <f>IF(AR468&lt;Tablas!$G$19, 0, IF(AND(AR468&gt;=Tablas!$G$19, AR468&lt;Tablas!$G$20), 1,  IF(AND(AR468&gt;=Tablas!$G$20, AR468&lt;Tablas!$G$21), 2,  IF(AND(AR468&gt;=Tablas!$G$21, AR468&lt;=Tablas!$G$22), 3,  ""))))</f>
        <v/>
      </c>
      <c r="AV468" s="85" t="str">
        <f t="shared" si="789"/>
        <v/>
      </c>
      <c r="AW468" s="101" t="str">
        <f t="shared" si="790"/>
        <v/>
      </c>
      <c r="AX468" s="177"/>
      <c r="AY468" s="169"/>
      <c r="AZ468" s="158"/>
      <c r="BA468" s="169"/>
      <c r="BB468" s="182"/>
      <c r="BC468" s="182"/>
      <c r="BD468" s="185"/>
      <c r="BE468" s="185"/>
      <c r="BF468" s="158" t="str">
        <f t="shared" si="803"/>
        <v/>
      </c>
      <c r="BG468" s="191"/>
    </row>
    <row r="469" spans="1:59" x14ac:dyDescent="0.25">
      <c r="A469" s="167"/>
      <c r="B469" s="167"/>
      <c r="C469" s="161"/>
      <c r="D469" s="160"/>
      <c r="E469" s="162"/>
      <c r="F469" s="164"/>
      <c r="G469" s="161"/>
      <c r="H469" s="161"/>
      <c r="I469" s="161"/>
      <c r="J469" s="161"/>
      <c r="K469" s="161"/>
      <c r="L469" s="166"/>
      <c r="M469" s="166"/>
      <c r="N469" s="166"/>
      <c r="O469" s="166"/>
      <c r="P469" s="166"/>
      <c r="Q469" s="166"/>
      <c r="R469" s="166"/>
      <c r="S469" s="167"/>
      <c r="T469" s="167"/>
      <c r="U469" s="167"/>
      <c r="V469" s="167"/>
      <c r="W469" s="167"/>
      <c r="X469" s="164"/>
      <c r="Y469" s="164"/>
      <c r="Z469" s="172"/>
      <c r="AA469" s="188"/>
      <c r="AB469" s="172"/>
      <c r="AC469" s="172"/>
      <c r="AD469" s="175"/>
      <c r="AE469" s="62" t="s">
        <v>115</v>
      </c>
      <c r="AF469" s="133"/>
      <c r="AG469" s="65"/>
      <c r="AH469" s="64"/>
      <c r="AI469" s="64"/>
      <c r="AJ469" s="64"/>
      <c r="AK469" s="64"/>
      <c r="AL469" s="64"/>
      <c r="AM469" s="80" t="str">
        <f>IFERROR((Tablas!$C$1*VLOOKUP(AH469, tipo_control, 2, 0)+Tablas!$E$1*VLOOKUP(AI469, nat_control, 2, 0)+Tablas!$G$1*VLOOKUP(AJ469, ev_control, 2, 0)+Tablas!$I$1*VLOOKUP(AK469, frec_control, 2, 0)+Tablas!$K$1*VLOOKUP(AL469, doc_control, 2, 0))*0.1*peso_dis, "")</f>
        <v/>
      </c>
      <c r="AN469" s="64"/>
      <c r="AO469" s="64"/>
      <c r="AP469" s="64"/>
      <c r="AQ469" s="80" t="str">
        <f>IFERROR((Tablas!$C$9*VLOOKUP(AN469, amb_control, 2, 0)+Tablas!$E$9*VLOOKUP(AO469, ejec_control, 2, 0)+Tablas!$G$9*VLOOKUP(AP469, cub_control, 2, 0))*0.1*peso_ejec, "")</f>
        <v/>
      </c>
      <c r="AR469" s="91" t="str">
        <f t="shared" si="788"/>
        <v/>
      </c>
      <c r="AS469" s="85" t="str">
        <f t="shared" si="797"/>
        <v/>
      </c>
      <c r="AT469" s="85" t="str">
        <f t="shared" si="798"/>
        <v/>
      </c>
      <c r="AU469" s="85" t="str">
        <f>IF(AR469&lt;Tablas!$G$19, 0, IF(AND(AR469&gt;=Tablas!$G$19, AR469&lt;Tablas!$G$20), 1,  IF(AND(AR469&gt;=Tablas!$G$20, AR469&lt;Tablas!$G$21), 2,  IF(AND(AR469&gt;=Tablas!$G$21, AR469&lt;=Tablas!$G$22), 3,  ""))))</f>
        <v/>
      </c>
      <c r="AV469" s="85" t="str">
        <f t="shared" si="789"/>
        <v/>
      </c>
      <c r="AW469" s="101" t="str">
        <f t="shared" si="790"/>
        <v/>
      </c>
      <c r="AX469" s="177"/>
      <c r="AY469" s="169"/>
      <c r="AZ469" s="158"/>
      <c r="BA469" s="169"/>
      <c r="BB469" s="182"/>
      <c r="BC469" s="182"/>
      <c r="BD469" s="185"/>
      <c r="BE469" s="185"/>
      <c r="BF469" s="158" t="str">
        <f t="shared" si="803"/>
        <v/>
      </c>
      <c r="BG469" s="191"/>
    </row>
    <row r="470" spans="1:59" x14ac:dyDescent="0.25">
      <c r="A470" s="167"/>
      <c r="B470" s="167"/>
      <c r="C470" s="161"/>
      <c r="D470" s="160"/>
      <c r="E470" s="162"/>
      <c r="F470" s="164"/>
      <c r="G470" s="161"/>
      <c r="H470" s="161"/>
      <c r="I470" s="161"/>
      <c r="J470" s="161"/>
      <c r="K470" s="161"/>
      <c r="L470" s="166"/>
      <c r="M470" s="166"/>
      <c r="N470" s="166"/>
      <c r="O470" s="166"/>
      <c r="P470" s="166"/>
      <c r="Q470" s="166"/>
      <c r="R470" s="166"/>
      <c r="S470" s="167"/>
      <c r="T470" s="167"/>
      <c r="U470" s="167"/>
      <c r="V470" s="167"/>
      <c r="W470" s="167"/>
      <c r="X470" s="164"/>
      <c r="Y470" s="164"/>
      <c r="Z470" s="172"/>
      <c r="AA470" s="188"/>
      <c r="AB470" s="172"/>
      <c r="AC470" s="172"/>
      <c r="AD470" s="175"/>
      <c r="AE470" s="62" t="s">
        <v>153</v>
      </c>
      <c r="AF470" s="133"/>
      <c r="AG470" s="65"/>
      <c r="AH470" s="64"/>
      <c r="AI470" s="64"/>
      <c r="AJ470" s="64"/>
      <c r="AK470" s="64"/>
      <c r="AL470" s="64"/>
      <c r="AM470" s="80" t="str">
        <f>IFERROR((Tablas!$C$1*VLOOKUP(AH470, tipo_control, 2, 0)+Tablas!$E$1*VLOOKUP(AI470, nat_control, 2, 0)+Tablas!$G$1*VLOOKUP(AJ470, ev_control, 2, 0)+Tablas!$I$1*VLOOKUP(AK470, frec_control, 2, 0)+Tablas!$K$1*VLOOKUP(AL470, doc_control, 2, 0))*0.1*peso_dis, "")</f>
        <v/>
      </c>
      <c r="AN470" s="64"/>
      <c r="AO470" s="64"/>
      <c r="AP470" s="64"/>
      <c r="AQ470" s="80" t="str">
        <f>IFERROR((Tablas!$C$9*VLOOKUP(AN470, amb_control, 2, 0)+Tablas!$E$9*VLOOKUP(AO470, ejec_control, 2, 0)+Tablas!$G$9*VLOOKUP(AP470, cub_control, 2, 0))*0.1*peso_ejec, "")</f>
        <v/>
      </c>
      <c r="AR470" s="91" t="str">
        <f t="shared" si="788"/>
        <v/>
      </c>
      <c r="AS470" s="85" t="str">
        <f t="shared" si="797"/>
        <v/>
      </c>
      <c r="AT470" s="85" t="str">
        <f t="shared" si="798"/>
        <v/>
      </c>
      <c r="AU470" s="85" t="str">
        <f>IF(AR470&lt;Tablas!$G$19, 0, IF(AND(AR470&gt;=Tablas!$G$19, AR470&lt;Tablas!$G$20), 1,  IF(AND(AR470&gt;=Tablas!$G$20, AR470&lt;Tablas!$G$21), 2,  IF(AND(AR470&gt;=Tablas!$G$21, AR470&lt;=Tablas!$G$22), 3,  ""))))</f>
        <v/>
      </c>
      <c r="AV470" s="85" t="str">
        <f t="shared" si="789"/>
        <v/>
      </c>
      <c r="AW470" s="101" t="str">
        <f t="shared" si="790"/>
        <v/>
      </c>
      <c r="AX470" s="177"/>
      <c r="AY470" s="169"/>
      <c r="AZ470" s="158"/>
      <c r="BA470" s="169"/>
      <c r="BB470" s="182"/>
      <c r="BC470" s="182"/>
      <c r="BD470" s="185"/>
      <c r="BE470" s="185"/>
      <c r="BF470" s="158"/>
      <c r="BG470" s="191"/>
    </row>
    <row r="471" spans="1:59" ht="15.75" thickBot="1" x14ac:dyDescent="0.3">
      <c r="A471" s="167"/>
      <c r="B471" s="167"/>
      <c r="C471" s="161"/>
      <c r="D471" s="160"/>
      <c r="E471" s="162"/>
      <c r="F471" s="165"/>
      <c r="G471" s="161"/>
      <c r="H471" s="161"/>
      <c r="I471" s="161"/>
      <c r="J471" s="161"/>
      <c r="K471" s="161"/>
      <c r="L471" s="166"/>
      <c r="M471" s="166"/>
      <c r="N471" s="166"/>
      <c r="O471" s="166"/>
      <c r="P471" s="166"/>
      <c r="Q471" s="166"/>
      <c r="R471" s="166"/>
      <c r="S471" s="149"/>
      <c r="T471" s="149"/>
      <c r="U471" s="149"/>
      <c r="V471" s="149"/>
      <c r="W471" s="149"/>
      <c r="X471" s="165"/>
      <c r="Y471" s="165"/>
      <c r="Z471" s="172"/>
      <c r="AA471" s="188"/>
      <c r="AB471" s="172"/>
      <c r="AC471" s="172"/>
      <c r="AD471" s="175"/>
      <c r="AE471" s="66" t="s">
        <v>154</v>
      </c>
      <c r="AF471" s="134"/>
      <c r="AG471" s="67"/>
      <c r="AH471" s="69"/>
      <c r="AI471" s="69"/>
      <c r="AJ471" s="69"/>
      <c r="AK471" s="69"/>
      <c r="AL471" s="69"/>
      <c r="AM471" s="81" t="str">
        <f>IFERROR((Tablas!$C$1*VLOOKUP(AH471, tipo_control, 2, 0)+Tablas!$E$1*VLOOKUP(AI471, nat_control, 2, 0)+Tablas!$G$1*VLOOKUP(AJ471, ev_control, 2, 0)+Tablas!$I$1*VLOOKUP(AK471, frec_control, 2, 0)+Tablas!$K$1*VLOOKUP(AL471, doc_control, 2, 0))*0.1*peso_dis, "")</f>
        <v/>
      </c>
      <c r="AN471" s="69"/>
      <c r="AO471" s="69"/>
      <c r="AP471" s="69"/>
      <c r="AQ471" s="81" t="str">
        <f>IFERROR((Tablas!$C$9*VLOOKUP(AN471, amb_control, 2, 0)+Tablas!$E$9*VLOOKUP(AO471, ejec_control, 2, 0)+Tablas!$G$9*VLOOKUP(AP471, cub_control, 2, 0))*0.1*peso_ejec, "")</f>
        <v/>
      </c>
      <c r="AR471" s="93" t="str">
        <f t="shared" si="788"/>
        <v/>
      </c>
      <c r="AS471" s="94" t="str">
        <f t="shared" si="797"/>
        <v/>
      </c>
      <c r="AT471" s="94" t="str">
        <f t="shared" si="798"/>
        <v/>
      </c>
      <c r="AU471" s="94" t="str">
        <f>IF(AR471&lt;Tablas!$G$19, 0, IF(AND(AR471&gt;=Tablas!$G$19, AR471&lt;Tablas!$G$20), 1,  IF(AND(AR471&gt;=Tablas!$G$20, AR471&lt;Tablas!$G$21), 2,  IF(AND(AR471&gt;=Tablas!$G$21, AR471&lt;=Tablas!$G$22), 3,  ""))))</f>
        <v/>
      </c>
      <c r="AV471" s="94" t="str">
        <f t="shared" si="789"/>
        <v/>
      </c>
      <c r="AW471" s="102" t="str">
        <f t="shared" si="790"/>
        <v/>
      </c>
      <c r="AX471" s="157"/>
      <c r="AY471" s="170"/>
      <c r="AZ471" s="179"/>
      <c r="BA471" s="170"/>
      <c r="BB471" s="182"/>
      <c r="BC471" s="182"/>
      <c r="BD471" s="185"/>
      <c r="BE471" s="185"/>
      <c r="BF471" s="159"/>
      <c r="BG471" s="191"/>
    </row>
    <row r="472" spans="1:59" x14ac:dyDescent="0.25">
      <c r="A472" s="167"/>
      <c r="B472" s="167"/>
      <c r="C472" s="161" t="s">
        <v>18</v>
      </c>
      <c r="D472" s="160" t="s">
        <v>158</v>
      </c>
      <c r="E472" s="162"/>
      <c r="F472" s="163" t="str">
        <f t="shared" si="791"/>
        <v/>
      </c>
      <c r="G472" s="149"/>
      <c r="H472" s="149"/>
      <c r="I472" s="149"/>
      <c r="J472" s="149"/>
      <c r="K472" s="149"/>
      <c r="L472" s="165" t="str">
        <f t="shared" ref="L472" si="804">IFERROR(VLOOKUP(G472, tabla02, 2, 0), "")</f>
        <v/>
      </c>
      <c r="M472" s="165" t="str">
        <f t="shared" ref="M472" si="805">IFERROR(VLOOKUP(H472, tabla02, 2, 0), "")</f>
        <v/>
      </c>
      <c r="N472" s="165" t="str">
        <f t="shared" ref="N472" si="806">IFERROR(VLOOKUP(I472, tabla02, 2, 0), "")</f>
        <v/>
      </c>
      <c r="O472" s="165" t="str">
        <f t="shared" ref="O472" si="807">IFERROR(VLOOKUP(J472, tabla02, 2, 0), "")</f>
        <v/>
      </c>
      <c r="P472" s="165" t="str">
        <f t="shared" ref="P472" si="808">IFERROR(VLOOKUP(K472, tabla02, 2, 0), "")</f>
        <v/>
      </c>
      <c r="Q472" s="165" t="str">
        <f t="shared" ref="Q472" si="809">IF(SUM(L472:O476)=0, "", MAX(L472:P472))</f>
        <v/>
      </c>
      <c r="R472" s="165" t="str">
        <f>IFERROR(VLOOKUP(Q472, tabla04, 3, 0), "")</f>
        <v/>
      </c>
      <c r="S472" s="148"/>
      <c r="T472" s="148"/>
      <c r="U472" s="148"/>
      <c r="V472" s="148"/>
      <c r="W472" s="148"/>
      <c r="X472" s="163" t="str">
        <f>IFERROR(VLOOKUP(CONCATENATE(F472, "-", Q472), cuadrante_sev, 3, 0), "")</f>
        <v/>
      </c>
      <c r="Y472" s="163" t="str">
        <f t="shared" ref="Y472" si="810">IFERROR(IF(X472="Baja", 1, IF(X472="Moderada", 2, IF(X472="Alta", 3, IF(X472="Extrema", 4, "")))), "")</f>
        <v/>
      </c>
      <c r="Z472" s="172"/>
      <c r="AA472" s="188"/>
      <c r="AB472" s="172"/>
      <c r="AC472" s="172"/>
      <c r="AD472" s="175"/>
      <c r="AE472" s="70" t="s">
        <v>113</v>
      </c>
      <c r="AF472" s="135"/>
      <c r="AG472" s="77"/>
      <c r="AH472" s="61"/>
      <c r="AI472" s="61"/>
      <c r="AJ472" s="61"/>
      <c r="AK472" s="61"/>
      <c r="AL472" s="61"/>
      <c r="AM472" s="82" t="str">
        <f>IFERROR((Tablas!$C$1*VLOOKUP(AH472, tipo_control, 2, 0)+Tablas!$E$1*VLOOKUP(AI472, nat_control, 2, 0)+Tablas!$G$1*VLOOKUP(AJ472, ev_control, 2, 0)+Tablas!$I$1*VLOOKUP(AK472, frec_control, 2, 0)+Tablas!$K$1*VLOOKUP(AL472, doc_control, 2, 0))*0.1*peso_dis, "")</f>
        <v/>
      </c>
      <c r="AN472" s="61"/>
      <c r="AO472" s="61"/>
      <c r="AP472" s="61"/>
      <c r="AQ472" s="82" t="str">
        <f>IFERROR((Tablas!$C$9*VLOOKUP(AN472, amb_control, 2, 0)+Tablas!$E$9*VLOOKUP(AO472, ejec_control, 2, 0)+Tablas!$G$9*VLOOKUP(AP472, cub_control, 2, 0))*0.1*peso_ejec, "")</f>
        <v/>
      </c>
      <c r="AR472" s="96" t="str">
        <f t="shared" si="788"/>
        <v/>
      </c>
      <c r="AS472" s="97" t="str">
        <f t="shared" si="797"/>
        <v/>
      </c>
      <c r="AT472" s="87" t="str">
        <f t="shared" si="798"/>
        <v/>
      </c>
      <c r="AU472" s="97" t="str">
        <f>IF(AR472&lt;Tablas!$G$19, 0, IF(AND(AR472&gt;=Tablas!$G$19, AR472&lt;Tablas!$G$20), 1,  IF(AND(AR472&gt;=Tablas!$G$20, AR472&lt;Tablas!$G$21), 2,  IF(AND(AR472&gt;=Tablas!$G$21, AR472&lt;=Tablas!$G$22), 3,  ""))))</f>
        <v/>
      </c>
      <c r="AV472" s="97" t="str">
        <f t="shared" si="789"/>
        <v/>
      </c>
      <c r="AW472" s="103" t="str">
        <f t="shared" si="790"/>
        <v/>
      </c>
      <c r="AX472" s="176" t="str">
        <f t="shared" ref="AX472" si="811">IFERROR(VLOOKUP(AY472, tabla04, 2, 0), "")</f>
        <v/>
      </c>
      <c r="AY472" s="168" t="str">
        <f>IF(F472="", "", IF((F472-MAX(AV472:AV476))&lt;=0, 1, F472-MAX(AV472:AV476)))</f>
        <v/>
      </c>
      <c r="AZ472" s="178" t="str">
        <f t="shared" ref="AZ472" si="812">IFERROR(VLOOKUP(BA472, tabla04, 3, 0), "")</f>
        <v/>
      </c>
      <c r="BA472" s="168" t="str">
        <f>IF(Q472="", "", IF((Q472-MAX(AW472:AW476))&lt;=0, 1, Q472-MAX(AW472:AW476)))</f>
        <v/>
      </c>
      <c r="BB472" s="182"/>
      <c r="BC472" s="182"/>
      <c r="BD472" s="185"/>
      <c r="BE472" s="185"/>
      <c r="BF472" s="158" t="str">
        <f t="shared" ref="BF472:BF474" si="813">IFERROR(VLOOKUP(CONCATENATE(AY472, "-", BA472), cuadrante_sev, 3, 0), "")</f>
        <v/>
      </c>
      <c r="BG472" s="191"/>
    </row>
    <row r="473" spans="1:59" x14ac:dyDescent="0.25">
      <c r="A473" s="167"/>
      <c r="B473" s="167"/>
      <c r="C473" s="161"/>
      <c r="D473" s="160"/>
      <c r="E473" s="162"/>
      <c r="F473" s="164"/>
      <c r="G473" s="161"/>
      <c r="H473" s="161"/>
      <c r="I473" s="161"/>
      <c r="J473" s="161"/>
      <c r="K473" s="161"/>
      <c r="L473" s="166"/>
      <c r="M473" s="166"/>
      <c r="N473" s="166"/>
      <c r="O473" s="166"/>
      <c r="P473" s="166"/>
      <c r="Q473" s="166"/>
      <c r="R473" s="166"/>
      <c r="S473" s="167"/>
      <c r="T473" s="167"/>
      <c r="U473" s="167"/>
      <c r="V473" s="167"/>
      <c r="W473" s="167"/>
      <c r="X473" s="164"/>
      <c r="Y473" s="164"/>
      <c r="Z473" s="172"/>
      <c r="AA473" s="188"/>
      <c r="AB473" s="172"/>
      <c r="AC473" s="172"/>
      <c r="AD473" s="175"/>
      <c r="AE473" s="62" t="s">
        <v>114</v>
      </c>
      <c r="AF473" s="133"/>
      <c r="AG473" s="65"/>
      <c r="AH473" s="64"/>
      <c r="AI473" s="64"/>
      <c r="AJ473" s="64"/>
      <c r="AK473" s="64"/>
      <c r="AL473" s="64"/>
      <c r="AM473" s="80" t="str">
        <f>IFERROR((Tablas!$C$1*VLOOKUP(AH473, tipo_control, 2, 0)+Tablas!$E$1*VLOOKUP(AI473, nat_control, 2, 0)+Tablas!$G$1*VLOOKUP(AJ473, ev_control, 2, 0)+Tablas!$I$1*VLOOKUP(AK473, frec_control, 2, 0)+Tablas!$K$1*VLOOKUP(AL473, doc_control, 2, 0))*0.1*peso_dis, "")</f>
        <v/>
      </c>
      <c r="AN473" s="64"/>
      <c r="AO473" s="64"/>
      <c r="AP473" s="64"/>
      <c r="AQ473" s="80" t="str">
        <f>IFERROR((Tablas!$C$9*VLOOKUP(AN473, amb_control, 2, 0)+Tablas!$E$9*VLOOKUP(AO473, ejec_control, 2, 0)+Tablas!$G$9*VLOOKUP(AP473, cub_control, 2, 0))*0.1*peso_ejec, "")</f>
        <v/>
      </c>
      <c r="AR473" s="91" t="str">
        <f t="shared" si="788"/>
        <v/>
      </c>
      <c r="AS473" s="85" t="str">
        <f t="shared" si="797"/>
        <v/>
      </c>
      <c r="AT473" s="85" t="str">
        <f t="shared" si="798"/>
        <v/>
      </c>
      <c r="AU473" s="85" t="str">
        <f>IF(AR473&lt;Tablas!$G$19, 0, IF(AND(AR473&gt;=Tablas!$G$19, AR473&lt;Tablas!$G$20), 1,  IF(AND(AR473&gt;=Tablas!$G$20, AR473&lt;Tablas!$G$21), 2,  IF(AND(AR473&gt;=Tablas!$G$21, AR473&lt;=Tablas!$G$22), 3,  ""))))</f>
        <v/>
      </c>
      <c r="AV473" s="85" t="str">
        <f t="shared" si="789"/>
        <v/>
      </c>
      <c r="AW473" s="101" t="str">
        <f t="shared" si="790"/>
        <v/>
      </c>
      <c r="AX473" s="177"/>
      <c r="AY473" s="169"/>
      <c r="AZ473" s="158"/>
      <c r="BA473" s="169"/>
      <c r="BB473" s="182"/>
      <c r="BC473" s="182"/>
      <c r="BD473" s="185"/>
      <c r="BE473" s="185"/>
      <c r="BF473" s="158" t="str">
        <f t="shared" si="813"/>
        <v/>
      </c>
      <c r="BG473" s="191"/>
    </row>
    <row r="474" spans="1:59" x14ac:dyDescent="0.25">
      <c r="A474" s="167"/>
      <c r="B474" s="167"/>
      <c r="C474" s="161"/>
      <c r="D474" s="160"/>
      <c r="E474" s="162"/>
      <c r="F474" s="164"/>
      <c r="G474" s="161"/>
      <c r="H474" s="161"/>
      <c r="I474" s="161"/>
      <c r="J474" s="161"/>
      <c r="K474" s="161"/>
      <c r="L474" s="166"/>
      <c r="M474" s="166"/>
      <c r="N474" s="166"/>
      <c r="O474" s="166"/>
      <c r="P474" s="166"/>
      <c r="Q474" s="166"/>
      <c r="R474" s="166"/>
      <c r="S474" s="167"/>
      <c r="T474" s="167"/>
      <c r="U474" s="167"/>
      <c r="V474" s="167"/>
      <c r="W474" s="167"/>
      <c r="X474" s="164"/>
      <c r="Y474" s="164"/>
      <c r="Z474" s="172"/>
      <c r="AA474" s="188"/>
      <c r="AB474" s="172"/>
      <c r="AC474" s="172"/>
      <c r="AD474" s="175"/>
      <c r="AE474" s="62" t="s">
        <v>115</v>
      </c>
      <c r="AF474" s="133"/>
      <c r="AG474" s="65"/>
      <c r="AH474" s="64"/>
      <c r="AI474" s="64"/>
      <c r="AJ474" s="64"/>
      <c r="AK474" s="64"/>
      <c r="AL474" s="64"/>
      <c r="AM474" s="80" t="str">
        <f>IFERROR((Tablas!$C$1*VLOOKUP(AH474, tipo_control, 2, 0)+Tablas!$E$1*VLOOKUP(AI474, nat_control, 2, 0)+Tablas!$G$1*VLOOKUP(AJ474, ev_control, 2, 0)+Tablas!$I$1*VLOOKUP(AK474, frec_control, 2, 0)+Tablas!$K$1*VLOOKUP(AL474, doc_control, 2, 0))*0.1*peso_dis, "")</f>
        <v/>
      </c>
      <c r="AN474" s="64"/>
      <c r="AO474" s="64"/>
      <c r="AP474" s="64"/>
      <c r="AQ474" s="80" t="str">
        <f>IFERROR((Tablas!$C$9*VLOOKUP(AN474, amb_control, 2, 0)+Tablas!$E$9*VLOOKUP(AO474, ejec_control, 2, 0)+Tablas!$G$9*VLOOKUP(AP474, cub_control, 2, 0))*0.1*peso_ejec, "")</f>
        <v/>
      </c>
      <c r="AR474" s="91" t="str">
        <f t="shared" si="788"/>
        <v/>
      </c>
      <c r="AS474" s="85" t="str">
        <f t="shared" si="797"/>
        <v/>
      </c>
      <c r="AT474" s="85" t="str">
        <f t="shared" si="798"/>
        <v/>
      </c>
      <c r="AU474" s="85" t="str">
        <f>IF(AR474&lt;Tablas!$G$19, 0, IF(AND(AR474&gt;=Tablas!$G$19, AR474&lt;Tablas!$G$20), 1,  IF(AND(AR474&gt;=Tablas!$G$20, AR474&lt;Tablas!$G$21), 2,  IF(AND(AR474&gt;=Tablas!$G$21, AR474&lt;=Tablas!$G$22), 3,  ""))))</f>
        <v/>
      </c>
      <c r="AV474" s="85" t="str">
        <f t="shared" si="789"/>
        <v/>
      </c>
      <c r="AW474" s="101" t="str">
        <f t="shared" si="790"/>
        <v/>
      </c>
      <c r="AX474" s="177"/>
      <c r="AY474" s="169"/>
      <c r="AZ474" s="158"/>
      <c r="BA474" s="169"/>
      <c r="BB474" s="182"/>
      <c r="BC474" s="182"/>
      <c r="BD474" s="185"/>
      <c r="BE474" s="185"/>
      <c r="BF474" s="158" t="str">
        <f t="shared" si="813"/>
        <v/>
      </c>
      <c r="BG474" s="191"/>
    </row>
    <row r="475" spans="1:59" x14ac:dyDescent="0.25">
      <c r="A475" s="167"/>
      <c r="B475" s="167"/>
      <c r="C475" s="161"/>
      <c r="D475" s="160"/>
      <c r="E475" s="162"/>
      <c r="F475" s="164"/>
      <c r="G475" s="161"/>
      <c r="H475" s="161"/>
      <c r="I475" s="161"/>
      <c r="J475" s="161"/>
      <c r="K475" s="161"/>
      <c r="L475" s="166"/>
      <c r="M475" s="166"/>
      <c r="N475" s="166"/>
      <c r="O475" s="166"/>
      <c r="P475" s="166"/>
      <c r="Q475" s="166"/>
      <c r="R475" s="166"/>
      <c r="S475" s="167"/>
      <c r="T475" s="167"/>
      <c r="U475" s="167"/>
      <c r="V475" s="167"/>
      <c r="W475" s="167"/>
      <c r="X475" s="164"/>
      <c r="Y475" s="164"/>
      <c r="Z475" s="172"/>
      <c r="AA475" s="188"/>
      <c r="AB475" s="172"/>
      <c r="AC475" s="172"/>
      <c r="AD475" s="175"/>
      <c r="AE475" s="62" t="s">
        <v>153</v>
      </c>
      <c r="AF475" s="133"/>
      <c r="AG475" s="65"/>
      <c r="AH475" s="64"/>
      <c r="AI475" s="64"/>
      <c r="AJ475" s="64"/>
      <c r="AK475" s="64"/>
      <c r="AL475" s="64"/>
      <c r="AM475" s="80" t="str">
        <f>IFERROR((Tablas!$C$1*VLOOKUP(AH475, tipo_control, 2, 0)+Tablas!$E$1*VLOOKUP(AI475, nat_control, 2, 0)+Tablas!$G$1*VLOOKUP(AJ475, ev_control, 2, 0)+Tablas!$I$1*VLOOKUP(AK475, frec_control, 2, 0)+Tablas!$K$1*VLOOKUP(AL475, doc_control, 2, 0))*0.1*peso_dis, "")</f>
        <v/>
      </c>
      <c r="AN475" s="64"/>
      <c r="AO475" s="64"/>
      <c r="AP475" s="64"/>
      <c r="AQ475" s="80" t="str">
        <f>IFERROR((Tablas!$C$9*VLOOKUP(AN475, amb_control, 2, 0)+Tablas!$E$9*VLOOKUP(AO475, ejec_control, 2, 0)+Tablas!$G$9*VLOOKUP(AP475, cub_control, 2, 0))*0.1*peso_ejec, "")</f>
        <v/>
      </c>
      <c r="AR475" s="91" t="str">
        <f t="shared" si="788"/>
        <v/>
      </c>
      <c r="AS475" s="85" t="str">
        <f t="shared" si="797"/>
        <v/>
      </c>
      <c r="AT475" s="85" t="str">
        <f t="shared" si="798"/>
        <v/>
      </c>
      <c r="AU475" s="85" t="str">
        <f>IF(AR475&lt;Tablas!$G$19, 0, IF(AND(AR475&gt;=Tablas!$G$19, AR475&lt;Tablas!$G$20), 1,  IF(AND(AR475&gt;=Tablas!$G$20, AR475&lt;Tablas!$G$21), 2,  IF(AND(AR475&gt;=Tablas!$G$21, AR475&lt;=Tablas!$G$22), 3,  ""))))</f>
        <v/>
      </c>
      <c r="AV475" s="85" t="str">
        <f t="shared" si="789"/>
        <v/>
      </c>
      <c r="AW475" s="101" t="str">
        <f t="shared" si="790"/>
        <v/>
      </c>
      <c r="AX475" s="177"/>
      <c r="AY475" s="169"/>
      <c r="AZ475" s="158"/>
      <c r="BA475" s="169"/>
      <c r="BB475" s="182"/>
      <c r="BC475" s="182"/>
      <c r="BD475" s="185"/>
      <c r="BE475" s="185"/>
      <c r="BF475" s="158"/>
      <c r="BG475" s="191"/>
    </row>
    <row r="476" spans="1:59" ht="15.75" thickBot="1" x14ac:dyDescent="0.3">
      <c r="A476" s="167"/>
      <c r="B476" s="167"/>
      <c r="C476" s="161"/>
      <c r="D476" s="160"/>
      <c r="E476" s="162"/>
      <c r="F476" s="165"/>
      <c r="G476" s="161"/>
      <c r="H476" s="161"/>
      <c r="I476" s="161"/>
      <c r="J476" s="161"/>
      <c r="K476" s="161"/>
      <c r="L476" s="166"/>
      <c r="M476" s="166"/>
      <c r="N476" s="166"/>
      <c r="O476" s="166"/>
      <c r="P476" s="166"/>
      <c r="Q476" s="166"/>
      <c r="R476" s="166"/>
      <c r="S476" s="149"/>
      <c r="T476" s="149"/>
      <c r="U476" s="149"/>
      <c r="V476" s="149"/>
      <c r="W476" s="149"/>
      <c r="X476" s="165"/>
      <c r="Y476" s="165"/>
      <c r="Z476" s="172"/>
      <c r="AA476" s="188"/>
      <c r="AB476" s="172"/>
      <c r="AC476" s="172"/>
      <c r="AD476" s="175"/>
      <c r="AE476" s="66" t="s">
        <v>154</v>
      </c>
      <c r="AF476" s="134"/>
      <c r="AG476" s="67"/>
      <c r="AH476" s="69"/>
      <c r="AI476" s="69"/>
      <c r="AJ476" s="69"/>
      <c r="AK476" s="69"/>
      <c r="AL476" s="69"/>
      <c r="AM476" s="81" t="str">
        <f>IFERROR((Tablas!$C$1*VLOOKUP(AH476, tipo_control, 2, 0)+Tablas!$E$1*VLOOKUP(AI476, nat_control, 2, 0)+Tablas!$G$1*VLOOKUP(AJ476, ev_control, 2, 0)+Tablas!$I$1*VLOOKUP(AK476, frec_control, 2, 0)+Tablas!$K$1*VLOOKUP(AL476, doc_control, 2, 0))*0.1*peso_dis, "")</f>
        <v/>
      </c>
      <c r="AN476" s="69"/>
      <c r="AO476" s="69"/>
      <c r="AP476" s="69"/>
      <c r="AQ476" s="81" t="str">
        <f>IFERROR((Tablas!$C$9*VLOOKUP(AN476, amb_control, 2, 0)+Tablas!$E$9*VLOOKUP(AO476, ejec_control, 2, 0)+Tablas!$G$9*VLOOKUP(AP476, cub_control, 2, 0))*0.1*peso_ejec, "")</f>
        <v/>
      </c>
      <c r="AR476" s="93" t="str">
        <f t="shared" si="788"/>
        <v/>
      </c>
      <c r="AS476" s="94" t="str">
        <f t="shared" si="797"/>
        <v/>
      </c>
      <c r="AT476" s="94" t="str">
        <f t="shared" si="798"/>
        <v/>
      </c>
      <c r="AU476" s="94" t="str">
        <f>IF(AR476&lt;Tablas!$G$19, 0, IF(AND(AR476&gt;=Tablas!$G$19, AR476&lt;Tablas!$G$20), 1,  IF(AND(AR476&gt;=Tablas!$G$20, AR476&lt;Tablas!$G$21), 2,  IF(AND(AR476&gt;=Tablas!$G$21, AR476&lt;=Tablas!$G$22), 3,  ""))))</f>
        <v/>
      </c>
      <c r="AV476" s="94" t="str">
        <f t="shared" si="789"/>
        <v/>
      </c>
      <c r="AW476" s="102" t="str">
        <f t="shared" si="790"/>
        <v/>
      </c>
      <c r="AX476" s="157"/>
      <c r="AY476" s="170"/>
      <c r="AZ476" s="179"/>
      <c r="BA476" s="170"/>
      <c r="BB476" s="182"/>
      <c r="BC476" s="182"/>
      <c r="BD476" s="185"/>
      <c r="BE476" s="185"/>
      <c r="BF476" s="159"/>
      <c r="BG476" s="191"/>
    </row>
    <row r="477" spans="1:59" x14ac:dyDescent="0.25">
      <c r="A477" s="167"/>
      <c r="B477" s="167"/>
      <c r="C477" s="161" t="s">
        <v>19</v>
      </c>
      <c r="D477" s="160" t="s">
        <v>158</v>
      </c>
      <c r="E477" s="162"/>
      <c r="F477" s="163" t="str">
        <f t="shared" si="791"/>
        <v/>
      </c>
      <c r="G477" s="149"/>
      <c r="H477" s="149"/>
      <c r="I477" s="149"/>
      <c r="J477" s="149"/>
      <c r="K477" s="149"/>
      <c r="L477" s="165" t="str">
        <f t="shared" ref="L477" si="814">IFERROR(VLOOKUP(G477, tabla02, 2, 0), "")</f>
        <v/>
      </c>
      <c r="M477" s="165" t="str">
        <f t="shared" ref="M477" si="815">IFERROR(VLOOKUP(H477, tabla02, 2, 0), "")</f>
        <v/>
      </c>
      <c r="N477" s="165" t="str">
        <f t="shared" ref="N477" si="816">IFERROR(VLOOKUP(I477, tabla02, 2, 0), "")</f>
        <v/>
      </c>
      <c r="O477" s="165" t="str">
        <f t="shared" ref="O477" si="817">IFERROR(VLOOKUP(J477, tabla02, 2, 0), "")</f>
        <v/>
      </c>
      <c r="P477" s="165" t="str">
        <f t="shared" ref="P477" si="818">IFERROR(VLOOKUP(K477, tabla02, 2, 0), "")</f>
        <v/>
      </c>
      <c r="Q477" s="165" t="str">
        <f t="shared" ref="Q477" si="819">IF(SUM(L477:O481)=0, "", MAX(L477:P477))</f>
        <v/>
      </c>
      <c r="R477" s="165" t="str">
        <f>IFERROR(VLOOKUP(Q477, tabla04, 3, 0), "")</f>
        <v/>
      </c>
      <c r="S477" s="148"/>
      <c r="T477" s="148"/>
      <c r="U477" s="148"/>
      <c r="V477" s="148"/>
      <c r="W477" s="148"/>
      <c r="X477" s="163" t="str">
        <f>IFERROR(VLOOKUP(CONCATENATE(F477, "-", Q477), cuadrante_sev, 3, 0), "")</f>
        <v/>
      </c>
      <c r="Y477" s="163" t="str">
        <f t="shared" ref="Y477" si="820">IFERROR(IF(X477="Baja", 1, IF(X477="Moderada", 2, IF(X477="Alta", 3, IF(X477="Extrema", 4, "")))), "")</f>
        <v/>
      </c>
      <c r="Z477" s="172"/>
      <c r="AA477" s="188"/>
      <c r="AB477" s="172"/>
      <c r="AC477" s="172"/>
      <c r="AD477" s="175"/>
      <c r="AE477" s="70" t="s">
        <v>113</v>
      </c>
      <c r="AF477" s="135"/>
      <c r="AG477" s="74"/>
      <c r="AH477" s="72"/>
      <c r="AI477" s="72"/>
      <c r="AJ477" s="72"/>
      <c r="AK477" s="72"/>
      <c r="AL477" s="72"/>
      <c r="AM477" s="82" t="str">
        <f>IFERROR((Tablas!$C$1*VLOOKUP(AH477, tipo_control, 2, 0)+Tablas!$E$1*VLOOKUP(AI477, nat_control, 2, 0)+Tablas!$G$1*VLOOKUP(AJ477, ev_control, 2, 0)+Tablas!$I$1*VLOOKUP(AK477, frec_control, 2, 0)+Tablas!$K$1*VLOOKUP(AL477, doc_control, 2, 0))*0.1*peso_dis, "")</f>
        <v/>
      </c>
      <c r="AN477" s="72"/>
      <c r="AO477" s="72"/>
      <c r="AP477" s="72"/>
      <c r="AQ477" s="82" t="str">
        <f>IFERROR((Tablas!$C$9*VLOOKUP(AN477, amb_control, 2, 0)+Tablas!$E$9*VLOOKUP(AO477, ejec_control, 2, 0)+Tablas!$G$9*VLOOKUP(AP477, cub_control, 2, 0))*0.1*peso_ejec, "")</f>
        <v/>
      </c>
      <c r="AR477" s="96" t="str">
        <f t="shared" si="788"/>
        <v/>
      </c>
      <c r="AS477" s="97" t="str">
        <f t="shared" si="797"/>
        <v/>
      </c>
      <c r="AT477" s="87" t="str">
        <f t="shared" si="798"/>
        <v/>
      </c>
      <c r="AU477" s="97" t="str">
        <f>IF(AR477&lt;Tablas!$G$19, 0, IF(AND(AR477&gt;=Tablas!$G$19, AR477&lt;Tablas!$G$20), 1,  IF(AND(AR477&gt;=Tablas!$G$20, AR477&lt;Tablas!$G$21), 2,  IF(AND(AR477&gt;=Tablas!$G$21, AR477&lt;=Tablas!$G$22), 3,  ""))))</f>
        <v/>
      </c>
      <c r="AV477" s="97" t="str">
        <f t="shared" si="789"/>
        <v/>
      </c>
      <c r="AW477" s="103" t="str">
        <f t="shared" si="790"/>
        <v/>
      </c>
      <c r="AX477" s="176" t="str">
        <f t="shared" ref="AX477" si="821">IFERROR(VLOOKUP(AY477, tabla04, 2, 0), "")</f>
        <v/>
      </c>
      <c r="AY477" s="168" t="str">
        <f>IF(F477="", "", IF((F477-MAX(AV477:AV481))&lt;=0, 1, F477-MAX(AV477:AV481)))</f>
        <v/>
      </c>
      <c r="AZ477" s="178" t="str">
        <f t="shared" ref="AZ477" si="822">IFERROR(VLOOKUP(BA477, tabla04, 3, 0), "")</f>
        <v/>
      </c>
      <c r="BA477" s="168" t="str">
        <f>IF(Q477="", "", IF((Q477-MAX(AW477:AW481))&lt;=0, 1, Q477-MAX(AW477:AW481)))</f>
        <v/>
      </c>
      <c r="BB477" s="182"/>
      <c r="BC477" s="182"/>
      <c r="BD477" s="185"/>
      <c r="BE477" s="185"/>
      <c r="BF477" s="158" t="str">
        <f t="shared" ref="BF477:BF479" si="823">IFERROR(VLOOKUP(CONCATENATE(AY477, "-", BA477), cuadrante_sev, 3, 0), "")</f>
        <v/>
      </c>
      <c r="BG477" s="191"/>
    </row>
    <row r="478" spans="1:59" x14ac:dyDescent="0.25">
      <c r="A478" s="167"/>
      <c r="B478" s="167"/>
      <c r="C478" s="161"/>
      <c r="D478" s="160"/>
      <c r="E478" s="162"/>
      <c r="F478" s="164"/>
      <c r="G478" s="161"/>
      <c r="H478" s="161"/>
      <c r="I478" s="161"/>
      <c r="J478" s="161"/>
      <c r="K478" s="161"/>
      <c r="L478" s="166"/>
      <c r="M478" s="166"/>
      <c r="N478" s="166"/>
      <c r="O478" s="166"/>
      <c r="P478" s="166"/>
      <c r="Q478" s="166"/>
      <c r="R478" s="166"/>
      <c r="S478" s="167"/>
      <c r="T478" s="167"/>
      <c r="U478" s="167"/>
      <c r="V478" s="167"/>
      <c r="W478" s="167"/>
      <c r="X478" s="164"/>
      <c r="Y478" s="164"/>
      <c r="Z478" s="172"/>
      <c r="AA478" s="188"/>
      <c r="AB478" s="172"/>
      <c r="AC478" s="172"/>
      <c r="AD478" s="175"/>
      <c r="AE478" s="62" t="s">
        <v>114</v>
      </c>
      <c r="AF478" s="133"/>
      <c r="AG478" s="65"/>
      <c r="AH478" s="64"/>
      <c r="AI478" s="64"/>
      <c r="AJ478" s="64"/>
      <c r="AK478" s="64"/>
      <c r="AL478" s="64"/>
      <c r="AM478" s="80" t="str">
        <f>IFERROR((Tablas!$C$1*VLOOKUP(AH478, tipo_control, 2, 0)+Tablas!$E$1*VLOOKUP(AI478, nat_control, 2, 0)+Tablas!$G$1*VLOOKUP(AJ478, ev_control, 2, 0)+Tablas!$I$1*VLOOKUP(AK478, frec_control, 2, 0)+Tablas!$K$1*VLOOKUP(AL478, doc_control, 2, 0))*0.1*peso_dis, "")</f>
        <v/>
      </c>
      <c r="AN478" s="64"/>
      <c r="AO478" s="64"/>
      <c r="AP478" s="64"/>
      <c r="AQ478" s="80" t="str">
        <f>IFERROR((Tablas!$C$9*VLOOKUP(AN478, amb_control, 2, 0)+Tablas!$E$9*VLOOKUP(AO478, ejec_control, 2, 0)+Tablas!$G$9*VLOOKUP(AP478, cub_control, 2, 0))*0.1*peso_ejec, "")</f>
        <v/>
      </c>
      <c r="AR478" s="91" t="str">
        <f t="shared" si="788"/>
        <v/>
      </c>
      <c r="AS478" s="85" t="str">
        <f t="shared" si="797"/>
        <v/>
      </c>
      <c r="AT478" s="85" t="str">
        <f t="shared" si="798"/>
        <v/>
      </c>
      <c r="AU478" s="85" t="str">
        <f>IF(AR478&lt;Tablas!$G$19, 0, IF(AND(AR478&gt;=Tablas!$G$19, AR478&lt;Tablas!$G$20), 1,  IF(AND(AR478&gt;=Tablas!$G$20, AR478&lt;Tablas!$G$21), 2,  IF(AND(AR478&gt;=Tablas!$G$21, AR478&lt;=Tablas!$G$22), 3,  ""))))</f>
        <v/>
      </c>
      <c r="AV478" s="85" t="str">
        <f t="shared" si="789"/>
        <v/>
      </c>
      <c r="AW478" s="101" t="str">
        <f t="shared" si="790"/>
        <v/>
      </c>
      <c r="AX478" s="177"/>
      <c r="AY478" s="169"/>
      <c r="AZ478" s="158"/>
      <c r="BA478" s="169"/>
      <c r="BB478" s="182"/>
      <c r="BC478" s="182"/>
      <c r="BD478" s="185"/>
      <c r="BE478" s="185"/>
      <c r="BF478" s="158" t="str">
        <f t="shared" si="823"/>
        <v/>
      </c>
      <c r="BG478" s="191"/>
    </row>
    <row r="479" spans="1:59" x14ac:dyDescent="0.25">
      <c r="A479" s="167"/>
      <c r="B479" s="167"/>
      <c r="C479" s="161"/>
      <c r="D479" s="160"/>
      <c r="E479" s="162"/>
      <c r="F479" s="164"/>
      <c r="G479" s="161"/>
      <c r="H479" s="161"/>
      <c r="I479" s="161"/>
      <c r="J479" s="161"/>
      <c r="K479" s="161"/>
      <c r="L479" s="166"/>
      <c r="M479" s="166"/>
      <c r="N479" s="166"/>
      <c r="O479" s="166"/>
      <c r="P479" s="166"/>
      <c r="Q479" s="166"/>
      <c r="R479" s="166"/>
      <c r="S479" s="167"/>
      <c r="T479" s="167"/>
      <c r="U479" s="167"/>
      <c r="V479" s="167"/>
      <c r="W479" s="167"/>
      <c r="X479" s="164"/>
      <c r="Y479" s="164"/>
      <c r="Z479" s="172"/>
      <c r="AA479" s="188"/>
      <c r="AB479" s="172"/>
      <c r="AC479" s="172"/>
      <c r="AD479" s="175"/>
      <c r="AE479" s="62" t="s">
        <v>115</v>
      </c>
      <c r="AF479" s="133"/>
      <c r="AG479" s="65"/>
      <c r="AH479" s="64"/>
      <c r="AI479" s="64"/>
      <c r="AJ479" s="64"/>
      <c r="AK479" s="64"/>
      <c r="AL479" s="64"/>
      <c r="AM479" s="80" t="str">
        <f>IFERROR((Tablas!$C$1*VLOOKUP(AH479, tipo_control, 2, 0)+Tablas!$E$1*VLOOKUP(AI479, nat_control, 2, 0)+Tablas!$G$1*VLOOKUP(AJ479, ev_control, 2, 0)+Tablas!$I$1*VLOOKUP(AK479, frec_control, 2, 0)+Tablas!$K$1*VLOOKUP(AL479, doc_control, 2, 0))*0.1*peso_dis, "")</f>
        <v/>
      </c>
      <c r="AN479" s="64"/>
      <c r="AO479" s="64"/>
      <c r="AP479" s="64"/>
      <c r="AQ479" s="80" t="str">
        <f>IFERROR((Tablas!$C$9*VLOOKUP(AN479, amb_control, 2, 0)+Tablas!$E$9*VLOOKUP(AO479, ejec_control, 2, 0)+Tablas!$G$9*VLOOKUP(AP479, cub_control, 2, 0))*0.1*peso_ejec, "")</f>
        <v/>
      </c>
      <c r="AR479" s="91" t="str">
        <f t="shared" si="788"/>
        <v/>
      </c>
      <c r="AS479" s="85" t="str">
        <f t="shared" si="797"/>
        <v/>
      </c>
      <c r="AT479" s="85" t="str">
        <f t="shared" si="798"/>
        <v/>
      </c>
      <c r="AU479" s="85" t="str">
        <f>IF(AR479&lt;Tablas!$G$19, 0, IF(AND(AR479&gt;=Tablas!$G$19, AR479&lt;Tablas!$G$20), 1,  IF(AND(AR479&gt;=Tablas!$G$20, AR479&lt;Tablas!$G$21), 2,  IF(AND(AR479&gt;=Tablas!$G$21, AR479&lt;=Tablas!$G$22), 3,  ""))))</f>
        <v/>
      </c>
      <c r="AV479" s="85" t="str">
        <f t="shared" si="789"/>
        <v/>
      </c>
      <c r="AW479" s="101" t="str">
        <f t="shared" si="790"/>
        <v/>
      </c>
      <c r="AX479" s="177"/>
      <c r="AY479" s="169"/>
      <c r="AZ479" s="158"/>
      <c r="BA479" s="169"/>
      <c r="BB479" s="182"/>
      <c r="BC479" s="182"/>
      <c r="BD479" s="185"/>
      <c r="BE479" s="185"/>
      <c r="BF479" s="158" t="str">
        <f t="shared" si="823"/>
        <v/>
      </c>
      <c r="BG479" s="191"/>
    </row>
    <row r="480" spans="1:59" x14ac:dyDescent="0.25">
      <c r="A480" s="167"/>
      <c r="B480" s="167"/>
      <c r="C480" s="161"/>
      <c r="D480" s="160"/>
      <c r="E480" s="162"/>
      <c r="F480" s="164"/>
      <c r="G480" s="161"/>
      <c r="H480" s="161"/>
      <c r="I480" s="161"/>
      <c r="J480" s="161"/>
      <c r="K480" s="161"/>
      <c r="L480" s="166"/>
      <c r="M480" s="166"/>
      <c r="N480" s="166"/>
      <c r="O480" s="166"/>
      <c r="P480" s="166"/>
      <c r="Q480" s="166"/>
      <c r="R480" s="166"/>
      <c r="S480" s="167"/>
      <c r="T480" s="167"/>
      <c r="U480" s="167"/>
      <c r="V480" s="167"/>
      <c r="W480" s="167"/>
      <c r="X480" s="164"/>
      <c r="Y480" s="164"/>
      <c r="Z480" s="172"/>
      <c r="AA480" s="188"/>
      <c r="AB480" s="172"/>
      <c r="AC480" s="172"/>
      <c r="AD480" s="175"/>
      <c r="AE480" s="62" t="s">
        <v>153</v>
      </c>
      <c r="AF480" s="133"/>
      <c r="AG480" s="65"/>
      <c r="AH480" s="64"/>
      <c r="AI480" s="64"/>
      <c r="AJ480" s="64"/>
      <c r="AK480" s="64"/>
      <c r="AL480" s="64"/>
      <c r="AM480" s="80" t="str">
        <f>IFERROR((Tablas!$C$1*VLOOKUP(AH480, tipo_control, 2, 0)+Tablas!$E$1*VLOOKUP(AI480, nat_control, 2, 0)+Tablas!$G$1*VLOOKUP(AJ480, ev_control, 2, 0)+Tablas!$I$1*VLOOKUP(AK480, frec_control, 2, 0)+Tablas!$K$1*VLOOKUP(AL480, doc_control, 2, 0))*0.1*peso_dis, "")</f>
        <v/>
      </c>
      <c r="AN480" s="64"/>
      <c r="AO480" s="64"/>
      <c r="AP480" s="64"/>
      <c r="AQ480" s="80" t="str">
        <f>IFERROR((Tablas!$C$9*VLOOKUP(AN480, amb_control, 2, 0)+Tablas!$E$9*VLOOKUP(AO480, ejec_control, 2, 0)+Tablas!$G$9*VLOOKUP(AP480, cub_control, 2, 0))*0.1*peso_ejec, "")</f>
        <v/>
      </c>
      <c r="AR480" s="91" t="str">
        <f t="shared" si="788"/>
        <v/>
      </c>
      <c r="AS480" s="85" t="str">
        <f t="shared" si="797"/>
        <v/>
      </c>
      <c r="AT480" s="85" t="str">
        <f t="shared" si="798"/>
        <v/>
      </c>
      <c r="AU480" s="85" t="str">
        <f>IF(AR480&lt;Tablas!$G$19, 0, IF(AND(AR480&gt;=Tablas!$G$19, AR480&lt;Tablas!$G$20), 1,  IF(AND(AR480&gt;=Tablas!$G$20, AR480&lt;Tablas!$G$21), 2,  IF(AND(AR480&gt;=Tablas!$G$21, AR480&lt;=Tablas!$G$22), 3,  ""))))</f>
        <v/>
      </c>
      <c r="AV480" s="85" t="str">
        <f t="shared" si="789"/>
        <v/>
      </c>
      <c r="AW480" s="101" t="str">
        <f t="shared" si="790"/>
        <v/>
      </c>
      <c r="AX480" s="177"/>
      <c r="AY480" s="169"/>
      <c r="AZ480" s="158"/>
      <c r="BA480" s="169"/>
      <c r="BB480" s="182"/>
      <c r="BC480" s="182"/>
      <c r="BD480" s="185"/>
      <c r="BE480" s="185"/>
      <c r="BF480" s="158"/>
      <c r="BG480" s="191"/>
    </row>
    <row r="481" spans="1:59" ht="15.75" thickBot="1" x14ac:dyDescent="0.3">
      <c r="A481" s="167"/>
      <c r="B481" s="167"/>
      <c r="C481" s="161"/>
      <c r="D481" s="160"/>
      <c r="E481" s="162"/>
      <c r="F481" s="165"/>
      <c r="G481" s="161"/>
      <c r="H481" s="161"/>
      <c r="I481" s="161"/>
      <c r="J481" s="161"/>
      <c r="K481" s="161"/>
      <c r="L481" s="166"/>
      <c r="M481" s="166"/>
      <c r="N481" s="166"/>
      <c r="O481" s="166"/>
      <c r="P481" s="166"/>
      <c r="Q481" s="166"/>
      <c r="R481" s="166"/>
      <c r="S481" s="149"/>
      <c r="T481" s="149"/>
      <c r="U481" s="149"/>
      <c r="V481" s="149"/>
      <c r="W481" s="149"/>
      <c r="X481" s="165"/>
      <c r="Y481" s="165"/>
      <c r="Z481" s="172"/>
      <c r="AA481" s="188"/>
      <c r="AB481" s="172"/>
      <c r="AC481" s="172"/>
      <c r="AD481" s="175"/>
      <c r="AE481" s="66" t="s">
        <v>154</v>
      </c>
      <c r="AF481" s="134"/>
      <c r="AG481" s="67"/>
      <c r="AH481" s="69"/>
      <c r="AI481" s="69"/>
      <c r="AJ481" s="69"/>
      <c r="AK481" s="69"/>
      <c r="AL481" s="69"/>
      <c r="AM481" s="81" t="str">
        <f>IFERROR((Tablas!$C$1*VLOOKUP(AH481, tipo_control, 2, 0)+Tablas!$E$1*VLOOKUP(AI481, nat_control, 2, 0)+Tablas!$G$1*VLOOKUP(AJ481, ev_control, 2, 0)+Tablas!$I$1*VLOOKUP(AK481, frec_control, 2, 0)+Tablas!$K$1*VLOOKUP(AL481, doc_control, 2, 0))*0.1*peso_dis, "")</f>
        <v/>
      </c>
      <c r="AN481" s="69"/>
      <c r="AO481" s="69"/>
      <c r="AP481" s="69"/>
      <c r="AQ481" s="81" t="str">
        <f>IFERROR((Tablas!$C$9*VLOOKUP(AN481, amb_control, 2, 0)+Tablas!$E$9*VLOOKUP(AO481, ejec_control, 2, 0)+Tablas!$G$9*VLOOKUP(AP481, cub_control, 2, 0))*0.1*peso_ejec, "")</f>
        <v/>
      </c>
      <c r="AR481" s="93" t="str">
        <f t="shared" si="788"/>
        <v/>
      </c>
      <c r="AS481" s="94" t="str">
        <f t="shared" si="797"/>
        <v/>
      </c>
      <c r="AT481" s="94" t="str">
        <f t="shared" si="798"/>
        <v/>
      </c>
      <c r="AU481" s="94" t="str">
        <f>IF(AR481&lt;Tablas!$G$19, 0, IF(AND(AR481&gt;=Tablas!$G$19, AR481&lt;Tablas!$G$20), 1,  IF(AND(AR481&gt;=Tablas!$G$20, AR481&lt;Tablas!$G$21), 2,  IF(AND(AR481&gt;=Tablas!$G$21, AR481&lt;=Tablas!$G$22), 3,  ""))))</f>
        <v/>
      </c>
      <c r="AV481" s="94" t="str">
        <f t="shared" si="789"/>
        <v/>
      </c>
      <c r="AW481" s="102" t="str">
        <f t="shared" si="790"/>
        <v/>
      </c>
      <c r="AX481" s="157"/>
      <c r="AY481" s="170"/>
      <c r="AZ481" s="179"/>
      <c r="BA481" s="170"/>
      <c r="BB481" s="182"/>
      <c r="BC481" s="182"/>
      <c r="BD481" s="185"/>
      <c r="BE481" s="185"/>
      <c r="BF481" s="159"/>
      <c r="BG481" s="191"/>
    </row>
    <row r="482" spans="1:59" x14ac:dyDescent="0.25">
      <c r="A482" s="167"/>
      <c r="B482" s="167"/>
      <c r="C482" s="161" t="s">
        <v>20</v>
      </c>
      <c r="D482" s="160" t="s">
        <v>158</v>
      </c>
      <c r="E482" s="162"/>
      <c r="F482" s="163" t="str">
        <f t="shared" si="791"/>
        <v/>
      </c>
      <c r="G482" s="149"/>
      <c r="H482" s="149"/>
      <c r="I482" s="149"/>
      <c r="J482" s="149"/>
      <c r="K482" s="149"/>
      <c r="L482" s="165" t="str">
        <f t="shared" ref="L482" si="824">IFERROR(VLOOKUP(G482, tabla02, 2, 0), "")</f>
        <v/>
      </c>
      <c r="M482" s="165" t="str">
        <f t="shared" ref="M482" si="825">IFERROR(VLOOKUP(H482, tabla02, 2, 0), "")</f>
        <v/>
      </c>
      <c r="N482" s="165" t="str">
        <f t="shared" ref="N482" si="826">IFERROR(VLOOKUP(I482, tabla02, 2, 0), "")</f>
        <v/>
      </c>
      <c r="O482" s="165" t="str">
        <f t="shared" ref="O482" si="827">IFERROR(VLOOKUP(J482, tabla02, 2, 0), "")</f>
        <v/>
      </c>
      <c r="P482" s="165" t="str">
        <f t="shared" ref="P482" si="828">IFERROR(VLOOKUP(K482, tabla02, 2, 0), "")</f>
        <v/>
      </c>
      <c r="Q482" s="165" t="str">
        <f t="shared" ref="Q482" si="829">IF(SUM(L482:O486)=0, "", MAX(L482:P482))</f>
        <v/>
      </c>
      <c r="R482" s="165" t="str">
        <f>IFERROR(VLOOKUP(Q482, tabla04, 3, 0), "")</f>
        <v/>
      </c>
      <c r="S482" s="148"/>
      <c r="T482" s="148"/>
      <c r="U482" s="148"/>
      <c r="V482" s="148"/>
      <c r="W482" s="148"/>
      <c r="X482" s="163" t="str">
        <f>IFERROR(VLOOKUP(CONCATENATE(F482, "-", Q482), cuadrante_sev, 3, 0), "")</f>
        <v/>
      </c>
      <c r="Y482" s="163" t="str">
        <f t="shared" ref="Y482" si="830">IFERROR(IF(X482="Baja", 1, IF(X482="Moderada", 2, IF(X482="Alta", 3, IF(X482="Extrema", 4, "")))), "")</f>
        <v/>
      </c>
      <c r="Z482" s="172"/>
      <c r="AA482" s="188"/>
      <c r="AB482" s="172"/>
      <c r="AC482" s="172"/>
      <c r="AD482" s="175"/>
      <c r="AE482" s="70" t="s">
        <v>113</v>
      </c>
      <c r="AF482" s="135"/>
      <c r="AG482" s="74"/>
      <c r="AH482" s="72"/>
      <c r="AI482" s="72"/>
      <c r="AJ482" s="72"/>
      <c r="AK482" s="72"/>
      <c r="AL482" s="72"/>
      <c r="AM482" s="82" t="str">
        <f>IFERROR((Tablas!$C$1*VLOOKUP(AH482, tipo_control, 2, 0)+Tablas!$E$1*VLOOKUP(AI482, nat_control, 2, 0)+Tablas!$G$1*VLOOKUP(AJ482, ev_control, 2, 0)+Tablas!$I$1*VLOOKUP(AK482, frec_control, 2, 0)+Tablas!$K$1*VLOOKUP(AL482, doc_control, 2, 0))*0.1*peso_dis, "")</f>
        <v/>
      </c>
      <c r="AN482" s="72"/>
      <c r="AO482" s="72"/>
      <c r="AP482" s="72"/>
      <c r="AQ482" s="82" t="str">
        <f>IFERROR((Tablas!$C$9*VLOOKUP(AN482, amb_control, 2, 0)+Tablas!$E$9*VLOOKUP(AO482, ejec_control, 2, 0)+Tablas!$G$9*VLOOKUP(AP482, cub_control, 2, 0))*0.1*peso_ejec, "")</f>
        <v/>
      </c>
      <c r="AR482" s="96" t="str">
        <f t="shared" si="788"/>
        <v/>
      </c>
      <c r="AS482" s="97" t="str">
        <f t="shared" si="797"/>
        <v/>
      </c>
      <c r="AT482" s="87" t="str">
        <f t="shared" si="798"/>
        <v/>
      </c>
      <c r="AU482" s="97" t="str">
        <f>IF(AR482&lt;Tablas!$G$19, 0, IF(AND(AR482&gt;=Tablas!$G$19, AR482&lt;Tablas!$G$20), 1,  IF(AND(AR482&gt;=Tablas!$G$20, AR482&lt;Tablas!$G$21), 2,  IF(AND(AR482&gt;=Tablas!$G$21, AR482&lt;=Tablas!$G$22), 3,  ""))))</f>
        <v/>
      </c>
      <c r="AV482" s="97" t="str">
        <f t="shared" si="789"/>
        <v/>
      </c>
      <c r="AW482" s="103" t="str">
        <f t="shared" si="790"/>
        <v/>
      </c>
      <c r="AX482" s="176" t="str">
        <f t="shared" ref="AX482" si="831">IFERROR(VLOOKUP(AY482, tabla04, 2, 0), "")</f>
        <v/>
      </c>
      <c r="AY482" s="168" t="str">
        <f>IF(F482="", "", IF((F482-MAX(AV482:AV486))&lt;=0, 1, F482-MAX(AV482:AV486)))</f>
        <v/>
      </c>
      <c r="AZ482" s="178" t="str">
        <f t="shared" ref="AZ482" si="832">IFERROR(VLOOKUP(BA482, tabla04, 3, 0), "")</f>
        <v/>
      </c>
      <c r="BA482" s="168" t="str">
        <f>IF(Q482="", "", IF((Q482-MAX(AW482:AW486))&lt;=0, 1, Q482-MAX(AW482:AW486)))</f>
        <v/>
      </c>
      <c r="BB482" s="182"/>
      <c r="BC482" s="182"/>
      <c r="BD482" s="185"/>
      <c r="BE482" s="185"/>
      <c r="BF482" s="158" t="str">
        <f t="shared" ref="BF482:BF484" si="833">IFERROR(VLOOKUP(CONCATENATE(AY482, "-", BA482), cuadrante_sev, 3, 0), "")</f>
        <v/>
      </c>
      <c r="BG482" s="191"/>
    </row>
    <row r="483" spans="1:59" x14ac:dyDescent="0.25">
      <c r="A483" s="167"/>
      <c r="B483" s="167"/>
      <c r="C483" s="161"/>
      <c r="D483" s="160"/>
      <c r="E483" s="162"/>
      <c r="F483" s="164"/>
      <c r="G483" s="161"/>
      <c r="H483" s="161"/>
      <c r="I483" s="161"/>
      <c r="J483" s="161"/>
      <c r="K483" s="161"/>
      <c r="L483" s="166"/>
      <c r="M483" s="166"/>
      <c r="N483" s="166"/>
      <c r="O483" s="166"/>
      <c r="P483" s="166"/>
      <c r="Q483" s="166"/>
      <c r="R483" s="166"/>
      <c r="S483" s="167"/>
      <c r="T483" s="167"/>
      <c r="U483" s="167"/>
      <c r="V483" s="167"/>
      <c r="W483" s="167"/>
      <c r="X483" s="164"/>
      <c r="Y483" s="164"/>
      <c r="Z483" s="172"/>
      <c r="AA483" s="188"/>
      <c r="AB483" s="172"/>
      <c r="AC483" s="172"/>
      <c r="AD483" s="175"/>
      <c r="AE483" s="62" t="s">
        <v>114</v>
      </c>
      <c r="AF483" s="133"/>
      <c r="AG483" s="65"/>
      <c r="AH483" s="64"/>
      <c r="AI483" s="64"/>
      <c r="AJ483" s="64"/>
      <c r="AK483" s="64"/>
      <c r="AL483" s="64"/>
      <c r="AM483" s="80" t="str">
        <f>IFERROR((Tablas!$C$1*VLOOKUP(AH483, tipo_control, 2, 0)+Tablas!$E$1*VLOOKUP(AI483, nat_control, 2, 0)+Tablas!$G$1*VLOOKUP(AJ483, ev_control, 2, 0)+Tablas!$I$1*VLOOKUP(AK483, frec_control, 2, 0)+Tablas!$K$1*VLOOKUP(AL483, doc_control, 2, 0))*0.1*peso_dis, "")</f>
        <v/>
      </c>
      <c r="AN483" s="64"/>
      <c r="AO483" s="64"/>
      <c r="AP483" s="64"/>
      <c r="AQ483" s="80" t="str">
        <f>IFERROR((Tablas!$C$9*VLOOKUP(AN483, amb_control, 2, 0)+Tablas!$E$9*VLOOKUP(AO483, ejec_control, 2, 0)+Tablas!$G$9*VLOOKUP(AP483, cub_control, 2, 0))*0.1*peso_ejec, "")</f>
        <v/>
      </c>
      <c r="AR483" s="91" t="str">
        <f t="shared" si="788"/>
        <v/>
      </c>
      <c r="AS483" s="85" t="str">
        <f t="shared" si="797"/>
        <v/>
      </c>
      <c r="AT483" s="85" t="str">
        <f t="shared" si="798"/>
        <v/>
      </c>
      <c r="AU483" s="85" t="str">
        <f>IF(AR483&lt;Tablas!$G$19, 0, IF(AND(AR483&gt;=Tablas!$G$19, AR483&lt;Tablas!$G$20), 1,  IF(AND(AR483&gt;=Tablas!$G$20, AR483&lt;Tablas!$G$21), 2,  IF(AND(AR483&gt;=Tablas!$G$21, AR483&lt;=Tablas!$G$22), 3,  ""))))</f>
        <v/>
      </c>
      <c r="AV483" s="85" t="str">
        <f t="shared" si="789"/>
        <v/>
      </c>
      <c r="AW483" s="101" t="str">
        <f t="shared" si="790"/>
        <v/>
      </c>
      <c r="AX483" s="177"/>
      <c r="AY483" s="169"/>
      <c r="AZ483" s="158"/>
      <c r="BA483" s="169"/>
      <c r="BB483" s="182"/>
      <c r="BC483" s="182"/>
      <c r="BD483" s="185"/>
      <c r="BE483" s="185"/>
      <c r="BF483" s="158" t="str">
        <f t="shared" si="833"/>
        <v/>
      </c>
      <c r="BG483" s="191"/>
    </row>
    <row r="484" spans="1:59" x14ac:dyDescent="0.25">
      <c r="A484" s="167"/>
      <c r="B484" s="167"/>
      <c r="C484" s="161"/>
      <c r="D484" s="160"/>
      <c r="E484" s="162"/>
      <c r="F484" s="164"/>
      <c r="G484" s="161"/>
      <c r="H484" s="161"/>
      <c r="I484" s="161"/>
      <c r="J484" s="161"/>
      <c r="K484" s="161"/>
      <c r="L484" s="166"/>
      <c r="M484" s="166"/>
      <c r="N484" s="166"/>
      <c r="O484" s="166"/>
      <c r="P484" s="166"/>
      <c r="Q484" s="166"/>
      <c r="R484" s="166"/>
      <c r="S484" s="167"/>
      <c r="T484" s="167"/>
      <c r="U484" s="167"/>
      <c r="V484" s="167"/>
      <c r="W484" s="167"/>
      <c r="X484" s="164"/>
      <c r="Y484" s="164"/>
      <c r="Z484" s="172"/>
      <c r="AA484" s="188"/>
      <c r="AB484" s="172"/>
      <c r="AC484" s="172"/>
      <c r="AD484" s="175"/>
      <c r="AE484" s="62" t="s">
        <v>115</v>
      </c>
      <c r="AF484" s="133"/>
      <c r="AG484" s="65"/>
      <c r="AH484" s="64"/>
      <c r="AI484" s="64"/>
      <c r="AJ484" s="64"/>
      <c r="AK484" s="64"/>
      <c r="AL484" s="64"/>
      <c r="AM484" s="80" t="str">
        <f>IFERROR((Tablas!$C$1*VLOOKUP(AH484, tipo_control, 2, 0)+Tablas!$E$1*VLOOKUP(AI484, nat_control, 2, 0)+Tablas!$G$1*VLOOKUP(AJ484, ev_control, 2, 0)+Tablas!$I$1*VLOOKUP(AK484, frec_control, 2, 0)+Tablas!$K$1*VLOOKUP(AL484, doc_control, 2, 0))*0.1*peso_dis, "")</f>
        <v/>
      </c>
      <c r="AN484" s="64"/>
      <c r="AO484" s="64"/>
      <c r="AP484" s="64"/>
      <c r="AQ484" s="80" t="str">
        <f>IFERROR((Tablas!$C$9*VLOOKUP(AN484, amb_control, 2, 0)+Tablas!$E$9*VLOOKUP(AO484, ejec_control, 2, 0)+Tablas!$G$9*VLOOKUP(AP484, cub_control, 2, 0))*0.1*peso_ejec, "")</f>
        <v/>
      </c>
      <c r="AR484" s="91" t="str">
        <f t="shared" si="788"/>
        <v/>
      </c>
      <c r="AS484" s="85" t="str">
        <f t="shared" si="797"/>
        <v/>
      </c>
      <c r="AT484" s="85" t="str">
        <f t="shared" si="798"/>
        <v/>
      </c>
      <c r="AU484" s="85" t="str">
        <f>IF(AR484&lt;Tablas!$G$19, 0, IF(AND(AR484&gt;=Tablas!$G$19, AR484&lt;Tablas!$G$20), 1,  IF(AND(AR484&gt;=Tablas!$G$20, AR484&lt;Tablas!$G$21), 2,  IF(AND(AR484&gt;=Tablas!$G$21, AR484&lt;=Tablas!$G$22), 3,  ""))))</f>
        <v/>
      </c>
      <c r="AV484" s="85" t="str">
        <f t="shared" si="789"/>
        <v/>
      </c>
      <c r="AW484" s="101" t="str">
        <f t="shared" si="790"/>
        <v/>
      </c>
      <c r="AX484" s="177"/>
      <c r="AY484" s="169"/>
      <c r="AZ484" s="158"/>
      <c r="BA484" s="169"/>
      <c r="BB484" s="182"/>
      <c r="BC484" s="182"/>
      <c r="BD484" s="185"/>
      <c r="BE484" s="185"/>
      <c r="BF484" s="158" t="str">
        <f t="shared" si="833"/>
        <v/>
      </c>
      <c r="BG484" s="191"/>
    </row>
    <row r="485" spans="1:59" x14ac:dyDescent="0.25">
      <c r="A485" s="167"/>
      <c r="B485" s="167"/>
      <c r="C485" s="161"/>
      <c r="D485" s="160"/>
      <c r="E485" s="162"/>
      <c r="F485" s="164"/>
      <c r="G485" s="161"/>
      <c r="H485" s="161"/>
      <c r="I485" s="161"/>
      <c r="J485" s="161"/>
      <c r="K485" s="161"/>
      <c r="L485" s="166"/>
      <c r="M485" s="166"/>
      <c r="N485" s="166"/>
      <c r="O485" s="166"/>
      <c r="P485" s="166"/>
      <c r="Q485" s="166"/>
      <c r="R485" s="166"/>
      <c r="S485" s="167"/>
      <c r="T485" s="167"/>
      <c r="U485" s="167"/>
      <c r="V485" s="167"/>
      <c r="W485" s="167"/>
      <c r="X485" s="164"/>
      <c r="Y485" s="164"/>
      <c r="Z485" s="172"/>
      <c r="AA485" s="188"/>
      <c r="AB485" s="172"/>
      <c r="AC485" s="172"/>
      <c r="AD485" s="175"/>
      <c r="AE485" s="62" t="s">
        <v>153</v>
      </c>
      <c r="AF485" s="133"/>
      <c r="AG485" s="65"/>
      <c r="AH485" s="64"/>
      <c r="AI485" s="64"/>
      <c r="AJ485" s="64"/>
      <c r="AK485" s="64"/>
      <c r="AL485" s="64"/>
      <c r="AM485" s="80" t="str">
        <f>IFERROR((Tablas!$C$1*VLOOKUP(AH485, tipo_control, 2, 0)+Tablas!$E$1*VLOOKUP(AI485, nat_control, 2, 0)+Tablas!$G$1*VLOOKUP(AJ485, ev_control, 2, 0)+Tablas!$I$1*VLOOKUP(AK485, frec_control, 2, 0)+Tablas!$K$1*VLOOKUP(AL485, doc_control, 2, 0))*0.1*peso_dis, "")</f>
        <v/>
      </c>
      <c r="AN485" s="64"/>
      <c r="AO485" s="64"/>
      <c r="AP485" s="64"/>
      <c r="AQ485" s="80" t="str">
        <f>IFERROR((Tablas!$C$9*VLOOKUP(AN485, amb_control, 2, 0)+Tablas!$E$9*VLOOKUP(AO485, ejec_control, 2, 0)+Tablas!$G$9*VLOOKUP(AP485, cub_control, 2, 0))*0.1*peso_ejec, "")</f>
        <v/>
      </c>
      <c r="AR485" s="91" t="str">
        <f t="shared" si="788"/>
        <v/>
      </c>
      <c r="AS485" s="85" t="str">
        <f t="shared" si="797"/>
        <v/>
      </c>
      <c r="AT485" s="85" t="str">
        <f t="shared" si="798"/>
        <v/>
      </c>
      <c r="AU485" s="85" t="str">
        <f>IF(AR485&lt;Tablas!$G$19, 0, IF(AND(AR485&gt;=Tablas!$G$19, AR485&lt;Tablas!$G$20), 1,  IF(AND(AR485&gt;=Tablas!$G$20, AR485&lt;Tablas!$G$21), 2,  IF(AND(AR485&gt;=Tablas!$G$21, AR485&lt;=Tablas!$G$22), 3,  ""))))</f>
        <v/>
      </c>
      <c r="AV485" s="85" t="str">
        <f t="shared" si="789"/>
        <v/>
      </c>
      <c r="AW485" s="101" t="str">
        <f t="shared" si="790"/>
        <v/>
      </c>
      <c r="AX485" s="177"/>
      <c r="AY485" s="169"/>
      <c r="AZ485" s="158"/>
      <c r="BA485" s="169"/>
      <c r="BB485" s="182"/>
      <c r="BC485" s="182"/>
      <c r="BD485" s="185"/>
      <c r="BE485" s="185"/>
      <c r="BF485" s="158"/>
      <c r="BG485" s="191"/>
    </row>
    <row r="486" spans="1:59" ht="15.75" thickBot="1" x14ac:dyDescent="0.3">
      <c r="A486" s="167"/>
      <c r="B486" s="167"/>
      <c r="C486" s="161"/>
      <c r="D486" s="160"/>
      <c r="E486" s="162"/>
      <c r="F486" s="165"/>
      <c r="G486" s="161"/>
      <c r="H486" s="161"/>
      <c r="I486" s="161"/>
      <c r="J486" s="161"/>
      <c r="K486" s="161"/>
      <c r="L486" s="166"/>
      <c r="M486" s="166"/>
      <c r="N486" s="166"/>
      <c r="O486" s="166"/>
      <c r="P486" s="166"/>
      <c r="Q486" s="166"/>
      <c r="R486" s="166"/>
      <c r="S486" s="149"/>
      <c r="T486" s="149"/>
      <c r="U486" s="149"/>
      <c r="V486" s="149"/>
      <c r="W486" s="149"/>
      <c r="X486" s="165"/>
      <c r="Y486" s="165"/>
      <c r="Z486" s="172"/>
      <c r="AA486" s="188"/>
      <c r="AB486" s="172"/>
      <c r="AC486" s="172"/>
      <c r="AD486" s="175"/>
      <c r="AE486" s="66" t="s">
        <v>154</v>
      </c>
      <c r="AF486" s="134"/>
      <c r="AG486" s="67"/>
      <c r="AH486" s="69"/>
      <c r="AI486" s="69"/>
      <c r="AJ486" s="69"/>
      <c r="AK486" s="69"/>
      <c r="AL486" s="69"/>
      <c r="AM486" s="81" t="str">
        <f>IFERROR((Tablas!$C$1*VLOOKUP(AH486, tipo_control, 2, 0)+Tablas!$E$1*VLOOKUP(AI486, nat_control, 2, 0)+Tablas!$G$1*VLOOKUP(AJ486, ev_control, 2, 0)+Tablas!$I$1*VLOOKUP(AK486, frec_control, 2, 0)+Tablas!$K$1*VLOOKUP(AL486, doc_control, 2, 0))*0.1*peso_dis, "")</f>
        <v/>
      </c>
      <c r="AN486" s="69"/>
      <c r="AO486" s="69"/>
      <c r="AP486" s="69"/>
      <c r="AQ486" s="81" t="str">
        <f>IFERROR((Tablas!$C$9*VLOOKUP(AN486, amb_control, 2, 0)+Tablas!$E$9*VLOOKUP(AO486, ejec_control, 2, 0)+Tablas!$G$9*VLOOKUP(AP486, cub_control, 2, 0))*0.1*peso_ejec, "")</f>
        <v/>
      </c>
      <c r="AR486" s="93" t="str">
        <f t="shared" si="788"/>
        <v/>
      </c>
      <c r="AS486" s="94" t="str">
        <f t="shared" si="797"/>
        <v/>
      </c>
      <c r="AT486" s="94" t="str">
        <f t="shared" si="798"/>
        <v/>
      </c>
      <c r="AU486" s="94" t="str">
        <f>IF(AR486&lt;Tablas!$G$19, 0, IF(AND(AR486&gt;=Tablas!$G$19, AR486&lt;Tablas!$G$20), 1,  IF(AND(AR486&gt;=Tablas!$G$20, AR486&lt;Tablas!$G$21), 2,  IF(AND(AR486&gt;=Tablas!$G$21, AR486&lt;=Tablas!$G$22), 3,  ""))))</f>
        <v/>
      </c>
      <c r="AV486" s="94" t="str">
        <f t="shared" si="789"/>
        <v/>
      </c>
      <c r="AW486" s="102" t="str">
        <f t="shared" si="790"/>
        <v/>
      </c>
      <c r="AX486" s="157"/>
      <c r="AY486" s="170"/>
      <c r="AZ486" s="179"/>
      <c r="BA486" s="170"/>
      <c r="BB486" s="182"/>
      <c r="BC486" s="182"/>
      <c r="BD486" s="185"/>
      <c r="BE486" s="185"/>
      <c r="BF486" s="159"/>
      <c r="BG486" s="191"/>
    </row>
    <row r="487" spans="1:59" x14ac:dyDescent="0.25">
      <c r="A487" s="167"/>
      <c r="B487" s="167"/>
      <c r="C487" s="161" t="s">
        <v>180</v>
      </c>
      <c r="D487" s="160" t="s">
        <v>158</v>
      </c>
      <c r="E487" s="162"/>
      <c r="F487" s="163" t="str">
        <f t="shared" si="791"/>
        <v/>
      </c>
      <c r="G487" s="149"/>
      <c r="H487" s="149"/>
      <c r="I487" s="149"/>
      <c r="J487" s="149"/>
      <c r="K487" s="149"/>
      <c r="L487" s="165" t="str">
        <f t="shared" ref="L487" si="834">IFERROR(VLOOKUP(G487, tabla02, 2, 0), "")</f>
        <v/>
      </c>
      <c r="M487" s="165" t="str">
        <f t="shared" ref="M487" si="835">IFERROR(VLOOKUP(H487, tabla02, 2, 0), "")</f>
        <v/>
      </c>
      <c r="N487" s="165" t="str">
        <f t="shared" ref="N487" si="836">IFERROR(VLOOKUP(I487, tabla02, 2, 0), "")</f>
        <v/>
      </c>
      <c r="O487" s="165" t="str">
        <f t="shared" ref="O487" si="837">IFERROR(VLOOKUP(J487, tabla02, 2, 0), "")</f>
        <v/>
      </c>
      <c r="P487" s="165" t="str">
        <f t="shared" ref="P487" si="838">IFERROR(VLOOKUP(K487, tabla02, 2, 0), "")</f>
        <v/>
      </c>
      <c r="Q487" s="165" t="str">
        <f t="shared" ref="Q487" si="839">IF(SUM(L487:O491)=0, "", MAX(L487:P487))</f>
        <v/>
      </c>
      <c r="R487" s="165" t="str">
        <f>IFERROR(VLOOKUP(Q487, tabla04, 3, 0), "")</f>
        <v/>
      </c>
      <c r="S487" s="148"/>
      <c r="T487" s="148"/>
      <c r="U487" s="148"/>
      <c r="V487" s="148"/>
      <c r="W487" s="148"/>
      <c r="X487" s="163" t="str">
        <f>IFERROR(VLOOKUP(CONCATENATE(F487, "-", Q487), cuadrante_sev, 3, 0), "")</f>
        <v/>
      </c>
      <c r="Y487" s="163" t="str">
        <f t="shared" ref="Y487" si="840">IFERROR(IF(X487="Baja", 1, IF(X487="Moderada", 2, IF(X487="Alta", 3, IF(X487="Extrema", 4, "")))), "")</f>
        <v/>
      </c>
      <c r="Z487" s="172"/>
      <c r="AA487" s="188"/>
      <c r="AB487" s="172"/>
      <c r="AC487" s="172"/>
      <c r="AD487" s="175"/>
      <c r="AE487" s="70" t="s">
        <v>113</v>
      </c>
      <c r="AF487" s="135"/>
      <c r="AG487" s="74"/>
      <c r="AH487" s="72"/>
      <c r="AI487" s="72"/>
      <c r="AJ487" s="72"/>
      <c r="AK487" s="72"/>
      <c r="AL487" s="72"/>
      <c r="AM487" s="82" t="str">
        <f>IFERROR((Tablas!$C$1*VLOOKUP(AH487, tipo_control, 2, 0)+Tablas!$E$1*VLOOKUP(AI487, nat_control, 2, 0)+Tablas!$G$1*VLOOKUP(AJ487, ev_control, 2, 0)+Tablas!$I$1*VLOOKUP(AK487, frec_control, 2, 0)+Tablas!$K$1*VLOOKUP(AL487, doc_control, 2, 0))*0.1*peso_dis, "")</f>
        <v/>
      </c>
      <c r="AN487" s="72"/>
      <c r="AO487" s="72"/>
      <c r="AP487" s="72"/>
      <c r="AQ487" s="82" t="str">
        <f>IFERROR((Tablas!$C$9*VLOOKUP(AN487, amb_control, 2, 0)+Tablas!$E$9*VLOOKUP(AO487, ejec_control, 2, 0)+Tablas!$G$9*VLOOKUP(AP487, cub_control, 2, 0))*0.1*peso_ejec, "")</f>
        <v/>
      </c>
      <c r="AR487" s="96" t="str">
        <f t="shared" si="788"/>
        <v/>
      </c>
      <c r="AS487" s="97" t="str">
        <f t="shared" si="797"/>
        <v/>
      </c>
      <c r="AT487" s="87" t="str">
        <f t="shared" si="798"/>
        <v/>
      </c>
      <c r="AU487" s="97" t="str">
        <f>IF(AR487&lt;Tablas!$G$19, 0, IF(AND(AR487&gt;=Tablas!$G$19, AR487&lt;Tablas!$G$20), 1,  IF(AND(AR487&gt;=Tablas!$G$20, AR487&lt;Tablas!$G$21), 2,  IF(AND(AR487&gt;=Tablas!$G$21, AR487&lt;=Tablas!$G$22), 3,  ""))))</f>
        <v/>
      </c>
      <c r="AV487" s="97" t="str">
        <f t="shared" si="789"/>
        <v/>
      </c>
      <c r="AW487" s="103" t="str">
        <f t="shared" si="790"/>
        <v/>
      </c>
      <c r="AX487" s="176" t="str">
        <f t="shared" ref="AX487" si="841">IFERROR(VLOOKUP(AY487, tabla04, 2, 0), "")</f>
        <v/>
      </c>
      <c r="AY487" s="168" t="str">
        <f>IF(F487="", "", IF((F487-MAX(AV487:AV491))&lt;=0, 1, F487-MAX(AV487:AV491)))</f>
        <v/>
      </c>
      <c r="AZ487" s="178" t="str">
        <f t="shared" ref="AZ487" si="842">IFERROR(VLOOKUP(BA487, tabla04, 3, 0), "")</f>
        <v/>
      </c>
      <c r="BA487" s="168" t="str">
        <f>IF(Q487="", "", IF((Q487-MAX(AW487:AW491))&lt;=0, 1, Q487-MAX(AW487:AW491)))</f>
        <v/>
      </c>
      <c r="BB487" s="182"/>
      <c r="BC487" s="182"/>
      <c r="BD487" s="185"/>
      <c r="BE487" s="185"/>
      <c r="BF487" s="158" t="str">
        <f t="shared" ref="BF487:BF489" si="843">IFERROR(VLOOKUP(CONCATENATE(AY487, "-", BA487), cuadrante_sev, 3, 0), "")</f>
        <v/>
      </c>
      <c r="BG487" s="191"/>
    </row>
    <row r="488" spans="1:59" x14ac:dyDescent="0.25">
      <c r="A488" s="167"/>
      <c r="B488" s="167"/>
      <c r="C488" s="161"/>
      <c r="D488" s="160"/>
      <c r="E488" s="162"/>
      <c r="F488" s="164"/>
      <c r="G488" s="161"/>
      <c r="H488" s="161"/>
      <c r="I488" s="161"/>
      <c r="J488" s="161"/>
      <c r="K488" s="161"/>
      <c r="L488" s="166"/>
      <c r="M488" s="166"/>
      <c r="N488" s="166"/>
      <c r="O488" s="166"/>
      <c r="P488" s="166"/>
      <c r="Q488" s="166"/>
      <c r="R488" s="166"/>
      <c r="S488" s="167"/>
      <c r="T488" s="167"/>
      <c r="U488" s="167"/>
      <c r="V488" s="167"/>
      <c r="W488" s="167"/>
      <c r="X488" s="164"/>
      <c r="Y488" s="164"/>
      <c r="Z488" s="172"/>
      <c r="AA488" s="188"/>
      <c r="AB488" s="172"/>
      <c r="AC488" s="172"/>
      <c r="AD488" s="175"/>
      <c r="AE488" s="62" t="s">
        <v>114</v>
      </c>
      <c r="AF488" s="133"/>
      <c r="AG488" s="65"/>
      <c r="AH488" s="64"/>
      <c r="AI488" s="64"/>
      <c r="AJ488" s="64"/>
      <c r="AK488" s="64"/>
      <c r="AL488" s="64"/>
      <c r="AM488" s="80" t="str">
        <f>IFERROR((Tablas!$C$1*VLOOKUP(AH488, tipo_control, 2, 0)+Tablas!$E$1*VLOOKUP(AI488, nat_control, 2, 0)+Tablas!$G$1*VLOOKUP(AJ488, ev_control, 2, 0)+Tablas!$I$1*VLOOKUP(AK488, frec_control, 2, 0)+Tablas!$K$1*VLOOKUP(AL488, doc_control, 2, 0))*0.1*peso_dis, "")</f>
        <v/>
      </c>
      <c r="AN488" s="64"/>
      <c r="AO488" s="64"/>
      <c r="AP488" s="64"/>
      <c r="AQ488" s="80" t="str">
        <f>IFERROR((Tablas!$C$9*VLOOKUP(AN488, amb_control, 2, 0)+Tablas!$E$9*VLOOKUP(AO488, ejec_control, 2, 0)+Tablas!$G$9*VLOOKUP(AP488, cub_control, 2, 0))*0.1*peso_ejec, "")</f>
        <v/>
      </c>
      <c r="AR488" s="91" t="str">
        <f t="shared" si="788"/>
        <v/>
      </c>
      <c r="AS488" s="85" t="str">
        <f t="shared" si="797"/>
        <v/>
      </c>
      <c r="AT488" s="85" t="str">
        <f t="shared" si="798"/>
        <v/>
      </c>
      <c r="AU488" s="85" t="str">
        <f>IF(AR488&lt;Tablas!$G$19, 0, IF(AND(AR488&gt;=Tablas!$G$19, AR488&lt;Tablas!$G$20), 1,  IF(AND(AR488&gt;=Tablas!$G$20, AR488&lt;Tablas!$G$21), 2,  IF(AND(AR488&gt;=Tablas!$G$21, AR488&lt;=Tablas!$G$22), 3,  ""))))</f>
        <v/>
      </c>
      <c r="AV488" s="85" t="str">
        <f t="shared" si="789"/>
        <v/>
      </c>
      <c r="AW488" s="101" t="str">
        <f t="shared" si="790"/>
        <v/>
      </c>
      <c r="AX488" s="177"/>
      <c r="AY488" s="169"/>
      <c r="AZ488" s="158"/>
      <c r="BA488" s="169"/>
      <c r="BB488" s="182"/>
      <c r="BC488" s="182"/>
      <c r="BD488" s="185"/>
      <c r="BE488" s="185"/>
      <c r="BF488" s="158" t="str">
        <f t="shared" si="843"/>
        <v/>
      </c>
      <c r="BG488" s="191"/>
    </row>
    <row r="489" spans="1:59" x14ac:dyDescent="0.25">
      <c r="A489" s="167"/>
      <c r="B489" s="167"/>
      <c r="C489" s="161"/>
      <c r="D489" s="160"/>
      <c r="E489" s="162"/>
      <c r="F489" s="164"/>
      <c r="G489" s="161"/>
      <c r="H489" s="161"/>
      <c r="I489" s="161"/>
      <c r="J489" s="161"/>
      <c r="K489" s="161"/>
      <c r="L489" s="166"/>
      <c r="M489" s="166"/>
      <c r="N489" s="166"/>
      <c r="O489" s="166"/>
      <c r="P489" s="166"/>
      <c r="Q489" s="166"/>
      <c r="R489" s="166"/>
      <c r="S489" s="167"/>
      <c r="T489" s="167"/>
      <c r="U489" s="167"/>
      <c r="V489" s="167"/>
      <c r="W489" s="167"/>
      <c r="X489" s="164"/>
      <c r="Y489" s="164"/>
      <c r="Z489" s="172"/>
      <c r="AA489" s="188"/>
      <c r="AB489" s="172"/>
      <c r="AC489" s="172"/>
      <c r="AD489" s="175"/>
      <c r="AE489" s="62" t="s">
        <v>115</v>
      </c>
      <c r="AF489" s="133"/>
      <c r="AG489" s="65"/>
      <c r="AH489" s="64"/>
      <c r="AI489" s="64"/>
      <c r="AJ489" s="64"/>
      <c r="AK489" s="64"/>
      <c r="AL489" s="64"/>
      <c r="AM489" s="80" t="str">
        <f>IFERROR((Tablas!$C$1*VLOOKUP(AH489, tipo_control, 2, 0)+Tablas!$E$1*VLOOKUP(AI489, nat_control, 2, 0)+Tablas!$G$1*VLOOKUP(AJ489, ev_control, 2, 0)+Tablas!$I$1*VLOOKUP(AK489, frec_control, 2, 0)+Tablas!$K$1*VLOOKUP(AL489, doc_control, 2, 0))*0.1*peso_dis, "")</f>
        <v/>
      </c>
      <c r="AN489" s="64"/>
      <c r="AO489" s="64"/>
      <c r="AP489" s="64"/>
      <c r="AQ489" s="80" t="str">
        <f>IFERROR((Tablas!$C$9*VLOOKUP(AN489, amb_control, 2, 0)+Tablas!$E$9*VLOOKUP(AO489, ejec_control, 2, 0)+Tablas!$G$9*VLOOKUP(AP489, cub_control, 2, 0))*0.1*peso_ejec, "")</f>
        <v/>
      </c>
      <c r="AR489" s="91" t="str">
        <f t="shared" si="788"/>
        <v/>
      </c>
      <c r="AS489" s="85" t="str">
        <f t="shared" si="797"/>
        <v/>
      </c>
      <c r="AT489" s="85" t="str">
        <f t="shared" si="798"/>
        <v/>
      </c>
      <c r="AU489" s="85" t="str">
        <f>IF(AR489&lt;Tablas!$G$19, 0, IF(AND(AR489&gt;=Tablas!$G$19, AR489&lt;Tablas!$G$20), 1,  IF(AND(AR489&gt;=Tablas!$G$20, AR489&lt;Tablas!$G$21), 2,  IF(AND(AR489&gt;=Tablas!$G$21, AR489&lt;=Tablas!$G$22), 3,  ""))))</f>
        <v/>
      </c>
      <c r="AV489" s="85" t="str">
        <f t="shared" si="789"/>
        <v/>
      </c>
      <c r="AW489" s="101" t="str">
        <f t="shared" si="790"/>
        <v/>
      </c>
      <c r="AX489" s="177"/>
      <c r="AY489" s="169"/>
      <c r="AZ489" s="158"/>
      <c r="BA489" s="169"/>
      <c r="BB489" s="182"/>
      <c r="BC489" s="182"/>
      <c r="BD489" s="185"/>
      <c r="BE489" s="185"/>
      <c r="BF489" s="158" t="str">
        <f t="shared" si="843"/>
        <v/>
      </c>
      <c r="BG489" s="191"/>
    </row>
    <row r="490" spans="1:59" x14ac:dyDescent="0.25">
      <c r="A490" s="167"/>
      <c r="B490" s="167"/>
      <c r="C490" s="161"/>
      <c r="D490" s="160"/>
      <c r="E490" s="162"/>
      <c r="F490" s="164"/>
      <c r="G490" s="161"/>
      <c r="H490" s="161"/>
      <c r="I490" s="161"/>
      <c r="J490" s="161"/>
      <c r="K490" s="161"/>
      <c r="L490" s="166"/>
      <c r="M490" s="166"/>
      <c r="N490" s="166"/>
      <c r="O490" s="166"/>
      <c r="P490" s="166"/>
      <c r="Q490" s="166"/>
      <c r="R490" s="166"/>
      <c r="S490" s="167"/>
      <c r="T490" s="167"/>
      <c r="U490" s="167"/>
      <c r="V490" s="167"/>
      <c r="W490" s="167"/>
      <c r="X490" s="164"/>
      <c r="Y490" s="164"/>
      <c r="Z490" s="172"/>
      <c r="AA490" s="188"/>
      <c r="AB490" s="172"/>
      <c r="AC490" s="172"/>
      <c r="AD490" s="175"/>
      <c r="AE490" s="62" t="s">
        <v>153</v>
      </c>
      <c r="AF490" s="133"/>
      <c r="AG490" s="65"/>
      <c r="AH490" s="64"/>
      <c r="AI490" s="64"/>
      <c r="AJ490" s="64"/>
      <c r="AK490" s="64"/>
      <c r="AL490" s="64"/>
      <c r="AM490" s="80" t="str">
        <f>IFERROR((Tablas!$C$1*VLOOKUP(AH490, tipo_control, 2, 0)+Tablas!$E$1*VLOOKUP(AI490, nat_control, 2, 0)+Tablas!$G$1*VLOOKUP(AJ490, ev_control, 2, 0)+Tablas!$I$1*VLOOKUP(AK490, frec_control, 2, 0)+Tablas!$K$1*VLOOKUP(AL490, doc_control, 2, 0))*0.1*peso_dis, "")</f>
        <v/>
      </c>
      <c r="AN490" s="64"/>
      <c r="AO490" s="64"/>
      <c r="AP490" s="64"/>
      <c r="AQ490" s="80" t="str">
        <f>IFERROR((Tablas!$C$9*VLOOKUP(AN490, amb_control, 2, 0)+Tablas!$E$9*VLOOKUP(AO490, ejec_control, 2, 0)+Tablas!$G$9*VLOOKUP(AP490, cub_control, 2, 0))*0.1*peso_ejec, "")</f>
        <v/>
      </c>
      <c r="AR490" s="91" t="str">
        <f t="shared" si="788"/>
        <v/>
      </c>
      <c r="AS490" s="85" t="str">
        <f t="shared" si="797"/>
        <v/>
      </c>
      <c r="AT490" s="85" t="str">
        <f t="shared" si="798"/>
        <v/>
      </c>
      <c r="AU490" s="85" t="str">
        <f>IF(AR490&lt;Tablas!$G$19, 0, IF(AND(AR490&gt;=Tablas!$G$19, AR490&lt;Tablas!$G$20), 1,  IF(AND(AR490&gt;=Tablas!$G$20, AR490&lt;Tablas!$G$21), 2,  IF(AND(AR490&gt;=Tablas!$G$21, AR490&lt;=Tablas!$G$22), 3,  ""))))</f>
        <v/>
      </c>
      <c r="AV490" s="85" t="str">
        <f t="shared" si="789"/>
        <v/>
      </c>
      <c r="AW490" s="101" t="str">
        <f t="shared" si="790"/>
        <v/>
      </c>
      <c r="AX490" s="177"/>
      <c r="AY490" s="169"/>
      <c r="AZ490" s="158"/>
      <c r="BA490" s="169"/>
      <c r="BB490" s="182"/>
      <c r="BC490" s="182"/>
      <c r="BD490" s="185"/>
      <c r="BE490" s="185"/>
      <c r="BF490" s="158"/>
      <c r="BG490" s="191"/>
    </row>
    <row r="491" spans="1:59" ht="15.75" thickBot="1" x14ac:dyDescent="0.3">
      <c r="A491" s="167"/>
      <c r="B491" s="167"/>
      <c r="C491" s="161"/>
      <c r="D491" s="160"/>
      <c r="E491" s="162"/>
      <c r="F491" s="165"/>
      <c r="G491" s="161"/>
      <c r="H491" s="161"/>
      <c r="I491" s="161"/>
      <c r="J491" s="161"/>
      <c r="K491" s="161"/>
      <c r="L491" s="166"/>
      <c r="M491" s="166"/>
      <c r="N491" s="166"/>
      <c r="O491" s="166"/>
      <c r="P491" s="166"/>
      <c r="Q491" s="166"/>
      <c r="R491" s="166"/>
      <c r="S491" s="149"/>
      <c r="T491" s="149"/>
      <c r="U491" s="149"/>
      <c r="V491" s="149"/>
      <c r="W491" s="149"/>
      <c r="X491" s="165"/>
      <c r="Y491" s="165"/>
      <c r="Z491" s="172"/>
      <c r="AA491" s="188"/>
      <c r="AB491" s="172"/>
      <c r="AC491" s="172"/>
      <c r="AD491" s="175"/>
      <c r="AE491" s="66" t="s">
        <v>154</v>
      </c>
      <c r="AF491" s="134"/>
      <c r="AG491" s="67"/>
      <c r="AH491" s="69"/>
      <c r="AI491" s="69"/>
      <c r="AJ491" s="69"/>
      <c r="AK491" s="69"/>
      <c r="AL491" s="69"/>
      <c r="AM491" s="81" t="str">
        <f>IFERROR((Tablas!$C$1*VLOOKUP(AH491, tipo_control, 2, 0)+Tablas!$E$1*VLOOKUP(AI491, nat_control, 2, 0)+Tablas!$G$1*VLOOKUP(AJ491, ev_control, 2, 0)+Tablas!$I$1*VLOOKUP(AK491, frec_control, 2, 0)+Tablas!$K$1*VLOOKUP(AL491, doc_control, 2, 0))*0.1*peso_dis, "")</f>
        <v/>
      </c>
      <c r="AN491" s="69"/>
      <c r="AO491" s="69"/>
      <c r="AP491" s="69"/>
      <c r="AQ491" s="81" t="str">
        <f>IFERROR((Tablas!$C$9*VLOOKUP(AN491, amb_control, 2, 0)+Tablas!$E$9*VLOOKUP(AO491, ejec_control, 2, 0)+Tablas!$G$9*VLOOKUP(AP491, cub_control, 2, 0))*0.1*peso_ejec, "")</f>
        <v/>
      </c>
      <c r="AR491" s="93" t="str">
        <f t="shared" si="788"/>
        <v/>
      </c>
      <c r="AS491" s="94" t="str">
        <f t="shared" si="797"/>
        <v/>
      </c>
      <c r="AT491" s="94" t="str">
        <f t="shared" si="798"/>
        <v/>
      </c>
      <c r="AU491" s="94" t="str">
        <f>IF(AR491&lt;Tablas!$G$19, 0, IF(AND(AR491&gt;=Tablas!$G$19, AR491&lt;Tablas!$G$20), 1,  IF(AND(AR491&gt;=Tablas!$G$20, AR491&lt;Tablas!$G$21), 2,  IF(AND(AR491&gt;=Tablas!$G$21, AR491&lt;=Tablas!$G$22), 3,  ""))))</f>
        <v/>
      </c>
      <c r="AV491" s="94" t="str">
        <f t="shared" si="789"/>
        <v/>
      </c>
      <c r="AW491" s="102" t="str">
        <f t="shared" si="790"/>
        <v/>
      </c>
      <c r="AX491" s="157"/>
      <c r="AY491" s="170"/>
      <c r="AZ491" s="179"/>
      <c r="BA491" s="170"/>
      <c r="BB491" s="182"/>
      <c r="BC491" s="182"/>
      <c r="BD491" s="185"/>
      <c r="BE491" s="185"/>
      <c r="BF491" s="159"/>
      <c r="BG491" s="191"/>
    </row>
    <row r="492" spans="1:59" x14ac:dyDescent="0.25">
      <c r="A492" s="167"/>
      <c r="B492" s="167"/>
      <c r="C492" s="161" t="s">
        <v>181</v>
      </c>
      <c r="D492" s="160" t="s">
        <v>158</v>
      </c>
      <c r="E492" s="162"/>
      <c r="F492" s="163" t="str">
        <f t="shared" si="791"/>
        <v/>
      </c>
      <c r="G492" s="149"/>
      <c r="H492" s="149"/>
      <c r="I492" s="149"/>
      <c r="J492" s="149"/>
      <c r="K492" s="149"/>
      <c r="L492" s="165" t="str">
        <f t="shared" ref="L492" si="844">IFERROR(VLOOKUP(G492, tabla02, 2, 0), "")</f>
        <v/>
      </c>
      <c r="M492" s="165" t="str">
        <f t="shared" ref="M492" si="845">IFERROR(VLOOKUP(H492, tabla02, 2, 0), "")</f>
        <v/>
      </c>
      <c r="N492" s="165" t="str">
        <f t="shared" ref="N492" si="846">IFERROR(VLOOKUP(I492, tabla02, 2, 0), "")</f>
        <v/>
      </c>
      <c r="O492" s="165" t="str">
        <f t="shared" ref="O492" si="847">IFERROR(VLOOKUP(J492, tabla02, 2, 0), "")</f>
        <v/>
      </c>
      <c r="P492" s="165" t="str">
        <f t="shared" ref="P492" si="848">IFERROR(VLOOKUP(K492, tabla02, 2, 0), "")</f>
        <v/>
      </c>
      <c r="Q492" s="165" t="str">
        <f t="shared" ref="Q492" si="849">IF(SUM(L492:O496)=0, "", MAX(L492:P492))</f>
        <v/>
      </c>
      <c r="R492" s="165" t="str">
        <f>IFERROR(VLOOKUP(Q492, tabla04, 3, 0), "")</f>
        <v/>
      </c>
      <c r="S492" s="148"/>
      <c r="T492" s="148"/>
      <c r="U492" s="148"/>
      <c r="V492" s="148"/>
      <c r="W492" s="148"/>
      <c r="X492" s="163" t="str">
        <f>IFERROR(VLOOKUP(CONCATENATE(F492, "-", Q492), cuadrante_sev, 3, 0), "")</f>
        <v/>
      </c>
      <c r="Y492" s="163" t="str">
        <f t="shared" ref="Y492" si="850">IFERROR(IF(X492="Baja", 1, IF(X492="Moderada", 2, IF(X492="Alta", 3, IF(X492="Extrema", 4, "")))), "")</f>
        <v/>
      </c>
      <c r="Z492" s="172"/>
      <c r="AA492" s="188"/>
      <c r="AB492" s="172"/>
      <c r="AC492" s="172"/>
      <c r="AD492" s="175"/>
      <c r="AE492" s="70" t="s">
        <v>113</v>
      </c>
      <c r="AF492" s="135"/>
      <c r="AG492" s="74"/>
      <c r="AH492" s="72"/>
      <c r="AI492" s="72"/>
      <c r="AJ492" s="72"/>
      <c r="AK492" s="72"/>
      <c r="AL492" s="72"/>
      <c r="AM492" s="82" t="str">
        <f>IFERROR((Tablas!$C$1*VLOOKUP(AH492, tipo_control, 2, 0)+Tablas!$E$1*VLOOKUP(AI492, nat_control, 2, 0)+Tablas!$G$1*VLOOKUP(AJ492, ev_control, 2, 0)+Tablas!$I$1*VLOOKUP(AK492, frec_control, 2, 0)+Tablas!$K$1*VLOOKUP(AL492, doc_control, 2, 0))*0.1*peso_dis, "")</f>
        <v/>
      </c>
      <c r="AN492" s="72"/>
      <c r="AO492" s="72"/>
      <c r="AP492" s="72"/>
      <c r="AQ492" s="82" t="str">
        <f>IFERROR((Tablas!$C$9*VLOOKUP(AN492, amb_control, 2, 0)+Tablas!$E$9*VLOOKUP(AO492, ejec_control, 2, 0)+Tablas!$G$9*VLOOKUP(AP492, cub_control, 2, 0))*0.1*peso_ejec, "")</f>
        <v/>
      </c>
      <c r="AR492" s="96" t="str">
        <f t="shared" si="788"/>
        <v/>
      </c>
      <c r="AS492" s="97" t="str">
        <f t="shared" si="797"/>
        <v/>
      </c>
      <c r="AT492" s="87" t="str">
        <f t="shared" si="798"/>
        <v/>
      </c>
      <c r="AU492" s="97" t="str">
        <f>IF(AR492&lt;Tablas!$G$19, 0, IF(AND(AR492&gt;=Tablas!$G$19, AR492&lt;Tablas!$G$20), 1,  IF(AND(AR492&gt;=Tablas!$G$20, AR492&lt;Tablas!$G$21), 2,  IF(AND(AR492&gt;=Tablas!$G$21, AR492&lt;=Tablas!$G$22), 3,  ""))))</f>
        <v/>
      </c>
      <c r="AV492" s="97" t="str">
        <f t="shared" si="789"/>
        <v/>
      </c>
      <c r="AW492" s="103" t="str">
        <f t="shared" si="790"/>
        <v/>
      </c>
      <c r="AX492" s="176" t="str">
        <f t="shared" ref="AX492" si="851">IFERROR(VLOOKUP(AY492, tabla04, 2, 0), "")</f>
        <v/>
      </c>
      <c r="AY492" s="168" t="str">
        <f>IF(F492="", "", IF((F492-MAX(AV492:AV496))&lt;=0, 1, F492-MAX(AV492:AV496)))</f>
        <v/>
      </c>
      <c r="AZ492" s="178" t="str">
        <f t="shared" ref="AZ492" si="852">IFERROR(VLOOKUP(BA492, tabla04, 3, 0), "")</f>
        <v/>
      </c>
      <c r="BA492" s="168" t="str">
        <f>IF(Q492="", "", IF((Q492-MAX(AW492:AW496))&lt;=0, 1, Q492-MAX(AW492:AW496)))</f>
        <v/>
      </c>
      <c r="BB492" s="182"/>
      <c r="BC492" s="182"/>
      <c r="BD492" s="185"/>
      <c r="BE492" s="185"/>
      <c r="BF492" s="158" t="str">
        <f t="shared" ref="BF492:BF494" si="853">IFERROR(VLOOKUP(CONCATENATE(AY492, "-", BA492), cuadrante_sev, 3, 0), "")</f>
        <v/>
      </c>
      <c r="BG492" s="191"/>
    </row>
    <row r="493" spans="1:59" x14ac:dyDescent="0.25">
      <c r="A493" s="167"/>
      <c r="B493" s="167"/>
      <c r="C493" s="161"/>
      <c r="D493" s="160"/>
      <c r="E493" s="162"/>
      <c r="F493" s="164"/>
      <c r="G493" s="161"/>
      <c r="H493" s="161"/>
      <c r="I493" s="161"/>
      <c r="J493" s="161"/>
      <c r="K493" s="161"/>
      <c r="L493" s="166"/>
      <c r="M493" s="166"/>
      <c r="N493" s="166"/>
      <c r="O493" s="166"/>
      <c r="P493" s="166"/>
      <c r="Q493" s="166"/>
      <c r="R493" s="166"/>
      <c r="S493" s="167"/>
      <c r="T493" s="167"/>
      <c r="U493" s="167"/>
      <c r="V493" s="167"/>
      <c r="W493" s="167"/>
      <c r="X493" s="164"/>
      <c r="Y493" s="164"/>
      <c r="Z493" s="172"/>
      <c r="AA493" s="188"/>
      <c r="AB493" s="172"/>
      <c r="AC493" s="172"/>
      <c r="AD493" s="175"/>
      <c r="AE493" s="62" t="s">
        <v>114</v>
      </c>
      <c r="AF493" s="133"/>
      <c r="AG493" s="65"/>
      <c r="AH493" s="64"/>
      <c r="AI493" s="64"/>
      <c r="AJ493" s="64"/>
      <c r="AK493" s="64"/>
      <c r="AL493" s="64"/>
      <c r="AM493" s="80" t="str">
        <f>IFERROR((Tablas!$C$1*VLOOKUP(AH493, tipo_control, 2, 0)+Tablas!$E$1*VLOOKUP(AI493, nat_control, 2, 0)+Tablas!$G$1*VLOOKUP(AJ493, ev_control, 2, 0)+Tablas!$I$1*VLOOKUP(AK493, frec_control, 2, 0)+Tablas!$K$1*VLOOKUP(AL493, doc_control, 2, 0))*0.1*peso_dis, "")</f>
        <v/>
      </c>
      <c r="AN493" s="64"/>
      <c r="AO493" s="64"/>
      <c r="AP493" s="64"/>
      <c r="AQ493" s="80" t="str">
        <f>IFERROR((Tablas!$C$9*VLOOKUP(AN493, amb_control, 2, 0)+Tablas!$E$9*VLOOKUP(AO493, ejec_control, 2, 0)+Tablas!$G$9*VLOOKUP(AP493, cub_control, 2, 0))*0.1*peso_ejec, "")</f>
        <v/>
      </c>
      <c r="AR493" s="91" t="str">
        <f t="shared" si="788"/>
        <v/>
      </c>
      <c r="AS493" s="85" t="str">
        <f t="shared" si="797"/>
        <v/>
      </c>
      <c r="AT493" s="85" t="str">
        <f t="shared" si="798"/>
        <v/>
      </c>
      <c r="AU493" s="85" t="str">
        <f>IF(AR493&lt;Tablas!$G$19, 0, IF(AND(AR493&gt;=Tablas!$G$19, AR493&lt;Tablas!$G$20), 1,  IF(AND(AR493&gt;=Tablas!$G$20, AR493&lt;Tablas!$G$21), 2,  IF(AND(AR493&gt;=Tablas!$G$21, AR493&lt;=Tablas!$G$22), 3,  ""))))</f>
        <v/>
      </c>
      <c r="AV493" s="85" t="str">
        <f t="shared" si="789"/>
        <v/>
      </c>
      <c r="AW493" s="101" t="str">
        <f t="shared" si="790"/>
        <v/>
      </c>
      <c r="AX493" s="177"/>
      <c r="AY493" s="169"/>
      <c r="AZ493" s="158"/>
      <c r="BA493" s="169"/>
      <c r="BB493" s="182"/>
      <c r="BC493" s="182"/>
      <c r="BD493" s="185"/>
      <c r="BE493" s="185"/>
      <c r="BF493" s="158" t="str">
        <f t="shared" si="853"/>
        <v/>
      </c>
      <c r="BG493" s="191"/>
    </row>
    <row r="494" spans="1:59" x14ac:dyDescent="0.25">
      <c r="A494" s="167"/>
      <c r="B494" s="167"/>
      <c r="C494" s="161"/>
      <c r="D494" s="160"/>
      <c r="E494" s="162"/>
      <c r="F494" s="164"/>
      <c r="G494" s="161"/>
      <c r="H494" s="161"/>
      <c r="I494" s="161"/>
      <c r="J494" s="161"/>
      <c r="K494" s="161"/>
      <c r="L494" s="166"/>
      <c r="M494" s="166"/>
      <c r="N494" s="166"/>
      <c r="O494" s="166"/>
      <c r="P494" s="166"/>
      <c r="Q494" s="166"/>
      <c r="R494" s="166"/>
      <c r="S494" s="167"/>
      <c r="T494" s="167"/>
      <c r="U494" s="167"/>
      <c r="V494" s="167"/>
      <c r="W494" s="167"/>
      <c r="X494" s="164"/>
      <c r="Y494" s="164"/>
      <c r="Z494" s="172"/>
      <c r="AA494" s="188"/>
      <c r="AB494" s="172"/>
      <c r="AC494" s="172"/>
      <c r="AD494" s="175"/>
      <c r="AE494" s="62" t="s">
        <v>115</v>
      </c>
      <c r="AF494" s="133"/>
      <c r="AG494" s="65"/>
      <c r="AH494" s="64"/>
      <c r="AI494" s="64"/>
      <c r="AJ494" s="64"/>
      <c r="AK494" s="64"/>
      <c r="AL494" s="64"/>
      <c r="AM494" s="80" t="str">
        <f>IFERROR((Tablas!$C$1*VLOOKUP(AH494, tipo_control, 2, 0)+Tablas!$E$1*VLOOKUP(AI494, nat_control, 2, 0)+Tablas!$G$1*VLOOKUP(AJ494, ev_control, 2, 0)+Tablas!$I$1*VLOOKUP(AK494, frec_control, 2, 0)+Tablas!$K$1*VLOOKUP(AL494, doc_control, 2, 0))*0.1*peso_dis, "")</f>
        <v/>
      </c>
      <c r="AN494" s="64"/>
      <c r="AO494" s="64"/>
      <c r="AP494" s="64"/>
      <c r="AQ494" s="80" t="str">
        <f>IFERROR((Tablas!$C$9*VLOOKUP(AN494, amb_control, 2, 0)+Tablas!$E$9*VLOOKUP(AO494, ejec_control, 2, 0)+Tablas!$G$9*VLOOKUP(AP494, cub_control, 2, 0))*0.1*peso_ejec, "")</f>
        <v/>
      </c>
      <c r="AR494" s="91" t="str">
        <f t="shared" si="788"/>
        <v/>
      </c>
      <c r="AS494" s="85" t="str">
        <f t="shared" si="797"/>
        <v/>
      </c>
      <c r="AT494" s="85" t="str">
        <f t="shared" si="798"/>
        <v/>
      </c>
      <c r="AU494" s="85" t="str">
        <f>IF(AR494&lt;Tablas!$G$19, 0, IF(AND(AR494&gt;=Tablas!$G$19, AR494&lt;Tablas!$G$20), 1,  IF(AND(AR494&gt;=Tablas!$G$20, AR494&lt;Tablas!$G$21), 2,  IF(AND(AR494&gt;=Tablas!$G$21, AR494&lt;=Tablas!$G$22), 3,  ""))))</f>
        <v/>
      </c>
      <c r="AV494" s="85" t="str">
        <f t="shared" si="789"/>
        <v/>
      </c>
      <c r="AW494" s="101" t="str">
        <f t="shared" si="790"/>
        <v/>
      </c>
      <c r="AX494" s="177"/>
      <c r="AY494" s="169"/>
      <c r="AZ494" s="158"/>
      <c r="BA494" s="169"/>
      <c r="BB494" s="182"/>
      <c r="BC494" s="182"/>
      <c r="BD494" s="185"/>
      <c r="BE494" s="185"/>
      <c r="BF494" s="158" t="str">
        <f t="shared" si="853"/>
        <v/>
      </c>
      <c r="BG494" s="191"/>
    </row>
    <row r="495" spans="1:59" x14ac:dyDescent="0.25">
      <c r="A495" s="167"/>
      <c r="B495" s="167"/>
      <c r="C495" s="161"/>
      <c r="D495" s="160"/>
      <c r="E495" s="162"/>
      <c r="F495" s="164"/>
      <c r="G495" s="161"/>
      <c r="H495" s="161"/>
      <c r="I495" s="161"/>
      <c r="J495" s="161"/>
      <c r="K495" s="161"/>
      <c r="L495" s="166"/>
      <c r="M495" s="166"/>
      <c r="N495" s="166"/>
      <c r="O495" s="166"/>
      <c r="P495" s="166"/>
      <c r="Q495" s="166"/>
      <c r="R495" s="166"/>
      <c r="S495" s="167"/>
      <c r="T495" s="167"/>
      <c r="U495" s="167"/>
      <c r="V495" s="167"/>
      <c r="W495" s="167"/>
      <c r="X495" s="164"/>
      <c r="Y495" s="164"/>
      <c r="Z495" s="172"/>
      <c r="AA495" s="188"/>
      <c r="AB495" s="172"/>
      <c r="AC495" s="172"/>
      <c r="AD495" s="175"/>
      <c r="AE495" s="62" t="s">
        <v>153</v>
      </c>
      <c r="AF495" s="133"/>
      <c r="AG495" s="65"/>
      <c r="AH495" s="64"/>
      <c r="AI495" s="64"/>
      <c r="AJ495" s="64"/>
      <c r="AK495" s="64"/>
      <c r="AL495" s="64"/>
      <c r="AM495" s="80" t="str">
        <f>IFERROR((Tablas!$C$1*VLOOKUP(AH495, tipo_control, 2, 0)+Tablas!$E$1*VLOOKUP(AI495, nat_control, 2, 0)+Tablas!$G$1*VLOOKUP(AJ495, ev_control, 2, 0)+Tablas!$I$1*VLOOKUP(AK495, frec_control, 2, 0)+Tablas!$K$1*VLOOKUP(AL495, doc_control, 2, 0))*0.1*peso_dis, "")</f>
        <v/>
      </c>
      <c r="AN495" s="64"/>
      <c r="AO495" s="64"/>
      <c r="AP495" s="64"/>
      <c r="AQ495" s="80" t="str">
        <f>IFERROR((Tablas!$C$9*VLOOKUP(AN495, amb_control, 2, 0)+Tablas!$E$9*VLOOKUP(AO495, ejec_control, 2, 0)+Tablas!$G$9*VLOOKUP(AP495, cub_control, 2, 0))*0.1*peso_ejec, "")</f>
        <v/>
      </c>
      <c r="AR495" s="91" t="str">
        <f t="shared" si="788"/>
        <v/>
      </c>
      <c r="AS495" s="85" t="str">
        <f t="shared" si="797"/>
        <v/>
      </c>
      <c r="AT495" s="85" t="str">
        <f t="shared" si="798"/>
        <v/>
      </c>
      <c r="AU495" s="85" t="str">
        <f>IF(AR495&lt;Tablas!$G$19, 0, IF(AND(AR495&gt;=Tablas!$G$19, AR495&lt;Tablas!$G$20), 1,  IF(AND(AR495&gt;=Tablas!$G$20, AR495&lt;Tablas!$G$21), 2,  IF(AND(AR495&gt;=Tablas!$G$21, AR495&lt;=Tablas!$G$22), 3,  ""))))</f>
        <v/>
      </c>
      <c r="AV495" s="85" t="str">
        <f t="shared" si="789"/>
        <v/>
      </c>
      <c r="AW495" s="101" t="str">
        <f t="shared" si="790"/>
        <v/>
      </c>
      <c r="AX495" s="177"/>
      <c r="AY495" s="169"/>
      <c r="AZ495" s="158"/>
      <c r="BA495" s="169"/>
      <c r="BB495" s="182"/>
      <c r="BC495" s="182"/>
      <c r="BD495" s="185"/>
      <c r="BE495" s="185"/>
      <c r="BF495" s="158"/>
      <c r="BG495" s="191"/>
    </row>
    <row r="496" spans="1:59" ht="15.75" thickBot="1" x14ac:dyDescent="0.3">
      <c r="A496" s="167"/>
      <c r="B496" s="167"/>
      <c r="C496" s="161"/>
      <c r="D496" s="160"/>
      <c r="E496" s="162"/>
      <c r="F496" s="165"/>
      <c r="G496" s="161"/>
      <c r="H496" s="161"/>
      <c r="I496" s="161"/>
      <c r="J496" s="161"/>
      <c r="K496" s="161"/>
      <c r="L496" s="166"/>
      <c r="M496" s="166"/>
      <c r="N496" s="166"/>
      <c r="O496" s="166"/>
      <c r="P496" s="166"/>
      <c r="Q496" s="166"/>
      <c r="R496" s="166"/>
      <c r="S496" s="149"/>
      <c r="T496" s="149"/>
      <c r="U496" s="149"/>
      <c r="V496" s="149"/>
      <c r="W496" s="149"/>
      <c r="X496" s="165"/>
      <c r="Y496" s="165"/>
      <c r="Z496" s="172"/>
      <c r="AA496" s="188"/>
      <c r="AB496" s="172"/>
      <c r="AC496" s="172"/>
      <c r="AD496" s="175"/>
      <c r="AE496" s="66" t="s">
        <v>154</v>
      </c>
      <c r="AF496" s="134"/>
      <c r="AG496" s="67"/>
      <c r="AH496" s="69"/>
      <c r="AI496" s="69"/>
      <c r="AJ496" s="69"/>
      <c r="AK496" s="69"/>
      <c r="AL496" s="69"/>
      <c r="AM496" s="81" t="str">
        <f>IFERROR((Tablas!$C$1*VLOOKUP(AH496, tipo_control, 2, 0)+Tablas!$E$1*VLOOKUP(AI496, nat_control, 2, 0)+Tablas!$G$1*VLOOKUP(AJ496, ev_control, 2, 0)+Tablas!$I$1*VLOOKUP(AK496, frec_control, 2, 0)+Tablas!$K$1*VLOOKUP(AL496, doc_control, 2, 0))*0.1*peso_dis, "")</f>
        <v/>
      </c>
      <c r="AN496" s="69"/>
      <c r="AO496" s="69"/>
      <c r="AP496" s="69"/>
      <c r="AQ496" s="81" t="str">
        <f>IFERROR((Tablas!$C$9*VLOOKUP(AN496, amb_control, 2, 0)+Tablas!$E$9*VLOOKUP(AO496, ejec_control, 2, 0)+Tablas!$G$9*VLOOKUP(AP496, cub_control, 2, 0))*0.1*peso_ejec, "")</f>
        <v/>
      </c>
      <c r="AR496" s="93" t="str">
        <f t="shared" si="788"/>
        <v/>
      </c>
      <c r="AS496" s="94" t="str">
        <f t="shared" si="797"/>
        <v/>
      </c>
      <c r="AT496" s="94" t="str">
        <f t="shared" si="798"/>
        <v/>
      </c>
      <c r="AU496" s="94" t="str">
        <f>IF(AR496&lt;Tablas!$G$19, 0, IF(AND(AR496&gt;=Tablas!$G$19, AR496&lt;Tablas!$G$20), 1,  IF(AND(AR496&gt;=Tablas!$G$20, AR496&lt;Tablas!$G$21), 2,  IF(AND(AR496&gt;=Tablas!$G$21, AR496&lt;=Tablas!$G$22), 3,  ""))))</f>
        <v/>
      </c>
      <c r="AV496" s="94" t="str">
        <f t="shared" si="789"/>
        <v/>
      </c>
      <c r="AW496" s="102" t="str">
        <f t="shared" si="790"/>
        <v/>
      </c>
      <c r="AX496" s="157"/>
      <c r="AY496" s="170"/>
      <c r="AZ496" s="179"/>
      <c r="BA496" s="170"/>
      <c r="BB496" s="182"/>
      <c r="BC496" s="182"/>
      <c r="BD496" s="185"/>
      <c r="BE496" s="185"/>
      <c r="BF496" s="159"/>
      <c r="BG496" s="191"/>
    </row>
    <row r="497" spans="1:59" x14ac:dyDescent="0.25">
      <c r="A497" s="167"/>
      <c r="B497" s="167"/>
      <c r="C497" s="161" t="s">
        <v>182</v>
      </c>
      <c r="D497" s="160" t="s">
        <v>158</v>
      </c>
      <c r="E497" s="162"/>
      <c r="F497" s="163" t="str">
        <f t="shared" si="791"/>
        <v/>
      </c>
      <c r="G497" s="149"/>
      <c r="H497" s="149"/>
      <c r="I497" s="149"/>
      <c r="J497" s="149"/>
      <c r="K497" s="149"/>
      <c r="L497" s="165" t="str">
        <f t="shared" ref="L497" si="854">IFERROR(VLOOKUP(G497, tabla02, 2, 0), "")</f>
        <v/>
      </c>
      <c r="M497" s="165" t="str">
        <f t="shared" ref="M497" si="855">IFERROR(VLOOKUP(H497, tabla02, 2, 0), "")</f>
        <v/>
      </c>
      <c r="N497" s="165" t="str">
        <f t="shared" ref="N497" si="856">IFERROR(VLOOKUP(I497, tabla02, 2, 0), "")</f>
        <v/>
      </c>
      <c r="O497" s="165" t="str">
        <f t="shared" ref="O497" si="857">IFERROR(VLOOKUP(J497, tabla02, 2, 0), "")</f>
        <v/>
      </c>
      <c r="P497" s="165" t="str">
        <f t="shared" ref="P497" si="858">IFERROR(VLOOKUP(K497, tabla02, 2, 0), "")</f>
        <v/>
      </c>
      <c r="Q497" s="165" t="str">
        <f t="shared" ref="Q497" si="859">IF(SUM(L497:O501)=0, "", MAX(L497:P497))</f>
        <v/>
      </c>
      <c r="R497" s="165" t="str">
        <f>IFERROR(VLOOKUP(Q497, tabla04, 3, 0), "")</f>
        <v/>
      </c>
      <c r="S497" s="148"/>
      <c r="T497" s="148"/>
      <c r="U497" s="148"/>
      <c r="V497" s="148"/>
      <c r="W497" s="148"/>
      <c r="X497" s="163" t="str">
        <f>IFERROR(VLOOKUP(CONCATENATE(F497, "-", Q497), cuadrante_sev, 3, 0), "")</f>
        <v/>
      </c>
      <c r="Y497" s="163" t="str">
        <f t="shared" ref="Y497" si="860">IFERROR(IF(X497="Baja", 1, IF(X497="Moderada", 2, IF(X497="Alta", 3, IF(X497="Extrema", 4, "")))), "")</f>
        <v/>
      </c>
      <c r="Z497" s="172"/>
      <c r="AA497" s="188"/>
      <c r="AB497" s="172"/>
      <c r="AC497" s="172"/>
      <c r="AD497" s="175"/>
      <c r="AE497" s="70" t="s">
        <v>113</v>
      </c>
      <c r="AF497" s="135"/>
      <c r="AG497" s="74"/>
      <c r="AH497" s="72"/>
      <c r="AI497" s="72"/>
      <c r="AJ497" s="72"/>
      <c r="AK497" s="72"/>
      <c r="AL497" s="72"/>
      <c r="AM497" s="82" t="str">
        <f>IFERROR((Tablas!$C$1*VLOOKUP(AH497, tipo_control, 2, 0)+Tablas!$E$1*VLOOKUP(AI497, nat_control, 2, 0)+Tablas!$G$1*VLOOKUP(AJ497, ev_control, 2, 0)+Tablas!$I$1*VLOOKUP(AK497, frec_control, 2, 0)+Tablas!$K$1*VLOOKUP(AL497, doc_control, 2, 0))*0.1*peso_dis, "")</f>
        <v/>
      </c>
      <c r="AN497" s="72"/>
      <c r="AO497" s="72"/>
      <c r="AP497" s="72"/>
      <c r="AQ497" s="82" t="str">
        <f>IFERROR((Tablas!$C$9*VLOOKUP(AN497, amb_control, 2, 0)+Tablas!$E$9*VLOOKUP(AO497, ejec_control, 2, 0)+Tablas!$G$9*VLOOKUP(AP497, cub_control, 2, 0))*0.1*peso_ejec, "")</f>
        <v/>
      </c>
      <c r="AR497" s="96" t="str">
        <f t="shared" si="788"/>
        <v/>
      </c>
      <c r="AS497" s="97" t="str">
        <f t="shared" si="797"/>
        <v/>
      </c>
      <c r="AT497" s="87" t="str">
        <f t="shared" si="798"/>
        <v/>
      </c>
      <c r="AU497" s="97" t="str">
        <f>IF(AR497&lt;Tablas!$G$19, 0, IF(AND(AR497&gt;=Tablas!$G$19, AR497&lt;Tablas!$G$20), 1,  IF(AND(AR497&gt;=Tablas!$G$20, AR497&lt;Tablas!$G$21), 2,  IF(AND(AR497&gt;=Tablas!$G$21, AR497&lt;=Tablas!$G$22), 3,  ""))))</f>
        <v/>
      </c>
      <c r="AV497" s="97" t="str">
        <f t="shared" si="789"/>
        <v/>
      </c>
      <c r="AW497" s="103" t="str">
        <f t="shared" si="790"/>
        <v/>
      </c>
      <c r="AX497" s="176" t="str">
        <f t="shared" ref="AX497" si="861">IFERROR(VLOOKUP(AY497, tabla04, 2, 0), "")</f>
        <v/>
      </c>
      <c r="AY497" s="168" t="str">
        <f>IF(F497="", "", IF((F497-MAX(AV497:AV501))&lt;=0, 1, F497-MAX(AV497:AV501)))</f>
        <v/>
      </c>
      <c r="AZ497" s="178" t="str">
        <f t="shared" ref="AZ497" si="862">IFERROR(VLOOKUP(BA497, tabla04, 3, 0), "")</f>
        <v/>
      </c>
      <c r="BA497" s="168" t="str">
        <f>IF(Q497="", "", IF((Q497-MAX(AW497:AW501))&lt;=0, 1, Q497-MAX(AW497:AW501)))</f>
        <v/>
      </c>
      <c r="BB497" s="182"/>
      <c r="BC497" s="182"/>
      <c r="BD497" s="185"/>
      <c r="BE497" s="185"/>
      <c r="BF497" s="158" t="str">
        <f t="shared" ref="BF497:BF499" si="863">IFERROR(VLOOKUP(CONCATENATE(AY497, "-", BA497), cuadrante_sev, 3, 0), "")</f>
        <v/>
      </c>
      <c r="BG497" s="191"/>
    </row>
    <row r="498" spans="1:59" x14ac:dyDescent="0.25">
      <c r="A498" s="167"/>
      <c r="B498" s="167"/>
      <c r="C498" s="161"/>
      <c r="D498" s="160"/>
      <c r="E498" s="162"/>
      <c r="F498" s="164"/>
      <c r="G498" s="161"/>
      <c r="H498" s="161"/>
      <c r="I498" s="161"/>
      <c r="J498" s="161"/>
      <c r="K498" s="161"/>
      <c r="L498" s="166"/>
      <c r="M498" s="166"/>
      <c r="N498" s="166"/>
      <c r="O498" s="166"/>
      <c r="P498" s="166"/>
      <c r="Q498" s="166"/>
      <c r="R498" s="166"/>
      <c r="S498" s="167"/>
      <c r="T498" s="167"/>
      <c r="U498" s="167"/>
      <c r="V498" s="167"/>
      <c r="W498" s="167"/>
      <c r="X498" s="164"/>
      <c r="Y498" s="164"/>
      <c r="Z498" s="172"/>
      <c r="AA498" s="188"/>
      <c r="AB498" s="172"/>
      <c r="AC498" s="172"/>
      <c r="AD498" s="175"/>
      <c r="AE498" s="62" t="s">
        <v>114</v>
      </c>
      <c r="AF498" s="133"/>
      <c r="AG498" s="65"/>
      <c r="AH498" s="64"/>
      <c r="AI498" s="64"/>
      <c r="AJ498" s="64"/>
      <c r="AK498" s="64"/>
      <c r="AL498" s="64"/>
      <c r="AM498" s="80" t="str">
        <f>IFERROR((Tablas!$C$1*VLOOKUP(AH498, tipo_control, 2, 0)+Tablas!$E$1*VLOOKUP(AI498, nat_control, 2, 0)+Tablas!$G$1*VLOOKUP(AJ498, ev_control, 2, 0)+Tablas!$I$1*VLOOKUP(AK498, frec_control, 2, 0)+Tablas!$K$1*VLOOKUP(AL498, doc_control, 2, 0))*0.1*peso_dis, "")</f>
        <v/>
      </c>
      <c r="AN498" s="64"/>
      <c r="AO498" s="64"/>
      <c r="AP498" s="64"/>
      <c r="AQ498" s="80" t="str">
        <f>IFERROR((Tablas!$C$9*VLOOKUP(AN498, amb_control, 2, 0)+Tablas!$E$9*VLOOKUP(AO498, ejec_control, 2, 0)+Tablas!$G$9*VLOOKUP(AP498, cub_control, 2, 0))*0.1*peso_ejec, "")</f>
        <v/>
      </c>
      <c r="AR498" s="91" t="str">
        <f t="shared" si="788"/>
        <v/>
      </c>
      <c r="AS498" s="85" t="str">
        <f t="shared" si="797"/>
        <v/>
      </c>
      <c r="AT498" s="85" t="str">
        <f t="shared" si="798"/>
        <v/>
      </c>
      <c r="AU498" s="85" t="str">
        <f>IF(AR498&lt;Tablas!$G$19, 0, IF(AND(AR498&gt;=Tablas!$G$19, AR498&lt;Tablas!$G$20), 1,  IF(AND(AR498&gt;=Tablas!$G$20, AR498&lt;Tablas!$G$21), 2,  IF(AND(AR498&gt;=Tablas!$G$21, AR498&lt;=Tablas!$G$22), 3,  ""))))</f>
        <v/>
      </c>
      <c r="AV498" s="85" t="str">
        <f t="shared" si="789"/>
        <v/>
      </c>
      <c r="AW498" s="101" t="str">
        <f t="shared" si="790"/>
        <v/>
      </c>
      <c r="AX498" s="177"/>
      <c r="AY498" s="169"/>
      <c r="AZ498" s="158"/>
      <c r="BA498" s="169"/>
      <c r="BB498" s="182"/>
      <c r="BC498" s="182"/>
      <c r="BD498" s="185"/>
      <c r="BE498" s="185"/>
      <c r="BF498" s="158" t="str">
        <f t="shared" si="863"/>
        <v/>
      </c>
      <c r="BG498" s="191"/>
    </row>
    <row r="499" spans="1:59" x14ac:dyDescent="0.25">
      <c r="A499" s="167"/>
      <c r="B499" s="167"/>
      <c r="C499" s="161"/>
      <c r="D499" s="160"/>
      <c r="E499" s="162"/>
      <c r="F499" s="164"/>
      <c r="G499" s="161"/>
      <c r="H499" s="161"/>
      <c r="I499" s="161"/>
      <c r="J499" s="161"/>
      <c r="K499" s="161"/>
      <c r="L499" s="166"/>
      <c r="M499" s="166"/>
      <c r="N499" s="166"/>
      <c r="O499" s="166"/>
      <c r="P499" s="166"/>
      <c r="Q499" s="166"/>
      <c r="R499" s="166"/>
      <c r="S499" s="167"/>
      <c r="T499" s="167"/>
      <c r="U499" s="167"/>
      <c r="V499" s="167"/>
      <c r="W499" s="167"/>
      <c r="X499" s="164"/>
      <c r="Y499" s="164"/>
      <c r="Z499" s="172"/>
      <c r="AA499" s="188"/>
      <c r="AB499" s="172"/>
      <c r="AC499" s="172"/>
      <c r="AD499" s="175"/>
      <c r="AE499" s="62" t="s">
        <v>115</v>
      </c>
      <c r="AF499" s="133"/>
      <c r="AG499" s="65"/>
      <c r="AH499" s="64"/>
      <c r="AI499" s="64"/>
      <c r="AJ499" s="64"/>
      <c r="AK499" s="64"/>
      <c r="AL499" s="64"/>
      <c r="AM499" s="80" t="str">
        <f>IFERROR((Tablas!$C$1*VLOOKUP(AH499, tipo_control, 2, 0)+Tablas!$E$1*VLOOKUP(AI499, nat_control, 2, 0)+Tablas!$G$1*VLOOKUP(AJ499, ev_control, 2, 0)+Tablas!$I$1*VLOOKUP(AK499, frec_control, 2, 0)+Tablas!$K$1*VLOOKUP(AL499, doc_control, 2, 0))*0.1*peso_dis, "")</f>
        <v/>
      </c>
      <c r="AN499" s="64"/>
      <c r="AO499" s="64"/>
      <c r="AP499" s="64"/>
      <c r="AQ499" s="80" t="str">
        <f>IFERROR((Tablas!$C$9*VLOOKUP(AN499, amb_control, 2, 0)+Tablas!$E$9*VLOOKUP(AO499, ejec_control, 2, 0)+Tablas!$G$9*VLOOKUP(AP499, cub_control, 2, 0))*0.1*peso_ejec, "")</f>
        <v/>
      </c>
      <c r="AR499" s="91" t="str">
        <f t="shared" si="788"/>
        <v/>
      </c>
      <c r="AS499" s="85" t="str">
        <f t="shared" si="797"/>
        <v/>
      </c>
      <c r="AT499" s="85" t="str">
        <f t="shared" si="798"/>
        <v/>
      </c>
      <c r="AU499" s="85" t="str">
        <f>IF(AR499&lt;Tablas!$G$19, 0, IF(AND(AR499&gt;=Tablas!$G$19, AR499&lt;Tablas!$G$20), 1,  IF(AND(AR499&gt;=Tablas!$G$20, AR499&lt;Tablas!$G$21), 2,  IF(AND(AR499&gt;=Tablas!$G$21, AR499&lt;=Tablas!$G$22), 3,  ""))))</f>
        <v/>
      </c>
      <c r="AV499" s="85" t="str">
        <f t="shared" si="789"/>
        <v/>
      </c>
      <c r="AW499" s="101" t="str">
        <f t="shared" si="790"/>
        <v/>
      </c>
      <c r="AX499" s="177"/>
      <c r="AY499" s="169"/>
      <c r="AZ499" s="158"/>
      <c r="BA499" s="169"/>
      <c r="BB499" s="182"/>
      <c r="BC499" s="182"/>
      <c r="BD499" s="185"/>
      <c r="BE499" s="185"/>
      <c r="BF499" s="158" t="str">
        <f t="shared" si="863"/>
        <v/>
      </c>
      <c r="BG499" s="191"/>
    </row>
    <row r="500" spans="1:59" x14ac:dyDescent="0.25">
      <c r="A500" s="167"/>
      <c r="B500" s="167"/>
      <c r="C500" s="161"/>
      <c r="D500" s="160"/>
      <c r="E500" s="162"/>
      <c r="F500" s="164"/>
      <c r="G500" s="161"/>
      <c r="H500" s="161"/>
      <c r="I500" s="161"/>
      <c r="J500" s="161"/>
      <c r="K500" s="161"/>
      <c r="L500" s="166"/>
      <c r="M500" s="166"/>
      <c r="N500" s="166"/>
      <c r="O500" s="166"/>
      <c r="P500" s="166"/>
      <c r="Q500" s="166"/>
      <c r="R500" s="166"/>
      <c r="S500" s="167"/>
      <c r="T500" s="167"/>
      <c r="U500" s="167"/>
      <c r="V500" s="167"/>
      <c r="W500" s="167"/>
      <c r="X500" s="164"/>
      <c r="Y500" s="164"/>
      <c r="Z500" s="172"/>
      <c r="AA500" s="188"/>
      <c r="AB500" s="172"/>
      <c r="AC500" s="172"/>
      <c r="AD500" s="175"/>
      <c r="AE500" s="62" t="s">
        <v>153</v>
      </c>
      <c r="AF500" s="133"/>
      <c r="AG500" s="65"/>
      <c r="AH500" s="64"/>
      <c r="AI500" s="64"/>
      <c r="AJ500" s="64"/>
      <c r="AK500" s="64"/>
      <c r="AL500" s="64"/>
      <c r="AM500" s="80" t="str">
        <f>IFERROR((Tablas!$C$1*VLOOKUP(AH500, tipo_control, 2, 0)+Tablas!$E$1*VLOOKUP(AI500, nat_control, 2, 0)+Tablas!$G$1*VLOOKUP(AJ500, ev_control, 2, 0)+Tablas!$I$1*VLOOKUP(AK500, frec_control, 2, 0)+Tablas!$K$1*VLOOKUP(AL500, doc_control, 2, 0))*0.1*peso_dis, "")</f>
        <v/>
      </c>
      <c r="AN500" s="64"/>
      <c r="AO500" s="64"/>
      <c r="AP500" s="64"/>
      <c r="AQ500" s="80" t="str">
        <f>IFERROR((Tablas!$C$9*VLOOKUP(AN500, amb_control, 2, 0)+Tablas!$E$9*VLOOKUP(AO500, ejec_control, 2, 0)+Tablas!$G$9*VLOOKUP(AP500, cub_control, 2, 0))*0.1*peso_ejec, "")</f>
        <v/>
      </c>
      <c r="AR500" s="91" t="str">
        <f t="shared" si="788"/>
        <v/>
      </c>
      <c r="AS500" s="85" t="str">
        <f t="shared" si="797"/>
        <v/>
      </c>
      <c r="AT500" s="85" t="str">
        <f t="shared" si="798"/>
        <v/>
      </c>
      <c r="AU500" s="85" t="str">
        <f>IF(AR500&lt;Tablas!$G$19, 0, IF(AND(AR500&gt;=Tablas!$G$19, AR500&lt;Tablas!$G$20), 1,  IF(AND(AR500&gt;=Tablas!$G$20, AR500&lt;Tablas!$G$21), 2,  IF(AND(AR500&gt;=Tablas!$G$21, AR500&lt;=Tablas!$G$22), 3,  ""))))</f>
        <v/>
      </c>
      <c r="AV500" s="85" t="str">
        <f t="shared" si="789"/>
        <v/>
      </c>
      <c r="AW500" s="101" t="str">
        <f t="shared" si="790"/>
        <v/>
      </c>
      <c r="AX500" s="177"/>
      <c r="AY500" s="169"/>
      <c r="AZ500" s="158"/>
      <c r="BA500" s="169"/>
      <c r="BB500" s="182"/>
      <c r="BC500" s="182"/>
      <c r="BD500" s="185"/>
      <c r="BE500" s="185"/>
      <c r="BF500" s="158"/>
      <c r="BG500" s="191"/>
    </row>
    <row r="501" spans="1:59" ht="15.75" thickBot="1" x14ac:dyDescent="0.3">
      <c r="A501" s="167"/>
      <c r="B501" s="167"/>
      <c r="C501" s="161"/>
      <c r="D501" s="160"/>
      <c r="E501" s="162"/>
      <c r="F501" s="165"/>
      <c r="G501" s="161"/>
      <c r="H501" s="161"/>
      <c r="I501" s="161"/>
      <c r="J501" s="161"/>
      <c r="K501" s="161"/>
      <c r="L501" s="166"/>
      <c r="M501" s="166"/>
      <c r="N501" s="166"/>
      <c r="O501" s="166"/>
      <c r="P501" s="166"/>
      <c r="Q501" s="166"/>
      <c r="R501" s="166"/>
      <c r="S501" s="149"/>
      <c r="T501" s="149"/>
      <c r="U501" s="149"/>
      <c r="V501" s="149"/>
      <c r="W501" s="149"/>
      <c r="X501" s="165"/>
      <c r="Y501" s="165"/>
      <c r="Z501" s="172"/>
      <c r="AA501" s="188"/>
      <c r="AB501" s="172"/>
      <c r="AC501" s="172"/>
      <c r="AD501" s="175"/>
      <c r="AE501" s="66" t="s">
        <v>154</v>
      </c>
      <c r="AF501" s="134"/>
      <c r="AG501" s="67"/>
      <c r="AH501" s="69"/>
      <c r="AI501" s="69"/>
      <c r="AJ501" s="69"/>
      <c r="AK501" s="69"/>
      <c r="AL501" s="69"/>
      <c r="AM501" s="81" t="str">
        <f>IFERROR((Tablas!$C$1*VLOOKUP(AH501, tipo_control, 2, 0)+Tablas!$E$1*VLOOKUP(AI501, nat_control, 2, 0)+Tablas!$G$1*VLOOKUP(AJ501, ev_control, 2, 0)+Tablas!$I$1*VLOOKUP(AK501, frec_control, 2, 0)+Tablas!$K$1*VLOOKUP(AL501, doc_control, 2, 0))*0.1*peso_dis, "")</f>
        <v/>
      </c>
      <c r="AN501" s="69"/>
      <c r="AO501" s="69"/>
      <c r="AP501" s="69"/>
      <c r="AQ501" s="81" t="str">
        <f>IFERROR((Tablas!$C$9*VLOOKUP(AN501, amb_control, 2, 0)+Tablas!$E$9*VLOOKUP(AO501, ejec_control, 2, 0)+Tablas!$G$9*VLOOKUP(AP501, cub_control, 2, 0))*0.1*peso_ejec, "")</f>
        <v/>
      </c>
      <c r="AR501" s="93" t="str">
        <f t="shared" si="788"/>
        <v/>
      </c>
      <c r="AS501" s="94" t="str">
        <f t="shared" si="797"/>
        <v/>
      </c>
      <c r="AT501" s="94" t="str">
        <f t="shared" si="798"/>
        <v/>
      </c>
      <c r="AU501" s="94" t="str">
        <f>IF(AR501&lt;Tablas!$G$19, 0, IF(AND(AR501&gt;=Tablas!$G$19, AR501&lt;Tablas!$G$20), 1,  IF(AND(AR501&gt;=Tablas!$G$20, AR501&lt;Tablas!$G$21), 2,  IF(AND(AR501&gt;=Tablas!$G$21, AR501&lt;=Tablas!$G$22), 3,  ""))))</f>
        <v/>
      </c>
      <c r="AV501" s="94" t="str">
        <f t="shared" si="789"/>
        <v/>
      </c>
      <c r="AW501" s="102" t="str">
        <f t="shared" si="790"/>
        <v/>
      </c>
      <c r="AX501" s="157"/>
      <c r="AY501" s="170"/>
      <c r="AZ501" s="179"/>
      <c r="BA501" s="170"/>
      <c r="BB501" s="182"/>
      <c r="BC501" s="182"/>
      <c r="BD501" s="185"/>
      <c r="BE501" s="185"/>
      <c r="BF501" s="159"/>
      <c r="BG501" s="191"/>
    </row>
    <row r="502" spans="1:59" x14ac:dyDescent="0.25">
      <c r="A502" s="167"/>
      <c r="B502" s="167"/>
      <c r="C502" s="161" t="s">
        <v>183</v>
      </c>
      <c r="D502" s="160" t="s">
        <v>158</v>
      </c>
      <c r="E502" s="162"/>
      <c r="F502" s="163" t="str">
        <f t="shared" si="791"/>
        <v/>
      </c>
      <c r="G502" s="149"/>
      <c r="H502" s="149"/>
      <c r="I502" s="149"/>
      <c r="J502" s="149"/>
      <c r="K502" s="149"/>
      <c r="L502" s="165" t="str">
        <f t="shared" ref="L502" si="864">IFERROR(VLOOKUP(G502, tabla02, 2, 0), "")</f>
        <v/>
      </c>
      <c r="M502" s="165" t="str">
        <f t="shared" ref="M502" si="865">IFERROR(VLOOKUP(H502, tabla02, 2, 0), "")</f>
        <v/>
      </c>
      <c r="N502" s="165" t="str">
        <f t="shared" ref="N502" si="866">IFERROR(VLOOKUP(I502, tabla02, 2, 0), "")</f>
        <v/>
      </c>
      <c r="O502" s="165" t="str">
        <f t="shared" ref="O502" si="867">IFERROR(VLOOKUP(J502, tabla02, 2, 0), "")</f>
        <v/>
      </c>
      <c r="P502" s="165" t="str">
        <f t="shared" ref="P502" si="868">IFERROR(VLOOKUP(K502, tabla02, 2, 0), "")</f>
        <v/>
      </c>
      <c r="Q502" s="165" t="str">
        <f t="shared" ref="Q502" si="869">IF(SUM(L502:O506)=0, "", MAX(L502:P502))</f>
        <v/>
      </c>
      <c r="R502" s="165" t="str">
        <f>IFERROR(VLOOKUP(Q502, tabla04, 3, 0), "")</f>
        <v/>
      </c>
      <c r="S502" s="148"/>
      <c r="T502" s="148"/>
      <c r="U502" s="148"/>
      <c r="V502" s="148"/>
      <c r="W502" s="148"/>
      <c r="X502" s="163" t="str">
        <f>IFERROR(VLOOKUP(CONCATENATE(F502, "-", Q502), cuadrante_sev, 3, 0), "")</f>
        <v/>
      </c>
      <c r="Y502" s="163" t="str">
        <f t="shared" ref="Y502" si="870">IFERROR(IF(X502="Baja", 1, IF(X502="Moderada", 2, IF(X502="Alta", 3, IF(X502="Extrema", 4, "")))), "")</f>
        <v/>
      </c>
      <c r="Z502" s="172"/>
      <c r="AA502" s="188"/>
      <c r="AB502" s="172"/>
      <c r="AC502" s="172"/>
      <c r="AD502" s="175"/>
      <c r="AE502" s="70" t="s">
        <v>113</v>
      </c>
      <c r="AF502" s="135"/>
      <c r="AG502" s="74"/>
      <c r="AH502" s="72"/>
      <c r="AI502" s="72"/>
      <c r="AJ502" s="72"/>
      <c r="AK502" s="72"/>
      <c r="AL502" s="72"/>
      <c r="AM502" s="82" t="str">
        <f>IFERROR((Tablas!$C$1*VLOOKUP(AH502, tipo_control, 2, 0)+Tablas!$E$1*VLOOKUP(AI502, nat_control, 2, 0)+Tablas!$G$1*VLOOKUP(AJ502, ev_control, 2, 0)+Tablas!$I$1*VLOOKUP(AK502, frec_control, 2, 0)+Tablas!$K$1*VLOOKUP(AL502, doc_control, 2, 0))*0.1*peso_dis, "")</f>
        <v/>
      </c>
      <c r="AN502" s="72"/>
      <c r="AO502" s="72"/>
      <c r="AP502" s="72"/>
      <c r="AQ502" s="82" t="str">
        <f>IFERROR((Tablas!$C$9*VLOOKUP(AN502, amb_control, 2, 0)+Tablas!$E$9*VLOOKUP(AO502, ejec_control, 2, 0)+Tablas!$G$9*VLOOKUP(AP502, cub_control, 2, 0))*0.1*peso_ejec, "")</f>
        <v/>
      </c>
      <c r="AR502" s="96" t="str">
        <f t="shared" si="788"/>
        <v/>
      </c>
      <c r="AS502" s="97" t="str">
        <f t="shared" si="797"/>
        <v/>
      </c>
      <c r="AT502" s="87" t="str">
        <f t="shared" si="798"/>
        <v/>
      </c>
      <c r="AU502" s="97" t="str">
        <f>IF(AR502&lt;Tablas!$G$19, 0, IF(AND(AR502&gt;=Tablas!$G$19, AR502&lt;Tablas!$G$20), 1,  IF(AND(AR502&gt;=Tablas!$G$20, AR502&lt;Tablas!$G$21), 2,  IF(AND(AR502&gt;=Tablas!$G$21, AR502&lt;=Tablas!$G$22), 3,  ""))))</f>
        <v/>
      </c>
      <c r="AV502" s="97" t="str">
        <f t="shared" si="789"/>
        <v/>
      </c>
      <c r="AW502" s="103" t="str">
        <f t="shared" si="790"/>
        <v/>
      </c>
      <c r="AX502" s="176" t="str">
        <f t="shared" ref="AX502" si="871">IFERROR(VLOOKUP(AY502, tabla04, 2, 0), "")</f>
        <v/>
      </c>
      <c r="AY502" s="168" t="str">
        <f>IF(F502="", "", IF((F502-MAX(AV502:AV506))&lt;=0, 1, F502-MAX(AV502:AV506)))</f>
        <v/>
      </c>
      <c r="AZ502" s="178" t="str">
        <f t="shared" ref="AZ502" si="872">IFERROR(VLOOKUP(BA502, tabla04, 3, 0), "")</f>
        <v/>
      </c>
      <c r="BA502" s="168" t="str">
        <f>IF(Q502="", "", IF((Q502-MAX(AW502:AW506))&lt;=0, 1, Q502-MAX(AW502:AW506)))</f>
        <v/>
      </c>
      <c r="BB502" s="182"/>
      <c r="BC502" s="182"/>
      <c r="BD502" s="185"/>
      <c r="BE502" s="185"/>
      <c r="BF502" s="158" t="str">
        <f t="shared" ref="BF502:BF504" si="873">IFERROR(VLOOKUP(CONCATENATE(AY502, "-", BA502), cuadrante_sev, 3, 0), "")</f>
        <v/>
      </c>
      <c r="BG502" s="191"/>
    </row>
    <row r="503" spans="1:59" x14ac:dyDescent="0.25">
      <c r="A503" s="167"/>
      <c r="B503" s="167"/>
      <c r="C503" s="161"/>
      <c r="D503" s="160"/>
      <c r="E503" s="162"/>
      <c r="F503" s="164"/>
      <c r="G503" s="161"/>
      <c r="H503" s="161"/>
      <c r="I503" s="161"/>
      <c r="J503" s="161"/>
      <c r="K503" s="161"/>
      <c r="L503" s="166"/>
      <c r="M503" s="166"/>
      <c r="N503" s="166"/>
      <c r="O503" s="166"/>
      <c r="P503" s="166"/>
      <c r="Q503" s="166"/>
      <c r="R503" s="166"/>
      <c r="S503" s="167"/>
      <c r="T503" s="167"/>
      <c r="U503" s="167"/>
      <c r="V503" s="167"/>
      <c r="W503" s="167"/>
      <c r="X503" s="164"/>
      <c r="Y503" s="164"/>
      <c r="Z503" s="172"/>
      <c r="AA503" s="188"/>
      <c r="AB503" s="172"/>
      <c r="AC503" s="172"/>
      <c r="AD503" s="175"/>
      <c r="AE503" s="62" t="s">
        <v>114</v>
      </c>
      <c r="AF503" s="133"/>
      <c r="AG503" s="65"/>
      <c r="AH503" s="64"/>
      <c r="AI503" s="64"/>
      <c r="AJ503" s="64"/>
      <c r="AK503" s="64"/>
      <c r="AL503" s="64"/>
      <c r="AM503" s="80" t="str">
        <f>IFERROR((Tablas!$C$1*VLOOKUP(AH503, tipo_control, 2, 0)+Tablas!$E$1*VLOOKUP(AI503, nat_control, 2, 0)+Tablas!$G$1*VLOOKUP(AJ503, ev_control, 2, 0)+Tablas!$I$1*VLOOKUP(AK503, frec_control, 2, 0)+Tablas!$K$1*VLOOKUP(AL503, doc_control, 2, 0))*0.1*peso_dis, "")</f>
        <v/>
      </c>
      <c r="AN503" s="64"/>
      <c r="AO503" s="64"/>
      <c r="AP503" s="64"/>
      <c r="AQ503" s="80" t="str">
        <f>IFERROR((Tablas!$C$9*VLOOKUP(AN503, amb_control, 2, 0)+Tablas!$E$9*VLOOKUP(AO503, ejec_control, 2, 0)+Tablas!$G$9*VLOOKUP(AP503, cub_control, 2, 0))*0.1*peso_ejec, "")</f>
        <v/>
      </c>
      <c r="AR503" s="91" t="str">
        <f t="shared" si="788"/>
        <v/>
      </c>
      <c r="AS503" s="85" t="str">
        <f t="shared" si="797"/>
        <v/>
      </c>
      <c r="AT503" s="85" t="str">
        <f t="shared" si="798"/>
        <v/>
      </c>
      <c r="AU503" s="85" t="str">
        <f>IF(AR503&lt;Tablas!$G$19, 0, IF(AND(AR503&gt;=Tablas!$G$19, AR503&lt;Tablas!$G$20), 1,  IF(AND(AR503&gt;=Tablas!$G$20, AR503&lt;Tablas!$G$21), 2,  IF(AND(AR503&gt;=Tablas!$G$21, AR503&lt;=Tablas!$G$22), 3,  ""))))</f>
        <v/>
      </c>
      <c r="AV503" s="85" t="str">
        <f t="shared" si="789"/>
        <v/>
      </c>
      <c r="AW503" s="101" t="str">
        <f t="shared" si="790"/>
        <v/>
      </c>
      <c r="AX503" s="177"/>
      <c r="AY503" s="169"/>
      <c r="AZ503" s="158"/>
      <c r="BA503" s="169"/>
      <c r="BB503" s="182"/>
      <c r="BC503" s="182"/>
      <c r="BD503" s="185"/>
      <c r="BE503" s="185"/>
      <c r="BF503" s="158" t="str">
        <f t="shared" si="873"/>
        <v/>
      </c>
      <c r="BG503" s="191"/>
    </row>
    <row r="504" spans="1:59" x14ac:dyDescent="0.25">
      <c r="A504" s="167"/>
      <c r="B504" s="167"/>
      <c r="C504" s="161"/>
      <c r="D504" s="160"/>
      <c r="E504" s="162"/>
      <c r="F504" s="164"/>
      <c r="G504" s="161"/>
      <c r="H504" s="161"/>
      <c r="I504" s="161"/>
      <c r="J504" s="161"/>
      <c r="K504" s="161"/>
      <c r="L504" s="166"/>
      <c r="M504" s="166"/>
      <c r="N504" s="166"/>
      <c r="O504" s="166"/>
      <c r="P504" s="166"/>
      <c r="Q504" s="166"/>
      <c r="R504" s="166"/>
      <c r="S504" s="167"/>
      <c r="T504" s="167"/>
      <c r="U504" s="167"/>
      <c r="V504" s="167"/>
      <c r="W504" s="167"/>
      <c r="X504" s="164"/>
      <c r="Y504" s="164"/>
      <c r="Z504" s="172"/>
      <c r="AA504" s="188"/>
      <c r="AB504" s="172"/>
      <c r="AC504" s="172"/>
      <c r="AD504" s="175"/>
      <c r="AE504" s="62" t="s">
        <v>115</v>
      </c>
      <c r="AF504" s="133"/>
      <c r="AG504" s="65"/>
      <c r="AH504" s="64"/>
      <c r="AI504" s="64"/>
      <c r="AJ504" s="64"/>
      <c r="AK504" s="64"/>
      <c r="AL504" s="64"/>
      <c r="AM504" s="80" t="str">
        <f>IFERROR((Tablas!$C$1*VLOOKUP(AH504, tipo_control, 2, 0)+Tablas!$E$1*VLOOKUP(AI504, nat_control, 2, 0)+Tablas!$G$1*VLOOKUP(AJ504, ev_control, 2, 0)+Tablas!$I$1*VLOOKUP(AK504, frec_control, 2, 0)+Tablas!$K$1*VLOOKUP(AL504, doc_control, 2, 0))*0.1*peso_dis, "")</f>
        <v/>
      </c>
      <c r="AN504" s="64"/>
      <c r="AO504" s="64"/>
      <c r="AP504" s="64"/>
      <c r="AQ504" s="80" t="str">
        <f>IFERROR((Tablas!$C$9*VLOOKUP(AN504, amb_control, 2, 0)+Tablas!$E$9*VLOOKUP(AO504, ejec_control, 2, 0)+Tablas!$G$9*VLOOKUP(AP504, cub_control, 2, 0))*0.1*peso_ejec, "")</f>
        <v/>
      </c>
      <c r="AR504" s="91" t="str">
        <f t="shared" si="788"/>
        <v/>
      </c>
      <c r="AS504" s="85" t="str">
        <f t="shared" si="797"/>
        <v/>
      </c>
      <c r="AT504" s="85" t="str">
        <f t="shared" si="798"/>
        <v/>
      </c>
      <c r="AU504" s="85" t="str">
        <f>IF(AR504&lt;Tablas!$G$19, 0, IF(AND(AR504&gt;=Tablas!$G$19, AR504&lt;Tablas!$G$20), 1,  IF(AND(AR504&gt;=Tablas!$G$20, AR504&lt;Tablas!$G$21), 2,  IF(AND(AR504&gt;=Tablas!$G$21, AR504&lt;=Tablas!$G$22), 3,  ""))))</f>
        <v/>
      </c>
      <c r="AV504" s="85" t="str">
        <f t="shared" si="789"/>
        <v/>
      </c>
      <c r="AW504" s="101" t="str">
        <f t="shared" si="790"/>
        <v/>
      </c>
      <c r="AX504" s="177"/>
      <c r="AY504" s="169"/>
      <c r="AZ504" s="158"/>
      <c r="BA504" s="169"/>
      <c r="BB504" s="182"/>
      <c r="BC504" s="182"/>
      <c r="BD504" s="185"/>
      <c r="BE504" s="185"/>
      <c r="BF504" s="158" t="str">
        <f t="shared" si="873"/>
        <v/>
      </c>
      <c r="BG504" s="191"/>
    </row>
    <row r="505" spans="1:59" x14ac:dyDescent="0.25">
      <c r="A505" s="167"/>
      <c r="B505" s="167"/>
      <c r="C505" s="161"/>
      <c r="D505" s="160"/>
      <c r="E505" s="162"/>
      <c r="F505" s="164"/>
      <c r="G505" s="161"/>
      <c r="H505" s="161"/>
      <c r="I505" s="161"/>
      <c r="J505" s="161"/>
      <c r="K505" s="161"/>
      <c r="L505" s="166"/>
      <c r="M505" s="166"/>
      <c r="N505" s="166"/>
      <c r="O505" s="166"/>
      <c r="P505" s="166"/>
      <c r="Q505" s="166"/>
      <c r="R505" s="166"/>
      <c r="S505" s="167"/>
      <c r="T505" s="167"/>
      <c r="U505" s="167"/>
      <c r="V505" s="167"/>
      <c r="W505" s="167"/>
      <c r="X505" s="164"/>
      <c r="Y505" s="164"/>
      <c r="Z505" s="172"/>
      <c r="AA505" s="188"/>
      <c r="AB505" s="172"/>
      <c r="AC505" s="172"/>
      <c r="AD505" s="175"/>
      <c r="AE505" s="62" t="s">
        <v>153</v>
      </c>
      <c r="AF505" s="133"/>
      <c r="AG505" s="65"/>
      <c r="AH505" s="64"/>
      <c r="AI505" s="64"/>
      <c r="AJ505" s="64"/>
      <c r="AK505" s="64"/>
      <c r="AL505" s="64"/>
      <c r="AM505" s="80" t="str">
        <f>IFERROR((Tablas!$C$1*VLOOKUP(AH505, tipo_control, 2, 0)+Tablas!$E$1*VLOOKUP(AI505, nat_control, 2, 0)+Tablas!$G$1*VLOOKUP(AJ505, ev_control, 2, 0)+Tablas!$I$1*VLOOKUP(AK505, frec_control, 2, 0)+Tablas!$K$1*VLOOKUP(AL505, doc_control, 2, 0))*0.1*peso_dis, "")</f>
        <v/>
      </c>
      <c r="AN505" s="64"/>
      <c r="AO505" s="64"/>
      <c r="AP505" s="64"/>
      <c r="AQ505" s="80" t="str">
        <f>IFERROR((Tablas!$C$9*VLOOKUP(AN505, amb_control, 2, 0)+Tablas!$E$9*VLOOKUP(AO505, ejec_control, 2, 0)+Tablas!$G$9*VLOOKUP(AP505, cub_control, 2, 0))*0.1*peso_ejec, "")</f>
        <v/>
      </c>
      <c r="AR505" s="91" t="str">
        <f t="shared" si="788"/>
        <v/>
      </c>
      <c r="AS505" s="85" t="str">
        <f t="shared" si="797"/>
        <v/>
      </c>
      <c r="AT505" s="85" t="str">
        <f t="shared" si="798"/>
        <v/>
      </c>
      <c r="AU505" s="85" t="str">
        <f>IF(AR505&lt;Tablas!$G$19, 0, IF(AND(AR505&gt;=Tablas!$G$19, AR505&lt;Tablas!$G$20), 1,  IF(AND(AR505&gt;=Tablas!$G$20, AR505&lt;Tablas!$G$21), 2,  IF(AND(AR505&gt;=Tablas!$G$21, AR505&lt;=Tablas!$G$22), 3,  ""))))</f>
        <v/>
      </c>
      <c r="AV505" s="85" t="str">
        <f t="shared" si="789"/>
        <v/>
      </c>
      <c r="AW505" s="101" t="str">
        <f t="shared" si="790"/>
        <v/>
      </c>
      <c r="AX505" s="177"/>
      <c r="AY505" s="169"/>
      <c r="AZ505" s="158"/>
      <c r="BA505" s="169"/>
      <c r="BB505" s="182"/>
      <c r="BC505" s="182"/>
      <c r="BD505" s="185"/>
      <c r="BE505" s="185"/>
      <c r="BF505" s="158"/>
      <c r="BG505" s="191"/>
    </row>
    <row r="506" spans="1:59" ht="15.75" thickBot="1" x14ac:dyDescent="0.3">
      <c r="A506" s="149"/>
      <c r="B506" s="149"/>
      <c r="C506" s="161"/>
      <c r="D506" s="160"/>
      <c r="E506" s="162"/>
      <c r="F506" s="165"/>
      <c r="G506" s="161"/>
      <c r="H506" s="161"/>
      <c r="I506" s="161"/>
      <c r="J506" s="161"/>
      <c r="K506" s="161"/>
      <c r="L506" s="166"/>
      <c r="M506" s="166"/>
      <c r="N506" s="166"/>
      <c r="O506" s="166"/>
      <c r="P506" s="166"/>
      <c r="Q506" s="166"/>
      <c r="R506" s="166"/>
      <c r="S506" s="149"/>
      <c r="T506" s="149"/>
      <c r="U506" s="149"/>
      <c r="V506" s="149"/>
      <c r="W506" s="149"/>
      <c r="X506" s="165"/>
      <c r="Y506" s="165"/>
      <c r="Z506" s="173"/>
      <c r="AA506" s="189"/>
      <c r="AB506" s="173"/>
      <c r="AC506" s="173"/>
      <c r="AD506" s="175"/>
      <c r="AE506" s="75" t="s">
        <v>154</v>
      </c>
      <c r="AF506" s="136"/>
      <c r="AG506" s="68"/>
      <c r="AH506" s="76"/>
      <c r="AI506" s="76"/>
      <c r="AJ506" s="76"/>
      <c r="AK506" s="76"/>
      <c r="AL506" s="76"/>
      <c r="AM506" s="83" t="str">
        <f>IFERROR((Tablas!$C$1*VLOOKUP(AH506, tipo_control, 2, 0)+Tablas!$E$1*VLOOKUP(AI506, nat_control, 2, 0)+Tablas!$G$1*VLOOKUP(AJ506, ev_control, 2, 0)+Tablas!$I$1*VLOOKUP(AK506, frec_control, 2, 0)+Tablas!$K$1*VLOOKUP(AL506, doc_control, 2, 0))*0.1*peso_dis, "")</f>
        <v/>
      </c>
      <c r="AN506" s="76"/>
      <c r="AO506" s="76"/>
      <c r="AP506" s="76"/>
      <c r="AQ506" s="83" t="str">
        <f>IFERROR((Tablas!$C$9*VLOOKUP(AN506, amb_control, 2, 0)+Tablas!$E$9*VLOOKUP(AO506, ejec_control, 2, 0)+Tablas!$G$9*VLOOKUP(AP506, cub_control, 2, 0))*0.1*peso_ejec, "")</f>
        <v/>
      </c>
      <c r="AR506" s="99" t="str">
        <f t="shared" si="788"/>
        <v/>
      </c>
      <c r="AS506" s="86" t="str">
        <f t="shared" si="797"/>
        <v/>
      </c>
      <c r="AT506" s="86" t="str">
        <f t="shared" si="798"/>
        <v/>
      </c>
      <c r="AU506" s="86" t="str">
        <f>IF(AR506&lt;Tablas!$G$19, 0, IF(AND(AR506&gt;=Tablas!$G$19, AR506&lt;Tablas!$G$20), 1,  IF(AND(AR506&gt;=Tablas!$G$20, AR506&lt;Tablas!$G$21), 2,  IF(AND(AR506&gt;=Tablas!$G$21, AR506&lt;=Tablas!$G$22), 3,  ""))))</f>
        <v/>
      </c>
      <c r="AV506" s="86" t="str">
        <f t="shared" si="789"/>
        <v/>
      </c>
      <c r="AW506" s="84" t="str">
        <f t="shared" si="790"/>
        <v/>
      </c>
      <c r="AX506" s="157"/>
      <c r="AY506" s="170"/>
      <c r="AZ506" s="179"/>
      <c r="BA506" s="170"/>
      <c r="BB506" s="183"/>
      <c r="BC506" s="183"/>
      <c r="BD506" s="186"/>
      <c r="BE506" s="186"/>
      <c r="BF506" s="159"/>
      <c r="BG506" s="191"/>
    </row>
    <row r="507" spans="1:59" x14ac:dyDescent="0.25">
      <c r="A507" s="148" t="s">
        <v>195</v>
      </c>
      <c r="B507" s="148" t="s">
        <v>196</v>
      </c>
      <c r="C507" s="161" t="s">
        <v>14</v>
      </c>
      <c r="D507" s="160" t="s">
        <v>158</v>
      </c>
      <c r="E507" s="193"/>
      <c r="F507" s="163" t="str">
        <f t="shared" si="791"/>
        <v/>
      </c>
      <c r="G507" s="149"/>
      <c r="H507" s="149"/>
      <c r="I507" s="149"/>
      <c r="J507" s="149"/>
      <c r="K507" s="149"/>
      <c r="L507" s="165" t="str">
        <f>IFERROR(VLOOKUP(G507, tabla02, 2, 0), "")</f>
        <v/>
      </c>
      <c r="M507" s="165" t="str">
        <f>IFERROR(VLOOKUP(H507, tabla02, 2, 0), "")</f>
        <v/>
      </c>
      <c r="N507" s="165" t="str">
        <f>IFERROR(VLOOKUP(I507, tabla02, 2, 0), "")</f>
        <v/>
      </c>
      <c r="O507" s="165" t="str">
        <f>IFERROR(VLOOKUP(J507, tabla02, 2, 0), "")</f>
        <v/>
      </c>
      <c r="P507" s="165" t="str">
        <f>IFERROR(VLOOKUP(K507, tabla02, 2, 0), "")</f>
        <v/>
      </c>
      <c r="Q507" s="165" t="str">
        <f t="shared" ref="Q507" si="874">IF(SUM(L507:O511)=0, "", MAX(L507:P507))</f>
        <v/>
      </c>
      <c r="R507" s="165" t="str">
        <f>IFERROR(VLOOKUP(Q507, tabla04, 3, 0), "")</f>
        <v/>
      </c>
      <c r="S507" s="148"/>
      <c r="T507" s="148"/>
      <c r="U507" s="148"/>
      <c r="V507" s="148"/>
      <c r="W507" s="148"/>
      <c r="X507" s="164" t="str">
        <f>IFERROR(VLOOKUP(CONCATENATE(F507, "-", Q507), cuadrante_sev, 3, 0), "")</f>
        <v/>
      </c>
      <c r="Y507" s="163" t="str">
        <f>IFERROR(IF(X507="Baja", 1, IF(X507="Moderada", 2, IF(X507="Alta", 3, IF(X507="Extrema", 4, "")))), "")</f>
        <v/>
      </c>
      <c r="Z507" s="171">
        <f t="shared" ref="Z507" si="875">MAX(F507:F556)</f>
        <v>0</v>
      </c>
      <c r="AA507" s="187">
        <f t="shared" ref="AA507" si="876">MAX(Q507:Q556)</f>
        <v>0</v>
      </c>
      <c r="AB507" s="171" t="str">
        <f>IFERROR(VLOOKUP(Z507, tabla04, 2, 0), "")</f>
        <v/>
      </c>
      <c r="AC507" s="171" t="str">
        <f>IFERROR(VLOOKUP(AA507, tabla04, 3, 0), "")</f>
        <v/>
      </c>
      <c r="AD507" s="174" t="str">
        <f>IFERROR(VLOOKUP(CONCATENATE(Z507, "-", AA507), cuadrante_sev, 3, 0), "")</f>
        <v/>
      </c>
      <c r="AE507" s="59" t="s">
        <v>113</v>
      </c>
      <c r="AF507" s="132"/>
      <c r="AG507" s="77"/>
      <c r="AH507" s="61"/>
      <c r="AI507" s="61"/>
      <c r="AJ507" s="61"/>
      <c r="AK507" s="61"/>
      <c r="AL507" s="61"/>
      <c r="AM507" s="79" t="str">
        <f>IFERROR((Tablas!$C$1*VLOOKUP(AH507, tipo_control, 2, 0)+Tablas!$E$1*VLOOKUP(AI507, nat_control, 2, 0)+Tablas!$G$1*VLOOKUP(AJ507, ev_control, 2, 0)+Tablas!$I$1*VLOOKUP(AK507, frec_control, 2, 0)+Tablas!$K$1*VLOOKUP(AL507, doc_control, 2, 0))*0.1*peso_dis, "")</f>
        <v/>
      </c>
      <c r="AN507" s="61"/>
      <c r="AO507" s="61"/>
      <c r="AP507" s="61"/>
      <c r="AQ507" s="79" t="str">
        <f>IFERROR((Tablas!$C$9*VLOOKUP(AN507, amb_control, 2, 0)+Tablas!$E$9*VLOOKUP(AO507, ejec_control, 2, 0)+Tablas!$G$9*VLOOKUP(AP507, cub_control, 2, 0))*0.1*peso_ejec, "")</f>
        <v/>
      </c>
      <c r="AR507" s="89" t="str">
        <f>IFERROR(AM507+AQ507, "")</f>
        <v/>
      </c>
      <c r="AS507" s="87" t="str">
        <f t="shared" si="797"/>
        <v/>
      </c>
      <c r="AT507" s="87" t="str">
        <f t="shared" si="798"/>
        <v/>
      </c>
      <c r="AU507" s="87" t="str">
        <f>IF(AR507&lt;Tablas!$G$19, 0, IF(AND(AR507&gt;=Tablas!$G$19, AR507&lt;Tablas!$G$20), 1,  IF(AND(AR507&gt;=Tablas!$G$20, AR507&lt;Tablas!$G$21), 2,  IF(AND(AR507&gt;=Tablas!$G$21, AR507&lt;=Tablas!$G$22), 3,  ""))))</f>
        <v/>
      </c>
      <c r="AV507" s="87" t="str">
        <f>IF(AS507="Sí",AU507,"")</f>
        <v/>
      </c>
      <c r="AW507" s="100" t="str">
        <f>IF(AT507="Sí",AU507,"")</f>
        <v/>
      </c>
      <c r="AX507" s="176" t="str">
        <f>IFERROR(VLOOKUP(AY507, tabla04, 2, 0), "")</f>
        <v/>
      </c>
      <c r="AY507" s="168" t="str">
        <f>IF(F507="", "", IF((F507-MAX(AV507:AV511))&lt;=0, 1, F507-MAX(AV507:AV511)))</f>
        <v/>
      </c>
      <c r="AZ507" s="178" t="str">
        <f>IFERROR(VLOOKUP(BA507, tabla04, 3, 0), "")</f>
        <v/>
      </c>
      <c r="BA507" s="168" t="str">
        <f>IF(Q507="", "", IF((Q507-MAX(AW507:AW511))&lt;=0, 1, Q507-MAX(AW507:AW511)))</f>
        <v/>
      </c>
      <c r="BB507" s="170">
        <f>IFERROR(MAX(AY507:AY556), "")</f>
        <v>0</v>
      </c>
      <c r="BC507" s="170">
        <f>IFERROR(MAX(BA507:BA556), "")</f>
        <v>0</v>
      </c>
      <c r="BD507" s="184" t="str">
        <f>IFERROR(VLOOKUP(BB507, tabla04, 2, 0), "")</f>
        <v/>
      </c>
      <c r="BE507" s="184" t="str">
        <f>IFERROR(VLOOKUP(BC507, tabla04, 3, 0), "")</f>
        <v/>
      </c>
      <c r="BF507" s="158" t="str">
        <f>IFERROR(VLOOKUP(CONCATENATE(AY507, "-", BA507), cuadrante_sev, 3, 0), "")</f>
        <v/>
      </c>
      <c r="BG507" s="190" t="str">
        <f>IFERROR(VLOOKUP(CONCATENATE(BB507, "-", BC507), cuadrante_sev, 3, 0), "")</f>
        <v/>
      </c>
    </row>
    <row r="508" spans="1:59" x14ac:dyDescent="0.25">
      <c r="A508" s="167"/>
      <c r="B508" s="167"/>
      <c r="C508" s="161"/>
      <c r="D508" s="160"/>
      <c r="E508" s="162"/>
      <c r="F508" s="164"/>
      <c r="G508" s="161"/>
      <c r="H508" s="161"/>
      <c r="I508" s="161"/>
      <c r="J508" s="161"/>
      <c r="K508" s="161"/>
      <c r="L508" s="166"/>
      <c r="M508" s="166"/>
      <c r="N508" s="166"/>
      <c r="O508" s="166"/>
      <c r="P508" s="166"/>
      <c r="Q508" s="166"/>
      <c r="R508" s="166"/>
      <c r="S508" s="167"/>
      <c r="T508" s="167"/>
      <c r="U508" s="167"/>
      <c r="V508" s="167"/>
      <c r="W508" s="167"/>
      <c r="X508" s="164"/>
      <c r="Y508" s="164"/>
      <c r="Z508" s="172"/>
      <c r="AA508" s="188"/>
      <c r="AB508" s="172"/>
      <c r="AC508" s="172"/>
      <c r="AD508" s="175"/>
      <c r="AE508" s="62" t="s">
        <v>114</v>
      </c>
      <c r="AF508" s="133"/>
      <c r="AG508" s="65"/>
      <c r="AH508" s="64"/>
      <c r="AI508" s="64"/>
      <c r="AJ508" s="64"/>
      <c r="AK508" s="64"/>
      <c r="AL508" s="64"/>
      <c r="AM508" s="80" t="str">
        <f>IFERROR((Tablas!$C$1*VLOOKUP(AH508, tipo_control, 2, 0)+Tablas!$E$1*VLOOKUP(AI508, nat_control, 2, 0)+Tablas!$G$1*VLOOKUP(AJ508, ev_control, 2, 0)+Tablas!$I$1*VLOOKUP(AK508, frec_control, 2, 0)+Tablas!$K$1*VLOOKUP(AL508, doc_control, 2, 0))*0.1*peso_dis, "")</f>
        <v/>
      </c>
      <c r="AN508" s="64"/>
      <c r="AO508" s="64"/>
      <c r="AP508" s="64"/>
      <c r="AQ508" s="80" t="str">
        <f>IFERROR((Tablas!$C$9*VLOOKUP(AN508, amb_control, 2, 0)+Tablas!$E$9*VLOOKUP(AO508, ejec_control, 2, 0)+Tablas!$G$9*VLOOKUP(AP508, cub_control, 2, 0))*0.1*peso_ejec, "")</f>
        <v/>
      </c>
      <c r="AR508" s="91" t="str">
        <f t="shared" ref="AR508:AR556" si="877">IFERROR(AM508+AQ508, "")</f>
        <v/>
      </c>
      <c r="AS508" s="87" t="str">
        <f t="shared" si="797"/>
        <v/>
      </c>
      <c r="AT508" s="85" t="str">
        <f t="shared" si="798"/>
        <v/>
      </c>
      <c r="AU508" s="85" t="str">
        <f>IF(AR508&lt;Tablas!$G$19, 0, IF(AND(AR508&gt;=Tablas!$G$19, AR508&lt;Tablas!$G$20), 1,  IF(AND(AR508&gt;=Tablas!$G$20, AR508&lt;Tablas!$G$21), 2,  IF(AND(AR508&gt;=Tablas!$G$21, AR508&lt;=Tablas!$G$22), 3,  ""))))</f>
        <v/>
      </c>
      <c r="AV508" s="85" t="str">
        <f t="shared" ref="AV508:AV556" si="878">IF(AS508="Sí",AU508,"")</f>
        <v/>
      </c>
      <c r="AW508" s="101" t="str">
        <f t="shared" ref="AW508:AW556" si="879">IF(AT508="Sí",AU508,"")</f>
        <v/>
      </c>
      <c r="AX508" s="177"/>
      <c r="AY508" s="169"/>
      <c r="AZ508" s="158"/>
      <c r="BA508" s="169"/>
      <c r="BB508" s="182"/>
      <c r="BC508" s="182"/>
      <c r="BD508" s="185"/>
      <c r="BE508" s="185"/>
      <c r="BF508" s="158"/>
      <c r="BG508" s="191"/>
    </row>
    <row r="509" spans="1:59" x14ac:dyDescent="0.25">
      <c r="A509" s="167"/>
      <c r="B509" s="167"/>
      <c r="C509" s="161"/>
      <c r="D509" s="160"/>
      <c r="E509" s="162"/>
      <c r="F509" s="164"/>
      <c r="G509" s="161"/>
      <c r="H509" s="161"/>
      <c r="I509" s="161"/>
      <c r="J509" s="161"/>
      <c r="K509" s="161"/>
      <c r="L509" s="166"/>
      <c r="M509" s="166"/>
      <c r="N509" s="166"/>
      <c r="O509" s="166"/>
      <c r="P509" s="166"/>
      <c r="Q509" s="166"/>
      <c r="R509" s="166"/>
      <c r="S509" s="167"/>
      <c r="T509" s="167"/>
      <c r="U509" s="167"/>
      <c r="V509" s="167"/>
      <c r="W509" s="167"/>
      <c r="X509" s="164"/>
      <c r="Y509" s="164"/>
      <c r="Z509" s="172"/>
      <c r="AA509" s="188"/>
      <c r="AB509" s="172"/>
      <c r="AC509" s="172"/>
      <c r="AD509" s="175"/>
      <c r="AE509" s="62" t="s">
        <v>115</v>
      </c>
      <c r="AF509" s="133"/>
      <c r="AG509" s="65"/>
      <c r="AH509" s="64"/>
      <c r="AI509" s="64"/>
      <c r="AJ509" s="64"/>
      <c r="AK509" s="64"/>
      <c r="AL509" s="64"/>
      <c r="AM509" s="80" t="str">
        <f>IFERROR((Tablas!$C$1*VLOOKUP(AH509, tipo_control, 2, 0)+Tablas!$E$1*VLOOKUP(AI509, nat_control, 2, 0)+Tablas!$G$1*VLOOKUP(AJ509, ev_control, 2, 0)+Tablas!$I$1*VLOOKUP(AK509, frec_control, 2, 0)+Tablas!$K$1*VLOOKUP(AL509, doc_control, 2, 0))*0.1*peso_dis, "")</f>
        <v/>
      </c>
      <c r="AN509" s="64"/>
      <c r="AO509" s="64"/>
      <c r="AP509" s="64"/>
      <c r="AQ509" s="80" t="str">
        <f>IFERROR((Tablas!$C$9*VLOOKUP(AN509, amb_control, 2, 0)+Tablas!$E$9*VLOOKUP(AO509, ejec_control, 2, 0)+Tablas!$G$9*VLOOKUP(AP509, cub_control, 2, 0))*0.1*peso_ejec, "")</f>
        <v/>
      </c>
      <c r="AR509" s="91" t="str">
        <f t="shared" si="877"/>
        <v/>
      </c>
      <c r="AS509" s="87" t="str">
        <f t="shared" si="797"/>
        <v/>
      </c>
      <c r="AT509" s="85" t="str">
        <f t="shared" si="798"/>
        <v/>
      </c>
      <c r="AU509" s="85" t="str">
        <f>IF(AR509&lt;Tablas!$G$19, 0, IF(AND(AR509&gt;=Tablas!$G$19, AR509&lt;Tablas!$G$20), 1,  IF(AND(AR509&gt;=Tablas!$G$20, AR509&lt;Tablas!$G$21), 2,  IF(AND(AR509&gt;=Tablas!$G$21, AR509&lt;=Tablas!$G$22), 3,  ""))))</f>
        <v/>
      </c>
      <c r="AV509" s="85" t="str">
        <f t="shared" si="878"/>
        <v/>
      </c>
      <c r="AW509" s="101" t="str">
        <f t="shared" si="879"/>
        <v/>
      </c>
      <c r="AX509" s="177"/>
      <c r="AY509" s="169"/>
      <c r="AZ509" s="158"/>
      <c r="BA509" s="169"/>
      <c r="BB509" s="182"/>
      <c r="BC509" s="182"/>
      <c r="BD509" s="185"/>
      <c r="BE509" s="185"/>
      <c r="BF509" s="158"/>
      <c r="BG509" s="191"/>
    </row>
    <row r="510" spans="1:59" x14ac:dyDescent="0.25">
      <c r="A510" s="167"/>
      <c r="B510" s="167"/>
      <c r="C510" s="161"/>
      <c r="D510" s="160"/>
      <c r="E510" s="162"/>
      <c r="F510" s="164"/>
      <c r="G510" s="161"/>
      <c r="H510" s="161"/>
      <c r="I510" s="161"/>
      <c r="J510" s="161"/>
      <c r="K510" s="161"/>
      <c r="L510" s="166"/>
      <c r="M510" s="166"/>
      <c r="N510" s="166"/>
      <c r="O510" s="166"/>
      <c r="P510" s="166"/>
      <c r="Q510" s="166"/>
      <c r="R510" s="166"/>
      <c r="S510" s="167"/>
      <c r="T510" s="167"/>
      <c r="U510" s="167"/>
      <c r="V510" s="167"/>
      <c r="W510" s="167"/>
      <c r="X510" s="164"/>
      <c r="Y510" s="164"/>
      <c r="Z510" s="172"/>
      <c r="AA510" s="188"/>
      <c r="AB510" s="172"/>
      <c r="AC510" s="172"/>
      <c r="AD510" s="175"/>
      <c r="AE510" s="62" t="s">
        <v>153</v>
      </c>
      <c r="AF510" s="133"/>
      <c r="AG510" s="65"/>
      <c r="AH510" s="64"/>
      <c r="AI510" s="64"/>
      <c r="AJ510" s="64"/>
      <c r="AK510" s="64"/>
      <c r="AL510" s="64"/>
      <c r="AM510" s="80" t="str">
        <f>IFERROR((Tablas!$C$1*VLOOKUP(AH510, tipo_control, 2, 0)+Tablas!$E$1*VLOOKUP(AI510, nat_control, 2, 0)+Tablas!$G$1*VLOOKUP(AJ510, ev_control, 2, 0)+Tablas!$I$1*VLOOKUP(AK510, frec_control, 2, 0)+Tablas!$K$1*VLOOKUP(AL510, doc_control, 2, 0))*0.1*peso_dis, "")</f>
        <v/>
      </c>
      <c r="AN510" s="64"/>
      <c r="AO510" s="64"/>
      <c r="AP510" s="64"/>
      <c r="AQ510" s="80" t="str">
        <f>IFERROR((Tablas!$C$9*VLOOKUP(AN510, amb_control, 2, 0)+Tablas!$E$9*VLOOKUP(AO510, ejec_control, 2, 0)+Tablas!$G$9*VLOOKUP(AP510, cub_control, 2, 0))*0.1*peso_ejec, "")</f>
        <v/>
      </c>
      <c r="AR510" s="91" t="str">
        <f t="shared" si="877"/>
        <v/>
      </c>
      <c r="AS510" s="87" t="str">
        <f t="shared" si="797"/>
        <v/>
      </c>
      <c r="AT510" s="85" t="str">
        <f t="shared" si="798"/>
        <v/>
      </c>
      <c r="AU510" s="85" t="str">
        <f>IF(AR510&lt;Tablas!$G$19, 0, IF(AND(AR510&gt;=Tablas!$G$19, AR510&lt;Tablas!$G$20), 1,  IF(AND(AR510&gt;=Tablas!$G$20, AR510&lt;Tablas!$G$21), 2,  IF(AND(AR510&gt;=Tablas!$G$21, AR510&lt;=Tablas!$G$22), 3,  ""))))</f>
        <v/>
      </c>
      <c r="AV510" s="85" t="str">
        <f t="shared" si="878"/>
        <v/>
      </c>
      <c r="AW510" s="101" t="str">
        <f t="shared" si="879"/>
        <v/>
      </c>
      <c r="AX510" s="177"/>
      <c r="AY510" s="169"/>
      <c r="AZ510" s="158"/>
      <c r="BA510" s="169"/>
      <c r="BB510" s="182"/>
      <c r="BC510" s="182"/>
      <c r="BD510" s="185"/>
      <c r="BE510" s="185"/>
      <c r="BF510" s="158"/>
      <c r="BG510" s="191"/>
    </row>
    <row r="511" spans="1:59" ht="15.75" thickBot="1" x14ac:dyDescent="0.3">
      <c r="A511" s="167"/>
      <c r="B511" s="167"/>
      <c r="C511" s="161"/>
      <c r="D511" s="160"/>
      <c r="E511" s="162"/>
      <c r="F511" s="165"/>
      <c r="G511" s="161"/>
      <c r="H511" s="161"/>
      <c r="I511" s="161"/>
      <c r="J511" s="161"/>
      <c r="K511" s="161"/>
      <c r="L511" s="166"/>
      <c r="M511" s="166"/>
      <c r="N511" s="166"/>
      <c r="O511" s="166"/>
      <c r="P511" s="166"/>
      <c r="Q511" s="166"/>
      <c r="R511" s="166"/>
      <c r="S511" s="149"/>
      <c r="T511" s="149"/>
      <c r="U511" s="149"/>
      <c r="V511" s="149"/>
      <c r="W511" s="149"/>
      <c r="X511" s="165"/>
      <c r="Y511" s="165"/>
      <c r="Z511" s="172"/>
      <c r="AA511" s="188"/>
      <c r="AB511" s="172"/>
      <c r="AC511" s="172"/>
      <c r="AD511" s="175"/>
      <c r="AE511" s="66" t="s">
        <v>154</v>
      </c>
      <c r="AF511" s="134"/>
      <c r="AG511" s="67"/>
      <c r="AH511" s="69"/>
      <c r="AI511" s="69"/>
      <c r="AJ511" s="69"/>
      <c r="AK511" s="69"/>
      <c r="AL511" s="69"/>
      <c r="AM511" s="81" t="str">
        <f>IFERROR((Tablas!$C$1*VLOOKUP(AH511, tipo_control, 2, 0)+Tablas!$E$1*VLOOKUP(AI511, nat_control, 2, 0)+Tablas!$G$1*VLOOKUP(AJ511, ev_control, 2, 0)+Tablas!$I$1*VLOOKUP(AK511, frec_control, 2, 0)+Tablas!$K$1*VLOOKUP(AL511, doc_control, 2, 0))*0.1*peso_dis, "")</f>
        <v/>
      </c>
      <c r="AN511" s="69"/>
      <c r="AO511" s="69"/>
      <c r="AP511" s="69"/>
      <c r="AQ511" s="81" t="str">
        <f>IFERROR((Tablas!$C$9*VLOOKUP(AN511, amb_control, 2, 0)+Tablas!$E$9*VLOOKUP(AO511, ejec_control, 2, 0)+Tablas!$G$9*VLOOKUP(AP511, cub_control, 2, 0))*0.1*peso_ejec, "")</f>
        <v/>
      </c>
      <c r="AR511" s="93" t="str">
        <f t="shared" si="877"/>
        <v/>
      </c>
      <c r="AS511" s="87" t="str">
        <f t="shared" si="797"/>
        <v/>
      </c>
      <c r="AT511" s="94" t="str">
        <f t="shared" si="798"/>
        <v/>
      </c>
      <c r="AU511" s="94" t="str">
        <f>IF(AR511&lt;Tablas!$G$19, 0, IF(AND(AR511&gt;=Tablas!$G$19, AR511&lt;Tablas!$G$20), 1,  IF(AND(AR511&gt;=Tablas!$G$20, AR511&lt;Tablas!$G$21), 2,  IF(AND(AR511&gt;=Tablas!$G$21, AR511&lt;=Tablas!$G$22), 3,  ""))))</f>
        <v/>
      </c>
      <c r="AV511" s="94" t="str">
        <f t="shared" si="878"/>
        <v/>
      </c>
      <c r="AW511" s="102" t="str">
        <f t="shared" si="879"/>
        <v/>
      </c>
      <c r="AX511" s="157"/>
      <c r="AY511" s="170"/>
      <c r="AZ511" s="179"/>
      <c r="BA511" s="170"/>
      <c r="BB511" s="182"/>
      <c r="BC511" s="182"/>
      <c r="BD511" s="185"/>
      <c r="BE511" s="185"/>
      <c r="BF511" s="159"/>
      <c r="BG511" s="191"/>
    </row>
    <row r="512" spans="1:59" x14ac:dyDescent="0.25">
      <c r="A512" s="167"/>
      <c r="B512" s="167"/>
      <c r="C512" s="161" t="s">
        <v>15</v>
      </c>
      <c r="D512" s="160" t="s">
        <v>158</v>
      </c>
      <c r="E512" s="162"/>
      <c r="F512" s="163" t="str">
        <f t="shared" si="791"/>
        <v/>
      </c>
      <c r="G512" s="149"/>
      <c r="H512" s="149"/>
      <c r="I512" s="149"/>
      <c r="J512" s="149"/>
      <c r="K512" s="149"/>
      <c r="L512" s="165" t="str">
        <f>IFERROR(VLOOKUP(G512, tabla02, 2, 0), "")</f>
        <v/>
      </c>
      <c r="M512" s="165" t="str">
        <f>IFERROR(VLOOKUP(H512, tabla02, 2, 0), "")</f>
        <v/>
      </c>
      <c r="N512" s="165" t="str">
        <f>IFERROR(VLOOKUP(I512, tabla02, 2, 0), "")</f>
        <v/>
      </c>
      <c r="O512" s="165" t="str">
        <f>IFERROR(VLOOKUP(J512, tabla02, 2, 0), "")</f>
        <v/>
      </c>
      <c r="P512" s="165" t="str">
        <f>IFERROR(VLOOKUP(K512, tabla02, 2, 0), "")</f>
        <v/>
      </c>
      <c r="Q512" s="165" t="str">
        <f t="shared" ref="Q512" si="880">IF(SUM(L512:O516)=0, "", MAX(L512:P512))</f>
        <v/>
      </c>
      <c r="R512" s="165" t="str">
        <f>IFERROR(VLOOKUP(Q512, tabla04, 3, 0), "")</f>
        <v/>
      </c>
      <c r="S512" s="148"/>
      <c r="T512" s="148"/>
      <c r="U512" s="148"/>
      <c r="V512" s="148"/>
      <c r="W512" s="148"/>
      <c r="X512" s="163" t="str">
        <f>IFERROR(VLOOKUP(CONCATENATE(F512, "-", Q512), cuadrante_sev, 3, 0), "")</f>
        <v/>
      </c>
      <c r="Y512" s="163" t="str">
        <f t="shared" ref="Y512" si="881">IFERROR(IF(X512="Baja", 1, IF(X512="Moderada", 2, IF(X512="Alta", 3, IF(X512="Extrema", 4, "")))), "")</f>
        <v/>
      </c>
      <c r="Z512" s="172"/>
      <c r="AA512" s="188"/>
      <c r="AB512" s="172"/>
      <c r="AC512" s="172"/>
      <c r="AD512" s="175"/>
      <c r="AE512" s="70" t="s">
        <v>113</v>
      </c>
      <c r="AF512" s="135"/>
      <c r="AG512" s="74"/>
      <c r="AH512" s="72"/>
      <c r="AI512" s="72"/>
      <c r="AJ512" s="72"/>
      <c r="AK512" s="72"/>
      <c r="AL512" s="72"/>
      <c r="AM512" s="82" t="str">
        <f>IFERROR((Tablas!$C$1*VLOOKUP(AH512, tipo_control, 2, 0)+Tablas!$E$1*VLOOKUP(AI512, nat_control, 2, 0)+Tablas!$G$1*VLOOKUP(AJ512, ev_control, 2, 0)+Tablas!$I$1*VLOOKUP(AK512, frec_control, 2, 0)+Tablas!$K$1*VLOOKUP(AL512, doc_control, 2, 0))*0.1*peso_dis, "")</f>
        <v/>
      </c>
      <c r="AN512" s="72"/>
      <c r="AO512" s="72"/>
      <c r="AP512" s="72"/>
      <c r="AQ512" s="82" t="str">
        <f>IFERROR((Tablas!$C$9*VLOOKUP(AN512, amb_control, 2, 0)+Tablas!$E$9*VLOOKUP(AO512, ejec_control, 2, 0)+Tablas!$G$9*VLOOKUP(AP512, cub_control, 2, 0))*0.1*peso_ejec, "")</f>
        <v/>
      </c>
      <c r="AR512" s="96" t="str">
        <f t="shared" si="877"/>
        <v/>
      </c>
      <c r="AS512" s="97" t="str">
        <f t="shared" si="797"/>
        <v/>
      </c>
      <c r="AT512" s="87" t="str">
        <f t="shared" si="798"/>
        <v/>
      </c>
      <c r="AU512" s="97" t="str">
        <f>IF(AR512&lt;Tablas!$G$19, 0, IF(AND(AR512&gt;=Tablas!$G$19, AR512&lt;Tablas!$G$20), 1,  IF(AND(AR512&gt;=Tablas!$G$20, AR512&lt;Tablas!$G$21), 2,  IF(AND(AR512&gt;=Tablas!$G$21, AR512&lt;=Tablas!$G$22), 3,  ""))))</f>
        <v/>
      </c>
      <c r="AV512" s="97" t="str">
        <f t="shared" si="878"/>
        <v/>
      </c>
      <c r="AW512" s="103" t="str">
        <f t="shared" si="879"/>
        <v/>
      </c>
      <c r="AX512" s="176" t="str">
        <f t="shared" ref="AX512" si="882">IFERROR(VLOOKUP(AY512, tabla04, 2, 0), "")</f>
        <v/>
      </c>
      <c r="AY512" s="168" t="str">
        <f>IF(F512="", "", IF((F512-MAX(AV512:AV516))&lt;=0, 1, F512-MAX(AV512:AV516)))</f>
        <v/>
      </c>
      <c r="AZ512" s="178" t="str">
        <f t="shared" ref="AZ512" si="883">IFERROR(VLOOKUP(BA512, tabla04, 3, 0), "")</f>
        <v/>
      </c>
      <c r="BA512" s="168" t="str">
        <f>IF(Q512="", "", IF((Q512-MAX(AW512:AW516))&lt;=0, 1, Q512-MAX(AW512:AW516)))</f>
        <v/>
      </c>
      <c r="BB512" s="182"/>
      <c r="BC512" s="182"/>
      <c r="BD512" s="185"/>
      <c r="BE512" s="185"/>
      <c r="BF512" s="158" t="str">
        <f t="shared" ref="BF512:BF514" si="884">IFERROR(VLOOKUP(CONCATENATE(AY512, "-", BA512), cuadrante_sev, 3, 0), "")</f>
        <v/>
      </c>
      <c r="BG512" s="191"/>
    </row>
    <row r="513" spans="1:59" x14ac:dyDescent="0.25">
      <c r="A513" s="167"/>
      <c r="B513" s="167"/>
      <c r="C513" s="161"/>
      <c r="D513" s="160"/>
      <c r="E513" s="162"/>
      <c r="F513" s="164"/>
      <c r="G513" s="161"/>
      <c r="H513" s="161"/>
      <c r="I513" s="161"/>
      <c r="J513" s="161"/>
      <c r="K513" s="161"/>
      <c r="L513" s="166"/>
      <c r="M513" s="166"/>
      <c r="N513" s="166"/>
      <c r="O513" s="166"/>
      <c r="P513" s="166"/>
      <c r="Q513" s="166"/>
      <c r="R513" s="166"/>
      <c r="S513" s="167"/>
      <c r="T513" s="167"/>
      <c r="U513" s="167"/>
      <c r="V513" s="167"/>
      <c r="W513" s="167"/>
      <c r="X513" s="164"/>
      <c r="Y513" s="164"/>
      <c r="Z513" s="172"/>
      <c r="AA513" s="188"/>
      <c r="AB513" s="172"/>
      <c r="AC513" s="172"/>
      <c r="AD513" s="175"/>
      <c r="AE513" s="62" t="s">
        <v>114</v>
      </c>
      <c r="AF513" s="133"/>
      <c r="AG513" s="65"/>
      <c r="AH513" s="64"/>
      <c r="AI513" s="64"/>
      <c r="AJ513" s="64"/>
      <c r="AK513" s="64"/>
      <c r="AL513" s="64"/>
      <c r="AM513" s="80" t="str">
        <f>IFERROR((Tablas!$C$1*VLOOKUP(AH513, tipo_control, 2, 0)+Tablas!$E$1*VLOOKUP(AI513, nat_control, 2, 0)+Tablas!$G$1*VLOOKUP(AJ513, ev_control, 2, 0)+Tablas!$I$1*VLOOKUP(AK513, frec_control, 2, 0)+Tablas!$K$1*VLOOKUP(AL513, doc_control, 2, 0))*0.1*peso_dis, "")</f>
        <v/>
      </c>
      <c r="AN513" s="64"/>
      <c r="AO513" s="64"/>
      <c r="AP513" s="64"/>
      <c r="AQ513" s="80" t="str">
        <f>IFERROR((Tablas!$C$9*VLOOKUP(AN513, amb_control, 2, 0)+Tablas!$E$9*VLOOKUP(AO513, ejec_control, 2, 0)+Tablas!$G$9*VLOOKUP(AP513, cub_control, 2, 0))*0.1*peso_ejec, "")</f>
        <v/>
      </c>
      <c r="AR513" s="91" t="str">
        <f t="shared" si="877"/>
        <v/>
      </c>
      <c r="AS513" s="85" t="str">
        <f t="shared" si="797"/>
        <v/>
      </c>
      <c r="AT513" s="85" t="str">
        <f t="shared" si="798"/>
        <v/>
      </c>
      <c r="AU513" s="85" t="str">
        <f>IF(AR513&lt;Tablas!$G$19, 0, IF(AND(AR513&gt;=Tablas!$G$19, AR513&lt;Tablas!$G$20), 1,  IF(AND(AR513&gt;=Tablas!$G$20, AR513&lt;Tablas!$G$21), 2,  IF(AND(AR513&gt;=Tablas!$G$21, AR513&lt;=Tablas!$G$22), 3,  ""))))</f>
        <v/>
      </c>
      <c r="AV513" s="85" t="str">
        <f t="shared" si="878"/>
        <v/>
      </c>
      <c r="AW513" s="101" t="str">
        <f t="shared" si="879"/>
        <v/>
      </c>
      <c r="AX513" s="177"/>
      <c r="AY513" s="169"/>
      <c r="AZ513" s="158"/>
      <c r="BA513" s="169"/>
      <c r="BB513" s="182"/>
      <c r="BC513" s="182"/>
      <c r="BD513" s="185"/>
      <c r="BE513" s="185"/>
      <c r="BF513" s="158" t="str">
        <f t="shared" si="884"/>
        <v/>
      </c>
      <c r="BG513" s="191"/>
    </row>
    <row r="514" spans="1:59" x14ac:dyDescent="0.25">
      <c r="A514" s="167"/>
      <c r="B514" s="167"/>
      <c r="C514" s="161"/>
      <c r="D514" s="160"/>
      <c r="E514" s="162"/>
      <c r="F514" s="164"/>
      <c r="G514" s="161"/>
      <c r="H514" s="161"/>
      <c r="I514" s="161"/>
      <c r="J514" s="161"/>
      <c r="K514" s="161"/>
      <c r="L514" s="166"/>
      <c r="M514" s="166"/>
      <c r="N514" s="166"/>
      <c r="O514" s="166"/>
      <c r="P514" s="166"/>
      <c r="Q514" s="166"/>
      <c r="R514" s="166"/>
      <c r="S514" s="167"/>
      <c r="T514" s="167"/>
      <c r="U514" s="167"/>
      <c r="V514" s="167"/>
      <c r="W514" s="167"/>
      <c r="X514" s="164"/>
      <c r="Y514" s="164"/>
      <c r="Z514" s="172"/>
      <c r="AA514" s="188"/>
      <c r="AB514" s="172"/>
      <c r="AC514" s="172"/>
      <c r="AD514" s="175"/>
      <c r="AE514" s="62" t="s">
        <v>115</v>
      </c>
      <c r="AF514" s="133"/>
      <c r="AG514" s="65"/>
      <c r="AH514" s="64"/>
      <c r="AI514" s="64"/>
      <c r="AJ514" s="64"/>
      <c r="AK514" s="64"/>
      <c r="AL514" s="64"/>
      <c r="AM514" s="80" t="str">
        <f>IFERROR((Tablas!$C$1*VLOOKUP(AH514, tipo_control, 2, 0)+Tablas!$E$1*VLOOKUP(AI514, nat_control, 2, 0)+Tablas!$G$1*VLOOKUP(AJ514, ev_control, 2, 0)+Tablas!$I$1*VLOOKUP(AK514, frec_control, 2, 0)+Tablas!$K$1*VLOOKUP(AL514, doc_control, 2, 0))*0.1*peso_dis, "")</f>
        <v/>
      </c>
      <c r="AN514" s="64"/>
      <c r="AO514" s="64"/>
      <c r="AP514" s="64"/>
      <c r="AQ514" s="80" t="str">
        <f>IFERROR((Tablas!$C$9*VLOOKUP(AN514, amb_control, 2, 0)+Tablas!$E$9*VLOOKUP(AO514, ejec_control, 2, 0)+Tablas!$G$9*VLOOKUP(AP514, cub_control, 2, 0))*0.1*peso_ejec, "")</f>
        <v/>
      </c>
      <c r="AR514" s="91" t="str">
        <f t="shared" si="877"/>
        <v/>
      </c>
      <c r="AS514" s="85" t="str">
        <f t="shared" si="797"/>
        <v/>
      </c>
      <c r="AT514" s="85" t="str">
        <f t="shared" si="798"/>
        <v/>
      </c>
      <c r="AU514" s="85" t="str">
        <f>IF(AR514&lt;Tablas!$G$19, 0, IF(AND(AR514&gt;=Tablas!$G$19, AR514&lt;Tablas!$G$20), 1,  IF(AND(AR514&gt;=Tablas!$G$20, AR514&lt;Tablas!$G$21), 2,  IF(AND(AR514&gt;=Tablas!$G$21, AR514&lt;=Tablas!$G$22), 3,  ""))))</f>
        <v/>
      </c>
      <c r="AV514" s="85" t="str">
        <f t="shared" si="878"/>
        <v/>
      </c>
      <c r="AW514" s="101" t="str">
        <f t="shared" si="879"/>
        <v/>
      </c>
      <c r="AX514" s="177"/>
      <c r="AY514" s="169"/>
      <c r="AZ514" s="158"/>
      <c r="BA514" s="169"/>
      <c r="BB514" s="182"/>
      <c r="BC514" s="182"/>
      <c r="BD514" s="185"/>
      <c r="BE514" s="185"/>
      <c r="BF514" s="158" t="str">
        <f t="shared" si="884"/>
        <v/>
      </c>
      <c r="BG514" s="191"/>
    </row>
    <row r="515" spans="1:59" x14ac:dyDescent="0.25">
      <c r="A515" s="167"/>
      <c r="B515" s="167"/>
      <c r="C515" s="161"/>
      <c r="D515" s="160"/>
      <c r="E515" s="162"/>
      <c r="F515" s="164"/>
      <c r="G515" s="161"/>
      <c r="H515" s="161"/>
      <c r="I515" s="161"/>
      <c r="J515" s="161"/>
      <c r="K515" s="161"/>
      <c r="L515" s="166"/>
      <c r="M515" s="166"/>
      <c r="N515" s="166"/>
      <c r="O515" s="166"/>
      <c r="P515" s="166"/>
      <c r="Q515" s="166"/>
      <c r="R515" s="166"/>
      <c r="S515" s="167"/>
      <c r="T515" s="167"/>
      <c r="U515" s="167"/>
      <c r="V515" s="167"/>
      <c r="W515" s="167"/>
      <c r="X515" s="164"/>
      <c r="Y515" s="164"/>
      <c r="Z515" s="172"/>
      <c r="AA515" s="188"/>
      <c r="AB515" s="172"/>
      <c r="AC515" s="172"/>
      <c r="AD515" s="175"/>
      <c r="AE515" s="62" t="s">
        <v>153</v>
      </c>
      <c r="AF515" s="133"/>
      <c r="AG515" s="65"/>
      <c r="AH515" s="64"/>
      <c r="AI515" s="64"/>
      <c r="AJ515" s="64"/>
      <c r="AK515" s="64"/>
      <c r="AL515" s="64"/>
      <c r="AM515" s="80" t="str">
        <f>IFERROR((Tablas!$C$1*VLOOKUP(AH515, tipo_control, 2, 0)+Tablas!$E$1*VLOOKUP(AI515, nat_control, 2, 0)+Tablas!$G$1*VLOOKUP(AJ515, ev_control, 2, 0)+Tablas!$I$1*VLOOKUP(AK515, frec_control, 2, 0)+Tablas!$K$1*VLOOKUP(AL515, doc_control, 2, 0))*0.1*peso_dis, "")</f>
        <v/>
      </c>
      <c r="AN515" s="64"/>
      <c r="AO515" s="64"/>
      <c r="AP515" s="64"/>
      <c r="AQ515" s="80" t="str">
        <f>IFERROR((Tablas!$C$9*VLOOKUP(AN515, amb_control, 2, 0)+Tablas!$E$9*VLOOKUP(AO515, ejec_control, 2, 0)+Tablas!$G$9*VLOOKUP(AP515, cub_control, 2, 0))*0.1*peso_ejec, "")</f>
        <v/>
      </c>
      <c r="AR515" s="91" t="str">
        <f t="shared" si="877"/>
        <v/>
      </c>
      <c r="AS515" s="85" t="str">
        <f t="shared" si="797"/>
        <v/>
      </c>
      <c r="AT515" s="85" t="str">
        <f t="shared" si="798"/>
        <v/>
      </c>
      <c r="AU515" s="85" t="str">
        <f>IF(AR515&lt;Tablas!$G$19, 0, IF(AND(AR515&gt;=Tablas!$G$19, AR515&lt;Tablas!$G$20), 1,  IF(AND(AR515&gt;=Tablas!$G$20, AR515&lt;Tablas!$G$21), 2,  IF(AND(AR515&gt;=Tablas!$G$21, AR515&lt;=Tablas!$G$22), 3,  ""))))</f>
        <v/>
      </c>
      <c r="AV515" s="85" t="str">
        <f t="shared" si="878"/>
        <v/>
      </c>
      <c r="AW515" s="101" t="str">
        <f t="shared" si="879"/>
        <v/>
      </c>
      <c r="AX515" s="177"/>
      <c r="AY515" s="169"/>
      <c r="AZ515" s="158"/>
      <c r="BA515" s="169"/>
      <c r="BB515" s="182"/>
      <c r="BC515" s="182"/>
      <c r="BD515" s="185"/>
      <c r="BE515" s="185"/>
      <c r="BF515" s="158"/>
      <c r="BG515" s="191"/>
    </row>
    <row r="516" spans="1:59" ht="15.75" thickBot="1" x14ac:dyDescent="0.3">
      <c r="A516" s="167"/>
      <c r="B516" s="167"/>
      <c r="C516" s="161"/>
      <c r="D516" s="160"/>
      <c r="E516" s="162"/>
      <c r="F516" s="165"/>
      <c r="G516" s="161"/>
      <c r="H516" s="161"/>
      <c r="I516" s="161"/>
      <c r="J516" s="161"/>
      <c r="K516" s="161"/>
      <c r="L516" s="166"/>
      <c r="M516" s="166"/>
      <c r="N516" s="166"/>
      <c r="O516" s="166"/>
      <c r="P516" s="166"/>
      <c r="Q516" s="166"/>
      <c r="R516" s="166"/>
      <c r="S516" s="149"/>
      <c r="T516" s="149"/>
      <c r="U516" s="149"/>
      <c r="V516" s="149"/>
      <c r="W516" s="149"/>
      <c r="X516" s="165"/>
      <c r="Y516" s="165"/>
      <c r="Z516" s="172"/>
      <c r="AA516" s="188"/>
      <c r="AB516" s="172"/>
      <c r="AC516" s="172"/>
      <c r="AD516" s="175"/>
      <c r="AE516" s="66" t="s">
        <v>154</v>
      </c>
      <c r="AF516" s="134"/>
      <c r="AG516" s="67"/>
      <c r="AH516" s="69"/>
      <c r="AI516" s="69"/>
      <c r="AJ516" s="69"/>
      <c r="AK516" s="69"/>
      <c r="AL516" s="69"/>
      <c r="AM516" s="81" t="str">
        <f>IFERROR((Tablas!$C$1*VLOOKUP(AH516, tipo_control, 2, 0)+Tablas!$E$1*VLOOKUP(AI516, nat_control, 2, 0)+Tablas!$G$1*VLOOKUP(AJ516, ev_control, 2, 0)+Tablas!$I$1*VLOOKUP(AK516, frec_control, 2, 0)+Tablas!$K$1*VLOOKUP(AL516, doc_control, 2, 0))*0.1*peso_dis, "")</f>
        <v/>
      </c>
      <c r="AN516" s="69"/>
      <c r="AO516" s="69"/>
      <c r="AP516" s="69"/>
      <c r="AQ516" s="81" t="str">
        <f>IFERROR((Tablas!$C$9*VLOOKUP(AN516, amb_control, 2, 0)+Tablas!$E$9*VLOOKUP(AO516, ejec_control, 2, 0)+Tablas!$G$9*VLOOKUP(AP516, cub_control, 2, 0))*0.1*peso_ejec, "")</f>
        <v/>
      </c>
      <c r="AR516" s="93" t="str">
        <f t="shared" si="877"/>
        <v/>
      </c>
      <c r="AS516" s="94" t="str">
        <f t="shared" si="797"/>
        <v/>
      </c>
      <c r="AT516" s="94" t="str">
        <f t="shared" si="798"/>
        <v/>
      </c>
      <c r="AU516" s="94" t="str">
        <f>IF(AR516&lt;Tablas!$G$19, 0, IF(AND(AR516&gt;=Tablas!$G$19, AR516&lt;Tablas!$G$20), 1,  IF(AND(AR516&gt;=Tablas!$G$20, AR516&lt;Tablas!$G$21), 2,  IF(AND(AR516&gt;=Tablas!$G$21, AR516&lt;=Tablas!$G$22), 3,  ""))))</f>
        <v/>
      </c>
      <c r="AV516" s="94" t="str">
        <f t="shared" si="878"/>
        <v/>
      </c>
      <c r="AW516" s="102" t="str">
        <f t="shared" si="879"/>
        <v/>
      </c>
      <c r="AX516" s="157"/>
      <c r="AY516" s="170"/>
      <c r="AZ516" s="179"/>
      <c r="BA516" s="170"/>
      <c r="BB516" s="182"/>
      <c r="BC516" s="182"/>
      <c r="BD516" s="185"/>
      <c r="BE516" s="185"/>
      <c r="BF516" s="159"/>
      <c r="BG516" s="191"/>
    </row>
    <row r="517" spans="1:59" x14ac:dyDescent="0.25">
      <c r="A517" s="167"/>
      <c r="B517" s="167"/>
      <c r="C517" s="161" t="s">
        <v>16</v>
      </c>
      <c r="D517" s="160" t="s">
        <v>158</v>
      </c>
      <c r="E517" s="162"/>
      <c r="F517" s="163" t="str">
        <f t="shared" si="791"/>
        <v/>
      </c>
      <c r="G517" s="149"/>
      <c r="H517" s="149"/>
      <c r="I517" s="149"/>
      <c r="J517" s="149"/>
      <c r="K517" s="149"/>
      <c r="L517" s="165" t="str">
        <f>IFERROR(VLOOKUP(G517, tabla02, 2, 0), "")</f>
        <v/>
      </c>
      <c r="M517" s="165" t="str">
        <f>IFERROR(VLOOKUP(H517, tabla02, 2, 0), "")</f>
        <v/>
      </c>
      <c r="N517" s="165" t="str">
        <f>IFERROR(VLOOKUP(I517, tabla02, 2, 0), "")</f>
        <v/>
      </c>
      <c r="O517" s="165" t="str">
        <f>IFERROR(VLOOKUP(J517, tabla02, 2, 0), "")</f>
        <v/>
      </c>
      <c r="P517" s="165" t="str">
        <f>IFERROR(VLOOKUP(K517, tabla02, 2, 0), "")</f>
        <v/>
      </c>
      <c r="Q517" s="165" t="str">
        <f t="shared" ref="Q517" si="885">IF(SUM(L517:O521)=0, "", MAX(L517:P517))</f>
        <v/>
      </c>
      <c r="R517" s="165" t="str">
        <f>IFERROR(VLOOKUP(Q517, tabla04, 3, 0), "")</f>
        <v/>
      </c>
      <c r="S517" s="148"/>
      <c r="T517" s="148"/>
      <c r="U517" s="148"/>
      <c r="V517" s="148"/>
      <c r="W517" s="148"/>
      <c r="X517" s="163" t="str">
        <f>IFERROR(VLOOKUP(CONCATENATE(F517, "-", Q517), cuadrante_sev, 3, 0), "")</f>
        <v/>
      </c>
      <c r="Y517" s="163" t="str">
        <f t="shared" ref="Y517" si="886">IFERROR(IF(X517="Baja", 1, IF(X517="Moderada", 2, IF(X517="Alta", 3, IF(X517="Extrema", 4, "")))), "")</f>
        <v/>
      </c>
      <c r="Z517" s="172"/>
      <c r="AA517" s="188"/>
      <c r="AB517" s="172"/>
      <c r="AC517" s="172"/>
      <c r="AD517" s="175"/>
      <c r="AE517" s="70" t="s">
        <v>113</v>
      </c>
      <c r="AF517" s="135"/>
      <c r="AG517" s="77"/>
      <c r="AH517" s="61"/>
      <c r="AI517" s="61"/>
      <c r="AJ517" s="61"/>
      <c r="AK517" s="61"/>
      <c r="AL517" s="61"/>
      <c r="AM517" s="82" t="str">
        <f>IFERROR((Tablas!$C$1*VLOOKUP(AH517, tipo_control, 2, 0)+Tablas!$E$1*VLOOKUP(AI517, nat_control, 2, 0)+Tablas!$G$1*VLOOKUP(AJ517, ev_control, 2, 0)+Tablas!$I$1*VLOOKUP(AK517, frec_control, 2, 0)+Tablas!$K$1*VLOOKUP(AL517, doc_control, 2, 0))*0.1*peso_dis, "")</f>
        <v/>
      </c>
      <c r="AN517" s="61"/>
      <c r="AO517" s="61"/>
      <c r="AP517" s="61"/>
      <c r="AQ517" s="82" t="str">
        <f>IFERROR((Tablas!$C$9*VLOOKUP(AN517, amb_control, 2, 0)+Tablas!$E$9*VLOOKUP(AO517, ejec_control, 2, 0)+Tablas!$G$9*VLOOKUP(AP517, cub_control, 2, 0))*0.1*peso_ejec, "")</f>
        <v/>
      </c>
      <c r="AR517" s="96" t="str">
        <f t="shared" si="877"/>
        <v/>
      </c>
      <c r="AS517" s="97" t="str">
        <f t="shared" si="797"/>
        <v/>
      </c>
      <c r="AT517" s="87" t="str">
        <f t="shared" si="798"/>
        <v/>
      </c>
      <c r="AU517" s="97" t="str">
        <f>IF(AR517&lt;Tablas!$G$19, 0, IF(AND(AR517&gt;=Tablas!$G$19, AR517&lt;Tablas!$G$20), 1,  IF(AND(AR517&gt;=Tablas!$G$20, AR517&lt;Tablas!$G$21), 2,  IF(AND(AR517&gt;=Tablas!$G$21, AR517&lt;=Tablas!$G$22), 3,  ""))))</f>
        <v/>
      </c>
      <c r="AV517" s="97" t="str">
        <f t="shared" si="878"/>
        <v/>
      </c>
      <c r="AW517" s="103" t="str">
        <f t="shared" si="879"/>
        <v/>
      </c>
      <c r="AX517" s="176" t="str">
        <f t="shared" ref="AX517" si="887">IFERROR(VLOOKUP(AY517, tabla04, 2, 0), "")</f>
        <v/>
      </c>
      <c r="AY517" s="168" t="str">
        <f>IF(F517="", "", IF((F517-MAX(AV517:AV521))&lt;=0, 1, F517-MAX(AV517:AV521)))</f>
        <v/>
      </c>
      <c r="AZ517" s="178" t="str">
        <f t="shared" ref="AZ517" si="888">IFERROR(VLOOKUP(BA517, tabla04, 3, 0), "")</f>
        <v/>
      </c>
      <c r="BA517" s="168" t="str">
        <f>IF(Q517="", "", IF((Q517-MAX(AW517:AW521))&lt;=0, 1, Q517-MAX(AW517:AW521)))</f>
        <v/>
      </c>
      <c r="BB517" s="182"/>
      <c r="BC517" s="182"/>
      <c r="BD517" s="185"/>
      <c r="BE517" s="185"/>
      <c r="BF517" s="158" t="str">
        <f t="shared" ref="BF517:BF519" si="889">IFERROR(VLOOKUP(CONCATENATE(AY517, "-", BA517), cuadrante_sev, 3, 0), "")</f>
        <v/>
      </c>
      <c r="BG517" s="191"/>
    </row>
    <row r="518" spans="1:59" x14ac:dyDescent="0.25">
      <c r="A518" s="167"/>
      <c r="B518" s="167"/>
      <c r="C518" s="161"/>
      <c r="D518" s="160"/>
      <c r="E518" s="162"/>
      <c r="F518" s="164"/>
      <c r="G518" s="161"/>
      <c r="H518" s="161"/>
      <c r="I518" s="161"/>
      <c r="J518" s="161"/>
      <c r="K518" s="161"/>
      <c r="L518" s="166"/>
      <c r="M518" s="166"/>
      <c r="N518" s="166"/>
      <c r="O518" s="166"/>
      <c r="P518" s="166"/>
      <c r="Q518" s="166"/>
      <c r="R518" s="166"/>
      <c r="S518" s="167"/>
      <c r="T518" s="167"/>
      <c r="U518" s="167"/>
      <c r="V518" s="167"/>
      <c r="W518" s="167"/>
      <c r="X518" s="164"/>
      <c r="Y518" s="164"/>
      <c r="Z518" s="172"/>
      <c r="AA518" s="188"/>
      <c r="AB518" s="172"/>
      <c r="AC518" s="172"/>
      <c r="AD518" s="175"/>
      <c r="AE518" s="62" t="s">
        <v>114</v>
      </c>
      <c r="AF518" s="133"/>
      <c r="AG518" s="65"/>
      <c r="AH518" s="64"/>
      <c r="AI518" s="64"/>
      <c r="AJ518" s="64"/>
      <c r="AK518" s="64"/>
      <c r="AL518" s="64"/>
      <c r="AM518" s="80" t="str">
        <f>IFERROR((Tablas!$C$1*VLOOKUP(AH518, tipo_control, 2, 0)+Tablas!$E$1*VLOOKUP(AI518, nat_control, 2, 0)+Tablas!$G$1*VLOOKUP(AJ518, ev_control, 2, 0)+Tablas!$I$1*VLOOKUP(AK518, frec_control, 2, 0)+Tablas!$K$1*VLOOKUP(AL518, doc_control, 2, 0))*0.1*peso_dis, "")</f>
        <v/>
      </c>
      <c r="AN518" s="64"/>
      <c r="AO518" s="64"/>
      <c r="AP518" s="64"/>
      <c r="AQ518" s="80" t="str">
        <f>IFERROR((Tablas!$C$9*VLOOKUP(AN518, amb_control, 2, 0)+Tablas!$E$9*VLOOKUP(AO518, ejec_control, 2, 0)+Tablas!$G$9*VLOOKUP(AP518, cub_control, 2, 0))*0.1*peso_ejec, "")</f>
        <v/>
      </c>
      <c r="AR518" s="91" t="str">
        <f t="shared" si="877"/>
        <v/>
      </c>
      <c r="AS518" s="85" t="str">
        <f t="shared" si="797"/>
        <v/>
      </c>
      <c r="AT518" s="85" t="str">
        <f t="shared" si="798"/>
        <v/>
      </c>
      <c r="AU518" s="85" t="str">
        <f>IF(AR518&lt;Tablas!$G$19, 0, IF(AND(AR518&gt;=Tablas!$G$19, AR518&lt;Tablas!$G$20), 1,  IF(AND(AR518&gt;=Tablas!$G$20, AR518&lt;Tablas!$G$21), 2,  IF(AND(AR518&gt;=Tablas!$G$21, AR518&lt;=Tablas!$G$22), 3,  ""))))</f>
        <v/>
      </c>
      <c r="AV518" s="85" t="str">
        <f t="shared" si="878"/>
        <v/>
      </c>
      <c r="AW518" s="101" t="str">
        <f t="shared" si="879"/>
        <v/>
      </c>
      <c r="AX518" s="177"/>
      <c r="AY518" s="169"/>
      <c r="AZ518" s="158"/>
      <c r="BA518" s="169"/>
      <c r="BB518" s="182"/>
      <c r="BC518" s="182"/>
      <c r="BD518" s="185"/>
      <c r="BE518" s="185"/>
      <c r="BF518" s="158" t="str">
        <f t="shared" si="889"/>
        <v/>
      </c>
      <c r="BG518" s="191"/>
    </row>
    <row r="519" spans="1:59" x14ac:dyDescent="0.25">
      <c r="A519" s="167"/>
      <c r="B519" s="167"/>
      <c r="C519" s="161"/>
      <c r="D519" s="160"/>
      <c r="E519" s="162"/>
      <c r="F519" s="164"/>
      <c r="G519" s="161"/>
      <c r="H519" s="161"/>
      <c r="I519" s="161"/>
      <c r="J519" s="161"/>
      <c r="K519" s="161"/>
      <c r="L519" s="166"/>
      <c r="M519" s="166"/>
      <c r="N519" s="166"/>
      <c r="O519" s="166"/>
      <c r="P519" s="166"/>
      <c r="Q519" s="166"/>
      <c r="R519" s="166"/>
      <c r="S519" s="167"/>
      <c r="T519" s="167"/>
      <c r="U519" s="167"/>
      <c r="V519" s="167"/>
      <c r="W519" s="167"/>
      <c r="X519" s="164"/>
      <c r="Y519" s="164"/>
      <c r="Z519" s="172"/>
      <c r="AA519" s="188"/>
      <c r="AB519" s="172"/>
      <c r="AC519" s="172"/>
      <c r="AD519" s="175"/>
      <c r="AE519" s="62" t="s">
        <v>115</v>
      </c>
      <c r="AF519" s="133"/>
      <c r="AG519" s="65"/>
      <c r="AH519" s="64"/>
      <c r="AI519" s="64"/>
      <c r="AJ519" s="64"/>
      <c r="AK519" s="64"/>
      <c r="AL519" s="64"/>
      <c r="AM519" s="80" t="str">
        <f>IFERROR((Tablas!$C$1*VLOOKUP(AH519, tipo_control, 2, 0)+Tablas!$E$1*VLOOKUP(AI519, nat_control, 2, 0)+Tablas!$G$1*VLOOKUP(AJ519, ev_control, 2, 0)+Tablas!$I$1*VLOOKUP(AK519, frec_control, 2, 0)+Tablas!$K$1*VLOOKUP(AL519, doc_control, 2, 0))*0.1*peso_dis, "")</f>
        <v/>
      </c>
      <c r="AN519" s="64"/>
      <c r="AO519" s="64"/>
      <c r="AP519" s="64"/>
      <c r="AQ519" s="80" t="str">
        <f>IFERROR((Tablas!$C$9*VLOOKUP(AN519, amb_control, 2, 0)+Tablas!$E$9*VLOOKUP(AO519, ejec_control, 2, 0)+Tablas!$G$9*VLOOKUP(AP519, cub_control, 2, 0))*0.1*peso_ejec, "")</f>
        <v/>
      </c>
      <c r="AR519" s="91" t="str">
        <f t="shared" si="877"/>
        <v/>
      </c>
      <c r="AS519" s="85" t="str">
        <f t="shared" si="797"/>
        <v/>
      </c>
      <c r="AT519" s="85" t="str">
        <f t="shared" si="798"/>
        <v/>
      </c>
      <c r="AU519" s="85" t="str">
        <f>IF(AR519&lt;Tablas!$G$19, 0, IF(AND(AR519&gt;=Tablas!$G$19, AR519&lt;Tablas!$G$20), 1,  IF(AND(AR519&gt;=Tablas!$G$20, AR519&lt;Tablas!$G$21), 2,  IF(AND(AR519&gt;=Tablas!$G$21, AR519&lt;=Tablas!$G$22), 3,  ""))))</f>
        <v/>
      </c>
      <c r="AV519" s="85" t="str">
        <f t="shared" si="878"/>
        <v/>
      </c>
      <c r="AW519" s="101" t="str">
        <f t="shared" si="879"/>
        <v/>
      </c>
      <c r="AX519" s="177"/>
      <c r="AY519" s="169"/>
      <c r="AZ519" s="158"/>
      <c r="BA519" s="169"/>
      <c r="BB519" s="182"/>
      <c r="BC519" s="182"/>
      <c r="BD519" s="185"/>
      <c r="BE519" s="185"/>
      <c r="BF519" s="158" t="str">
        <f t="shared" si="889"/>
        <v/>
      </c>
      <c r="BG519" s="191"/>
    </row>
    <row r="520" spans="1:59" x14ac:dyDescent="0.25">
      <c r="A520" s="167"/>
      <c r="B520" s="167"/>
      <c r="C520" s="161"/>
      <c r="D520" s="160"/>
      <c r="E520" s="162"/>
      <c r="F520" s="164"/>
      <c r="G520" s="161"/>
      <c r="H520" s="161"/>
      <c r="I520" s="161"/>
      <c r="J520" s="161"/>
      <c r="K520" s="161"/>
      <c r="L520" s="166"/>
      <c r="M520" s="166"/>
      <c r="N520" s="166"/>
      <c r="O520" s="166"/>
      <c r="P520" s="166"/>
      <c r="Q520" s="166"/>
      <c r="R520" s="166"/>
      <c r="S520" s="167"/>
      <c r="T520" s="167"/>
      <c r="U520" s="167"/>
      <c r="V520" s="167"/>
      <c r="W520" s="167"/>
      <c r="X520" s="164"/>
      <c r="Y520" s="164"/>
      <c r="Z520" s="172"/>
      <c r="AA520" s="188"/>
      <c r="AB520" s="172"/>
      <c r="AC520" s="172"/>
      <c r="AD520" s="175"/>
      <c r="AE520" s="62" t="s">
        <v>153</v>
      </c>
      <c r="AF520" s="133"/>
      <c r="AG520" s="65"/>
      <c r="AH520" s="64"/>
      <c r="AI520" s="64"/>
      <c r="AJ520" s="64"/>
      <c r="AK520" s="64"/>
      <c r="AL520" s="64"/>
      <c r="AM520" s="80" t="str">
        <f>IFERROR((Tablas!$C$1*VLOOKUP(AH520, tipo_control, 2, 0)+Tablas!$E$1*VLOOKUP(AI520, nat_control, 2, 0)+Tablas!$G$1*VLOOKUP(AJ520, ev_control, 2, 0)+Tablas!$I$1*VLOOKUP(AK520, frec_control, 2, 0)+Tablas!$K$1*VLOOKUP(AL520, doc_control, 2, 0))*0.1*peso_dis, "")</f>
        <v/>
      </c>
      <c r="AN520" s="64"/>
      <c r="AO520" s="64"/>
      <c r="AP520" s="64"/>
      <c r="AQ520" s="80" t="str">
        <f>IFERROR((Tablas!$C$9*VLOOKUP(AN520, amb_control, 2, 0)+Tablas!$E$9*VLOOKUP(AO520, ejec_control, 2, 0)+Tablas!$G$9*VLOOKUP(AP520, cub_control, 2, 0))*0.1*peso_ejec, "")</f>
        <v/>
      </c>
      <c r="AR520" s="91" t="str">
        <f t="shared" si="877"/>
        <v/>
      </c>
      <c r="AS520" s="85" t="str">
        <f t="shared" si="797"/>
        <v/>
      </c>
      <c r="AT520" s="85" t="str">
        <f t="shared" si="798"/>
        <v/>
      </c>
      <c r="AU520" s="85" t="str">
        <f>IF(AR520&lt;Tablas!$G$19, 0, IF(AND(AR520&gt;=Tablas!$G$19, AR520&lt;Tablas!$G$20), 1,  IF(AND(AR520&gt;=Tablas!$G$20, AR520&lt;Tablas!$G$21), 2,  IF(AND(AR520&gt;=Tablas!$G$21, AR520&lt;=Tablas!$G$22), 3,  ""))))</f>
        <v/>
      </c>
      <c r="AV520" s="85" t="str">
        <f t="shared" si="878"/>
        <v/>
      </c>
      <c r="AW520" s="101" t="str">
        <f t="shared" si="879"/>
        <v/>
      </c>
      <c r="AX520" s="177"/>
      <c r="AY520" s="169"/>
      <c r="AZ520" s="158"/>
      <c r="BA520" s="169"/>
      <c r="BB520" s="182"/>
      <c r="BC520" s="182"/>
      <c r="BD520" s="185"/>
      <c r="BE520" s="185"/>
      <c r="BF520" s="158"/>
      <c r="BG520" s="191"/>
    </row>
    <row r="521" spans="1:59" ht="15.75" thickBot="1" x14ac:dyDescent="0.3">
      <c r="A521" s="167"/>
      <c r="B521" s="167"/>
      <c r="C521" s="161"/>
      <c r="D521" s="160"/>
      <c r="E521" s="162"/>
      <c r="F521" s="165"/>
      <c r="G521" s="161"/>
      <c r="H521" s="161"/>
      <c r="I521" s="161"/>
      <c r="J521" s="161"/>
      <c r="K521" s="161"/>
      <c r="L521" s="166"/>
      <c r="M521" s="166"/>
      <c r="N521" s="166"/>
      <c r="O521" s="166"/>
      <c r="P521" s="166"/>
      <c r="Q521" s="166"/>
      <c r="R521" s="166"/>
      <c r="S521" s="149"/>
      <c r="T521" s="149"/>
      <c r="U521" s="149"/>
      <c r="V521" s="149"/>
      <c r="W521" s="149"/>
      <c r="X521" s="165"/>
      <c r="Y521" s="165"/>
      <c r="Z521" s="172"/>
      <c r="AA521" s="188"/>
      <c r="AB521" s="172"/>
      <c r="AC521" s="172"/>
      <c r="AD521" s="175"/>
      <c r="AE521" s="66" t="s">
        <v>154</v>
      </c>
      <c r="AF521" s="134"/>
      <c r="AG521" s="67"/>
      <c r="AH521" s="69"/>
      <c r="AI521" s="69"/>
      <c r="AJ521" s="69"/>
      <c r="AK521" s="69"/>
      <c r="AL521" s="69"/>
      <c r="AM521" s="81" t="str">
        <f>IFERROR((Tablas!$C$1*VLOOKUP(AH521, tipo_control, 2, 0)+Tablas!$E$1*VLOOKUP(AI521, nat_control, 2, 0)+Tablas!$G$1*VLOOKUP(AJ521, ev_control, 2, 0)+Tablas!$I$1*VLOOKUP(AK521, frec_control, 2, 0)+Tablas!$K$1*VLOOKUP(AL521, doc_control, 2, 0))*0.1*peso_dis, "")</f>
        <v/>
      </c>
      <c r="AN521" s="69"/>
      <c r="AO521" s="69"/>
      <c r="AP521" s="69"/>
      <c r="AQ521" s="81" t="str">
        <f>IFERROR((Tablas!$C$9*VLOOKUP(AN521, amb_control, 2, 0)+Tablas!$E$9*VLOOKUP(AO521, ejec_control, 2, 0)+Tablas!$G$9*VLOOKUP(AP521, cub_control, 2, 0))*0.1*peso_ejec, "")</f>
        <v/>
      </c>
      <c r="AR521" s="93" t="str">
        <f t="shared" si="877"/>
        <v/>
      </c>
      <c r="AS521" s="94" t="str">
        <f t="shared" si="797"/>
        <v/>
      </c>
      <c r="AT521" s="94" t="str">
        <f t="shared" si="798"/>
        <v/>
      </c>
      <c r="AU521" s="94" t="str">
        <f>IF(AR521&lt;Tablas!$G$19, 0, IF(AND(AR521&gt;=Tablas!$G$19, AR521&lt;Tablas!$G$20), 1,  IF(AND(AR521&gt;=Tablas!$G$20, AR521&lt;Tablas!$G$21), 2,  IF(AND(AR521&gt;=Tablas!$G$21, AR521&lt;=Tablas!$G$22), 3,  ""))))</f>
        <v/>
      </c>
      <c r="AV521" s="94" t="str">
        <f t="shared" si="878"/>
        <v/>
      </c>
      <c r="AW521" s="102" t="str">
        <f t="shared" si="879"/>
        <v/>
      </c>
      <c r="AX521" s="157"/>
      <c r="AY521" s="170"/>
      <c r="AZ521" s="179"/>
      <c r="BA521" s="170"/>
      <c r="BB521" s="182"/>
      <c r="BC521" s="182"/>
      <c r="BD521" s="185"/>
      <c r="BE521" s="185"/>
      <c r="BF521" s="159"/>
      <c r="BG521" s="191"/>
    </row>
    <row r="522" spans="1:59" x14ac:dyDescent="0.25">
      <c r="A522" s="167"/>
      <c r="B522" s="167"/>
      <c r="C522" s="161" t="s">
        <v>18</v>
      </c>
      <c r="D522" s="160" t="s">
        <v>158</v>
      </c>
      <c r="E522" s="162"/>
      <c r="F522" s="163" t="str">
        <f t="shared" si="791"/>
        <v/>
      </c>
      <c r="G522" s="149"/>
      <c r="H522" s="149"/>
      <c r="I522" s="149"/>
      <c r="J522" s="149"/>
      <c r="K522" s="149"/>
      <c r="L522" s="165" t="str">
        <f t="shared" ref="L522" si="890">IFERROR(VLOOKUP(G522, tabla02, 2, 0), "")</f>
        <v/>
      </c>
      <c r="M522" s="165" t="str">
        <f t="shared" ref="M522" si="891">IFERROR(VLOOKUP(H522, tabla02, 2, 0), "")</f>
        <v/>
      </c>
      <c r="N522" s="165" t="str">
        <f t="shared" ref="N522" si="892">IFERROR(VLOOKUP(I522, tabla02, 2, 0), "")</f>
        <v/>
      </c>
      <c r="O522" s="165" t="str">
        <f t="shared" ref="O522" si="893">IFERROR(VLOOKUP(J522, tabla02, 2, 0), "")</f>
        <v/>
      </c>
      <c r="P522" s="165" t="str">
        <f t="shared" ref="P522" si="894">IFERROR(VLOOKUP(K522, tabla02, 2, 0), "")</f>
        <v/>
      </c>
      <c r="Q522" s="165" t="str">
        <f t="shared" ref="Q522" si="895">IF(SUM(L522:O526)=0, "", MAX(L522:P522))</f>
        <v/>
      </c>
      <c r="R522" s="165" t="str">
        <f>IFERROR(VLOOKUP(Q522, tabla04, 3, 0), "")</f>
        <v/>
      </c>
      <c r="S522" s="148"/>
      <c r="T522" s="148"/>
      <c r="U522" s="148"/>
      <c r="V522" s="148"/>
      <c r="W522" s="148"/>
      <c r="X522" s="163" t="str">
        <f>IFERROR(VLOOKUP(CONCATENATE(F522, "-", Q522), cuadrante_sev, 3, 0), "")</f>
        <v/>
      </c>
      <c r="Y522" s="163" t="str">
        <f t="shared" ref="Y522" si="896">IFERROR(IF(X522="Baja", 1, IF(X522="Moderada", 2, IF(X522="Alta", 3, IF(X522="Extrema", 4, "")))), "")</f>
        <v/>
      </c>
      <c r="Z522" s="172"/>
      <c r="AA522" s="188"/>
      <c r="AB522" s="172"/>
      <c r="AC522" s="172"/>
      <c r="AD522" s="175"/>
      <c r="AE522" s="70" t="s">
        <v>113</v>
      </c>
      <c r="AF522" s="135"/>
      <c r="AG522" s="77"/>
      <c r="AH522" s="61"/>
      <c r="AI522" s="61"/>
      <c r="AJ522" s="61"/>
      <c r="AK522" s="61"/>
      <c r="AL522" s="61"/>
      <c r="AM522" s="82" t="str">
        <f>IFERROR((Tablas!$C$1*VLOOKUP(AH522, tipo_control, 2, 0)+Tablas!$E$1*VLOOKUP(AI522, nat_control, 2, 0)+Tablas!$G$1*VLOOKUP(AJ522, ev_control, 2, 0)+Tablas!$I$1*VLOOKUP(AK522, frec_control, 2, 0)+Tablas!$K$1*VLOOKUP(AL522, doc_control, 2, 0))*0.1*peso_dis, "")</f>
        <v/>
      </c>
      <c r="AN522" s="61"/>
      <c r="AO522" s="61"/>
      <c r="AP522" s="61"/>
      <c r="AQ522" s="82" t="str">
        <f>IFERROR((Tablas!$C$9*VLOOKUP(AN522, amb_control, 2, 0)+Tablas!$E$9*VLOOKUP(AO522, ejec_control, 2, 0)+Tablas!$G$9*VLOOKUP(AP522, cub_control, 2, 0))*0.1*peso_ejec, "")</f>
        <v/>
      </c>
      <c r="AR522" s="96" t="str">
        <f t="shared" si="877"/>
        <v/>
      </c>
      <c r="AS522" s="97" t="str">
        <f t="shared" si="797"/>
        <v/>
      </c>
      <c r="AT522" s="87" t="str">
        <f t="shared" si="798"/>
        <v/>
      </c>
      <c r="AU522" s="97" t="str">
        <f>IF(AR522&lt;Tablas!$G$19, 0, IF(AND(AR522&gt;=Tablas!$G$19, AR522&lt;Tablas!$G$20), 1,  IF(AND(AR522&gt;=Tablas!$G$20, AR522&lt;Tablas!$G$21), 2,  IF(AND(AR522&gt;=Tablas!$G$21, AR522&lt;=Tablas!$G$22), 3,  ""))))</f>
        <v/>
      </c>
      <c r="AV522" s="97" t="str">
        <f t="shared" si="878"/>
        <v/>
      </c>
      <c r="AW522" s="103" t="str">
        <f t="shared" si="879"/>
        <v/>
      </c>
      <c r="AX522" s="176" t="str">
        <f t="shared" ref="AX522" si="897">IFERROR(VLOOKUP(AY522, tabla04, 2, 0), "")</f>
        <v/>
      </c>
      <c r="AY522" s="168" t="str">
        <f>IF(F522="", "", IF((F522-MAX(AV522:AV526))&lt;=0, 1, F522-MAX(AV522:AV526)))</f>
        <v/>
      </c>
      <c r="AZ522" s="178" t="str">
        <f t="shared" ref="AZ522" si="898">IFERROR(VLOOKUP(BA522, tabla04, 3, 0), "")</f>
        <v/>
      </c>
      <c r="BA522" s="168" t="str">
        <f>IF(Q522="", "", IF((Q522-MAX(AW522:AW526))&lt;=0, 1, Q522-MAX(AW522:AW526)))</f>
        <v/>
      </c>
      <c r="BB522" s="182"/>
      <c r="BC522" s="182"/>
      <c r="BD522" s="185"/>
      <c r="BE522" s="185"/>
      <c r="BF522" s="158" t="str">
        <f t="shared" ref="BF522:BF524" si="899">IFERROR(VLOOKUP(CONCATENATE(AY522, "-", BA522), cuadrante_sev, 3, 0), "")</f>
        <v/>
      </c>
      <c r="BG522" s="191"/>
    </row>
    <row r="523" spans="1:59" x14ac:dyDescent="0.25">
      <c r="A523" s="167"/>
      <c r="B523" s="167"/>
      <c r="C523" s="161"/>
      <c r="D523" s="160"/>
      <c r="E523" s="162"/>
      <c r="F523" s="164"/>
      <c r="G523" s="161"/>
      <c r="H523" s="161"/>
      <c r="I523" s="161"/>
      <c r="J523" s="161"/>
      <c r="K523" s="161"/>
      <c r="L523" s="166"/>
      <c r="M523" s="166"/>
      <c r="N523" s="166"/>
      <c r="O523" s="166"/>
      <c r="P523" s="166"/>
      <c r="Q523" s="166"/>
      <c r="R523" s="166"/>
      <c r="S523" s="167"/>
      <c r="T523" s="167"/>
      <c r="U523" s="167"/>
      <c r="V523" s="167"/>
      <c r="W523" s="167"/>
      <c r="X523" s="164"/>
      <c r="Y523" s="164"/>
      <c r="Z523" s="172"/>
      <c r="AA523" s="188"/>
      <c r="AB523" s="172"/>
      <c r="AC523" s="172"/>
      <c r="AD523" s="175"/>
      <c r="AE523" s="62" t="s">
        <v>114</v>
      </c>
      <c r="AF523" s="133"/>
      <c r="AG523" s="65"/>
      <c r="AH523" s="64"/>
      <c r="AI523" s="64"/>
      <c r="AJ523" s="64"/>
      <c r="AK523" s="64"/>
      <c r="AL523" s="64"/>
      <c r="AM523" s="80" t="str">
        <f>IFERROR((Tablas!$C$1*VLOOKUP(AH523, tipo_control, 2, 0)+Tablas!$E$1*VLOOKUP(AI523, nat_control, 2, 0)+Tablas!$G$1*VLOOKUP(AJ523, ev_control, 2, 0)+Tablas!$I$1*VLOOKUP(AK523, frec_control, 2, 0)+Tablas!$K$1*VLOOKUP(AL523, doc_control, 2, 0))*0.1*peso_dis, "")</f>
        <v/>
      </c>
      <c r="AN523" s="64"/>
      <c r="AO523" s="64"/>
      <c r="AP523" s="64"/>
      <c r="AQ523" s="80" t="str">
        <f>IFERROR((Tablas!$C$9*VLOOKUP(AN523, amb_control, 2, 0)+Tablas!$E$9*VLOOKUP(AO523, ejec_control, 2, 0)+Tablas!$G$9*VLOOKUP(AP523, cub_control, 2, 0))*0.1*peso_ejec, "")</f>
        <v/>
      </c>
      <c r="AR523" s="91" t="str">
        <f t="shared" si="877"/>
        <v/>
      </c>
      <c r="AS523" s="85" t="str">
        <f t="shared" si="797"/>
        <v/>
      </c>
      <c r="AT523" s="85" t="str">
        <f t="shared" si="798"/>
        <v/>
      </c>
      <c r="AU523" s="85" t="str">
        <f>IF(AR523&lt;Tablas!$G$19, 0, IF(AND(AR523&gt;=Tablas!$G$19, AR523&lt;Tablas!$G$20), 1,  IF(AND(AR523&gt;=Tablas!$G$20, AR523&lt;Tablas!$G$21), 2,  IF(AND(AR523&gt;=Tablas!$G$21, AR523&lt;=Tablas!$G$22), 3,  ""))))</f>
        <v/>
      </c>
      <c r="AV523" s="85" t="str">
        <f t="shared" si="878"/>
        <v/>
      </c>
      <c r="AW523" s="101" t="str">
        <f t="shared" si="879"/>
        <v/>
      </c>
      <c r="AX523" s="177"/>
      <c r="AY523" s="169"/>
      <c r="AZ523" s="158"/>
      <c r="BA523" s="169"/>
      <c r="BB523" s="182"/>
      <c r="BC523" s="182"/>
      <c r="BD523" s="185"/>
      <c r="BE523" s="185"/>
      <c r="BF523" s="158" t="str">
        <f t="shared" si="899"/>
        <v/>
      </c>
      <c r="BG523" s="191"/>
    </row>
    <row r="524" spans="1:59" x14ac:dyDescent="0.25">
      <c r="A524" s="167"/>
      <c r="B524" s="167"/>
      <c r="C524" s="161"/>
      <c r="D524" s="160"/>
      <c r="E524" s="162"/>
      <c r="F524" s="164"/>
      <c r="G524" s="161"/>
      <c r="H524" s="161"/>
      <c r="I524" s="161"/>
      <c r="J524" s="161"/>
      <c r="K524" s="161"/>
      <c r="L524" s="166"/>
      <c r="M524" s="166"/>
      <c r="N524" s="166"/>
      <c r="O524" s="166"/>
      <c r="P524" s="166"/>
      <c r="Q524" s="166"/>
      <c r="R524" s="166"/>
      <c r="S524" s="167"/>
      <c r="T524" s="167"/>
      <c r="U524" s="167"/>
      <c r="V524" s="167"/>
      <c r="W524" s="167"/>
      <c r="X524" s="164"/>
      <c r="Y524" s="164"/>
      <c r="Z524" s="172"/>
      <c r="AA524" s="188"/>
      <c r="AB524" s="172"/>
      <c r="AC524" s="172"/>
      <c r="AD524" s="175"/>
      <c r="AE524" s="62" t="s">
        <v>115</v>
      </c>
      <c r="AF524" s="133"/>
      <c r="AG524" s="65"/>
      <c r="AH524" s="64"/>
      <c r="AI524" s="64"/>
      <c r="AJ524" s="64"/>
      <c r="AK524" s="64"/>
      <c r="AL524" s="64"/>
      <c r="AM524" s="80" t="str">
        <f>IFERROR((Tablas!$C$1*VLOOKUP(AH524, tipo_control, 2, 0)+Tablas!$E$1*VLOOKUP(AI524, nat_control, 2, 0)+Tablas!$G$1*VLOOKUP(AJ524, ev_control, 2, 0)+Tablas!$I$1*VLOOKUP(AK524, frec_control, 2, 0)+Tablas!$K$1*VLOOKUP(AL524, doc_control, 2, 0))*0.1*peso_dis, "")</f>
        <v/>
      </c>
      <c r="AN524" s="64"/>
      <c r="AO524" s="64"/>
      <c r="AP524" s="64"/>
      <c r="AQ524" s="80" t="str">
        <f>IFERROR((Tablas!$C$9*VLOOKUP(AN524, amb_control, 2, 0)+Tablas!$E$9*VLOOKUP(AO524, ejec_control, 2, 0)+Tablas!$G$9*VLOOKUP(AP524, cub_control, 2, 0))*0.1*peso_ejec, "")</f>
        <v/>
      </c>
      <c r="AR524" s="91" t="str">
        <f t="shared" si="877"/>
        <v/>
      </c>
      <c r="AS524" s="85" t="str">
        <f t="shared" si="797"/>
        <v/>
      </c>
      <c r="AT524" s="85" t="str">
        <f t="shared" si="798"/>
        <v/>
      </c>
      <c r="AU524" s="85" t="str">
        <f>IF(AR524&lt;Tablas!$G$19, 0, IF(AND(AR524&gt;=Tablas!$G$19, AR524&lt;Tablas!$G$20), 1,  IF(AND(AR524&gt;=Tablas!$G$20, AR524&lt;Tablas!$G$21), 2,  IF(AND(AR524&gt;=Tablas!$G$21, AR524&lt;=Tablas!$G$22), 3,  ""))))</f>
        <v/>
      </c>
      <c r="AV524" s="85" t="str">
        <f t="shared" si="878"/>
        <v/>
      </c>
      <c r="AW524" s="101" t="str">
        <f t="shared" si="879"/>
        <v/>
      </c>
      <c r="AX524" s="177"/>
      <c r="AY524" s="169"/>
      <c r="AZ524" s="158"/>
      <c r="BA524" s="169"/>
      <c r="BB524" s="182"/>
      <c r="BC524" s="182"/>
      <c r="BD524" s="185"/>
      <c r="BE524" s="185"/>
      <c r="BF524" s="158" t="str">
        <f t="shared" si="899"/>
        <v/>
      </c>
      <c r="BG524" s="191"/>
    </row>
    <row r="525" spans="1:59" x14ac:dyDescent="0.25">
      <c r="A525" s="167"/>
      <c r="B525" s="167"/>
      <c r="C525" s="161"/>
      <c r="D525" s="160"/>
      <c r="E525" s="162"/>
      <c r="F525" s="164"/>
      <c r="G525" s="161"/>
      <c r="H525" s="161"/>
      <c r="I525" s="161"/>
      <c r="J525" s="161"/>
      <c r="K525" s="161"/>
      <c r="L525" s="166"/>
      <c r="M525" s="166"/>
      <c r="N525" s="166"/>
      <c r="O525" s="166"/>
      <c r="P525" s="166"/>
      <c r="Q525" s="166"/>
      <c r="R525" s="166"/>
      <c r="S525" s="167"/>
      <c r="T525" s="167"/>
      <c r="U525" s="167"/>
      <c r="V525" s="167"/>
      <c r="W525" s="167"/>
      <c r="X525" s="164"/>
      <c r="Y525" s="164"/>
      <c r="Z525" s="172"/>
      <c r="AA525" s="188"/>
      <c r="AB525" s="172"/>
      <c r="AC525" s="172"/>
      <c r="AD525" s="175"/>
      <c r="AE525" s="62" t="s">
        <v>153</v>
      </c>
      <c r="AF525" s="133"/>
      <c r="AG525" s="65"/>
      <c r="AH525" s="64"/>
      <c r="AI525" s="64"/>
      <c r="AJ525" s="64"/>
      <c r="AK525" s="64"/>
      <c r="AL525" s="64"/>
      <c r="AM525" s="80" t="str">
        <f>IFERROR((Tablas!$C$1*VLOOKUP(AH525, tipo_control, 2, 0)+Tablas!$E$1*VLOOKUP(AI525, nat_control, 2, 0)+Tablas!$G$1*VLOOKUP(AJ525, ev_control, 2, 0)+Tablas!$I$1*VLOOKUP(AK525, frec_control, 2, 0)+Tablas!$K$1*VLOOKUP(AL525, doc_control, 2, 0))*0.1*peso_dis, "")</f>
        <v/>
      </c>
      <c r="AN525" s="64"/>
      <c r="AO525" s="64"/>
      <c r="AP525" s="64"/>
      <c r="AQ525" s="80" t="str">
        <f>IFERROR((Tablas!$C$9*VLOOKUP(AN525, amb_control, 2, 0)+Tablas!$E$9*VLOOKUP(AO525, ejec_control, 2, 0)+Tablas!$G$9*VLOOKUP(AP525, cub_control, 2, 0))*0.1*peso_ejec, "")</f>
        <v/>
      </c>
      <c r="AR525" s="91" t="str">
        <f t="shared" si="877"/>
        <v/>
      </c>
      <c r="AS525" s="85" t="str">
        <f t="shared" si="797"/>
        <v/>
      </c>
      <c r="AT525" s="85" t="str">
        <f t="shared" si="798"/>
        <v/>
      </c>
      <c r="AU525" s="85" t="str">
        <f>IF(AR525&lt;Tablas!$G$19, 0, IF(AND(AR525&gt;=Tablas!$G$19, AR525&lt;Tablas!$G$20), 1,  IF(AND(AR525&gt;=Tablas!$G$20, AR525&lt;Tablas!$G$21), 2,  IF(AND(AR525&gt;=Tablas!$G$21, AR525&lt;=Tablas!$G$22), 3,  ""))))</f>
        <v/>
      </c>
      <c r="AV525" s="85" t="str">
        <f t="shared" si="878"/>
        <v/>
      </c>
      <c r="AW525" s="101" t="str">
        <f t="shared" si="879"/>
        <v/>
      </c>
      <c r="AX525" s="177"/>
      <c r="AY525" s="169"/>
      <c r="AZ525" s="158"/>
      <c r="BA525" s="169"/>
      <c r="BB525" s="182"/>
      <c r="BC525" s="182"/>
      <c r="BD525" s="185"/>
      <c r="BE525" s="185"/>
      <c r="BF525" s="158"/>
      <c r="BG525" s="191"/>
    </row>
    <row r="526" spans="1:59" ht="15.75" thickBot="1" x14ac:dyDescent="0.3">
      <c r="A526" s="167"/>
      <c r="B526" s="167"/>
      <c r="C526" s="161"/>
      <c r="D526" s="160"/>
      <c r="E526" s="162"/>
      <c r="F526" s="165"/>
      <c r="G526" s="161"/>
      <c r="H526" s="161"/>
      <c r="I526" s="161"/>
      <c r="J526" s="161"/>
      <c r="K526" s="161"/>
      <c r="L526" s="166"/>
      <c r="M526" s="166"/>
      <c r="N526" s="166"/>
      <c r="O526" s="166"/>
      <c r="P526" s="166"/>
      <c r="Q526" s="166"/>
      <c r="R526" s="166"/>
      <c r="S526" s="149"/>
      <c r="T526" s="149"/>
      <c r="U526" s="149"/>
      <c r="V526" s="149"/>
      <c r="W526" s="149"/>
      <c r="X526" s="165"/>
      <c r="Y526" s="165"/>
      <c r="Z526" s="172"/>
      <c r="AA526" s="188"/>
      <c r="AB526" s="172"/>
      <c r="AC526" s="172"/>
      <c r="AD526" s="175"/>
      <c r="AE526" s="66" t="s">
        <v>154</v>
      </c>
      <c r="AF526" s="134"/>
      <c r="AG526" s="67"/>
      <c r="AH526" s="69"/>
      <c r="AI526" s="69"/>
      <c r="AJ526" s="69"/>
      <c r="AK526" s="69"/>
      <c r="AL526" s="69"/>
      <c r="AM526" s="81" t="str">
        <f>IFERROR((Tablas!$C$1*VLOOKUP(AH526, tipo_control, 2, 0)+Tablas!$E$1*VLOOKUP(AI526, nat_control, 2, 0)+Tablas!$G$1*VLOOKUP(AJ526, ev_control, 2, 0)+Tablas!$I$1*VLOOKUP(AK526, frec_control, 2, 0)+Tablas!$K$1*VLOOKUP(AL526, doc_control, 2, 0))*0.1*peso_dis, "")</f>
        <v/>
      </c>
      <c r="AN526" s="69"/>
      <c r="AO526" s="69"/>
      <c r="AP526" s="69"/>
      <c r="AQ526" s="81" t="str">
        <f>IFERROR((Tablas!$C$9*VLOOKUP(AN526, amb_control, 2, 0)+Tablas!$E$9*VLOOKUP(AO526, ejec_control, 2, 0)+Tablas!$G$9*VLOOKUP(AP526, cub_control, 2, 0))*0.1*peso_ejec, "")</f>
        <v/>
      </c>
      <c r="AR526" s="93" t="str">
        <f t="shared" si="877"/>
        <v/>
      </c>
      <c r="AS526" s="94" t="str">
        <f t="shared" si="797"/>
        <v/>
      </c>
      <c r="AT526" s="94" t="str">
        <f t="shared" si="798"/>
        <v/>
      </c>
      <c r="AU526" s="94" t="str">
        <f>IF(AR526&lt;Tablas!$G$19, 0, IF(AND(AR526&gt;=Tablas!$G$19, AR526&lt;Tablas!$G$20), 1,  IF(AND(AR526&gt;=Tablas!$G$20, AR526&lt;Tablas!$G$21), 2,  IF(AND(AR526&gt;=Tablas!$G$21, AR526&lt;=Tablas!$G$22), 3,  ""))))</f>
        <v/>
      </c>
      <c r="AV526" s="94" t="str">
        <f t="shared" si="878"/>
        <v/>
      </c>
      <c r="AW526" s="102" t="str">
        <f t="shared" si="879"/>
        <v/>
      </c>
      <c r="AX526" s="157"/>
      <c r="AY526" s="170"/>
      <c r="AZ526" s="179"/>
      <c r="BA526" s="170"/>
      <c r="BB526" s="182"/>
      <c r="BC526" s="182"/>
      <c r="BD526" s="185"/>
      <c r="BE526" s="185"/>
      <c r="BF526" s="159"/>
      <c r="BG526" s="191"/>
    </row>
    <row r="527" spans="1:59" x14ac:dyDescent="0.25">
      <c r="A527" s="167"/>
      <c r="B527" s="167"/>
      <c r="C527" s="161" t="s">
        <v>19</v>
      </c>
      <c r="D527" s="160" t="s">
        <v>158</v>
      </c>
      <c r="E527" s="162"/>
      <c r="F527" s="163" t="str">
        <f t="shared" ref="F527:F587" si="900">IFERROR(VLOOKUP(E527, tabla01, 3, 0), "")</f>
        <v/>
      </c>
      <c r="G527" s="149"/>
      <c r="H527" s="149"/>
      <c r="I527" s="149"/>
      <c r="J527" s="149"/>
      <c r="K527" s="149"/>
      <c r="L527" s="165" t="str">
        <f t="shared" ref="L527" si="901">IFERROR(VLOOKUP(G527, tabla02, 2, 0), "")</f>
        <v/>
      </c>
      <c r="M527" s="165" t="str">
        <f t="shared" ref="M527" si="902">IFERROR(VLOOKUP(H527, tabla02, 2, 0), "")</f>
        <v/>
      </c>
      <c r="N527" s="165" t="str">
        <f t="shared" ref="N527" si="903">IFERROR(VLOOKUP(I527, tabla02, 2, 0), "")</f>
        <v/>
      </c>
      <c r="O527" s="165" t="str">
        <f t="shared" ref="O527" si="904">IFERROR(VLOOKUP(J527, tabla02, 2, 0), "")</f>
        <v/>
      </c>
      <c r="P527" s="165" t="str">
        <f t="shared" ref="P527" si="905">IFERROR(VLOOKUP(K527, tabla02, 2, 0), "")</f>
        <v/>
      </c>
      <c r="Q527" s="165" t="str">
        <f t="shared" ref="Q527" si="906">IF(SUM(L527:O531)=0, "", MAX(L527:P527))</f>
        <v/>
      </c>
      <c r="R527" s="165" t="str">
        <f>IFERROR(VLOOKUP(Q527, tabla04, 3, 0), "")</f>
        <v/>
      </c>
      <c r="S527" s="148"/>
      <c r="T527" s="148"/>
      <c r="U527" s="148"/>
      <c r="V527" s="148"/>
      <c r="W527" s="148"/>
      <c r="X527" s="163" t="str">
        <f>IFERROR(VLOOKUP(CONCATENATE(F527, "-", Q527), cuadrante_sev, 3, 0), "")</f>
        <v/>
      </c>
      <c r="Y527" s="163" t="str">
        <f t="shared" ref="Y527" si="907">IFERROR(IF(X527="Baja", 1, IF(X527="Moderada", 2, IF(X527="Alta", 3, IF(X527="Extrema", 4, "")))), "")</f>
        <v/>
      </c>
      <c r="Z527" s="172"/>
      <c r="AA527" s="188"/>
      <c r="AB527" s="172"/>
      <c r="AC527" s="172"/>
      <c r="AD527" s="175"/>
      <c r="AE527" s="70" t="s">
        <v>113</v>
      </c>
      <c r="AF527" s="135"/>
      <c r="AG527" s="74"/>
      <c r="AH527" s="72"/>
      <c r="AI527" s="72"/>
      <c r="AJ527" s="72"/>
      <c r="AK527" s="72"/>
      <c r="AL527" s="72"/>
      <c r="AM527" s="82" t="str">
        <f>IFERROR((Tablas!$C$1*VLOOKUP(AH527, tipo_control, 2, 0)+Tablas!$E$1*VLOOKUP(AI527, nat_control, 2, 0)+Tablas!$G$1*VLOOKUP(AJ527, ev_control, 2, 0)+Tablas!$I$1*VLOOKUP(AK527, frec_control, 2, 0)+Tablas!$K$1*VLOOKUP(AL527, doc_control, 2, 0))*0.1*peso_dis, "")</f>
        <v/>
      </c>
      <c r="AN527" s="72"/>
      <c r="AO527" s="72"/>
      <c r="AP527" s="72"/>
      <c r="AQ527" s="82" t="str">
        <f>IFERROR((Tablas!$C$9*VLOOKUP(AN527, amb_control, 2, 0)+Tablas!$E$9*VLOOKUP(AO527, ejec_control, 2, 0)+Tablas!$G$9*VLOOKUP(AP527, cub_control, 2, 0))*0.1*peso_ejec, "")</f>
        <v/>
      </c>
      <c r="AR527" s="96" t="str">
        <f t="shared" si="877"/>
        <v/>
      </c>
      <c r="AS527" s="97" t="str">
        <f t="shared" si="797"/>
        <v/>
      </c>
      <c r="AT527" s="87" t="str">
        <f t="shared" si="798"/>
        <v/>
      </c>
      <c r="AU527" s="97" t="str">
        <f>IF(AR527&lt;Tablas!$G$19, 0, IF(AND(AR527&gt;=Tablas!$G$19, AR527&lt;Tablas!$G$20), 1,  IF(AND(AR527&gt;=Tablas!$G$20, AR527&lt;Tablas!$G$21), 2,  IF(AND(AR527&gt;=Tablas!$G$21, AR527&lt;=Tablas!$G$22), 3,  ""))))</f>
        <v/>
      </c>
      <c r="AV527" s="97" t="str">
        <f t="shared" si="878"/>
        <v/>
      </c>
      <c r="AW527" s="103" t="str">
        <f t="shared" si="879"/>
        <v/>
      </c>
      <c r="AX527" s="176" t="str">
        <f t="shared" ref="AX527" si="908">IFERROR(VLOOKUP(AY527, tabla04, 2, 0), "")</f>
        <v/>
      </c>
      <c r="AY527" s="168" t="str">
        <f>IF(F527="", "", IF((F527-MAX(AV527:AV531))&lt;=0, 1, F527-MAX(AV527:AV531)))</f>
        <v/>
      </c>
      <c r="AZ527" s="178" t="str">
        <f t="shared" ref="AZ527" si="909">IFERROR(VLOOKUP(BA527, tabla04, 3, 0), "")</f>
        <v/>
      </c>
      <c r="BA527" s="168" t="str">
        <f>IF(Q527="", "", IF((Q527-MAX(AW527:AW531))&lt;=0, 1, Q527-MAX(AW527:AW531)))</f>
        <v/>
      </c>
      <c r="BB527" s="182"/>
      <c r="BC527" s="182"/>
      <c r="BD527" s="185"/>
      <c r="BE527" s="185"/>
      <c r="BF527" s="158" t="str">
        <f t="shared" ref="BF527:BF529" si="910">IFERROR(VLOOKUP(CONCATENATE(AY527, "-", BA527), cuadrante_sev, 3, 0), "")</f>
        <v/>
      </c>
      <c r="BG527" s="191"/>
    </row>
    <row r="528" spans="1:59" x14ac:dyDescent="0.25">
      <c r="A528" s="167"/>
      <c r="B528" s="167"/>
      <c r="C528" s="161"/>
      <c r="D528" s="160"/>
      <c r="E528" s="162"/>
      <c r="F528" s="164"/>
      <c r="G528" s="161"/>
      <c r="H528" s="161"/>
      <c r="I528" s="161"/>
      <c r="J528" s="161"/>
      <c r="K528" s="161"/>
      <c r="L528" s="166"/>
      <c r="M528" s="166"/>
      <c r="N528" s="166"/>
      <c r="O528" s="166"/>
      <c r="P528" s="166"/>
      <c r="Q528" s="166"/>
      <c r="R528" s="166"/>
      <c r="S528" s="167"/>
      <c r="T528" s="167"/>
      <c r="U528" s="167"/>
      <c r="V528" s="167"/>
      <c r="W528" s="167"/>
      <c r="X528" s="164"/>
      <c r="Y528" s="164"/>
      <c r="Z528" s="172"/>
      <c r="AA528" s="188"/>
      <c r="AB528" s="172"/>
      <c r="AC528" s="172"/>
      <c r="AD528" s="175"/>
      <c r="AE528" s="62" t="s">
        <v>114</v>
      </c>
      <c r="AF528" s="133"/>
      <c r="AG528" s="65"/>
      <c r="AH528" s="64"/>
      <c r="AI528" s="64"/>
      <c r="AJ528" s="64"/>
      <c r="AK528" s="64"/>
      <c r="AL528" s="64"/>
      <c r="AM528" s="80" t="str">
        <f>IFERROR((Tablas!$C$1*VLOOKUP(AH528, tipo_control, 2, 0)+Tablas!$E$1*VLOOKUP(AI528, nat_control, 2, 0)+Tablas!$G$1*VLOOKUP(AJ528, ev_control, 2, 0)+Tablas!$I$1*VLOOKUP(AK528, frec_control, 2, 0)+Tablas!$K$1*VLOOKUP(AL528, doc_control, 2, 0))*0.1*peso_dis, "")</f>
        <v/>
      </c>
      <c r="AN528" s="64"/>
      <c r="AO528" s="64"/>
      <c r="AP528" s="64"/>
      <c r="AQ528" s="80" t="str">
        <f>IFERROR((Tablas!$C$9*VLOOKUP(AN528, amb_control, 2, 0)+Tablas!$E$9*VLOOKUP(AO528, ejec_control, 2, 0)+Tablas!$G$9*VLOOKUP(AP528, cub_control, 2, 0))*0.1*peso_ejec, "")</f>
        <v/>
      </c>
      <c r="AR528" s="91" t="str">
        <f t="shared" si="877"/>
        <v/>
      </c>
      <c r="AS528" s="85" t="str">
        <f t="shared" si="797"/>
        <v/>
      </c>
      <c r="AT528" s="85" t="str">
        <f t="shared" si="798"/>
        <v/>
      </c>
      <c r="AU528" s="85" t="str">
        <f>IF(AR528&lt;Tablas!$G$19, 0, IF(AND(AR528&gt;=Tablas!$G$19, AR528&lt;Tablas!$G$20), 1,  IF(AND(AR528&gt;=Tablas!$G$20, AR528&lt;Tablas!$G$21), 2,  IF(AND(AR528&gt;=Tablas!$G$21, AR528&lt;=Tablas!$G$22), 3,  ""))))</f>
        <v/>
      </c>
      <c r="AV528" s="85" t="str">
        <f t="shared" si="878"/>
        <v/>
      </c>
      <c r="AW528" s="101" t="str">
        <f t="shared" si="879"/>
        <v/>
      </c>
      <c r="AX528" s="177"/>
      <c r="AY528" s="169"/>
      <c r="AZ528" s="158"/>
      <c r="BA528" s="169"/>
      <c r="BB528" s="182"/>
      <c r="BC528" s="182"/>
      <c r="BD528" s="185"/>
      <c r="BE528" s="185"/>
      <c r="BF528" s="158" t="str">
        <f t="shared" si="910"/>
        <v/>
      </c>
      <c r="BG528" s="191"/>
    </row>
    <row r="529" spans="1:59" x14ac:dyDescent="0.25">
      <c r="A529" s="167"/>
      <c r="B529" s="167"/>
      <c r="C529" s="161"/>
      <c r="D529" s="160"/>
      <c r="E529" s="162"/>
      <c r="F529" s="164"/>
      <c r="G529" s="161"/>
      <c r="H529" s="161"/>
      <c r="I529" s="161"/>
      <c r="J529" s="161"/>
      <c r="K529" s="161"/>
      <c r="L529" s="166"/>
      <c r="M529" s="166"/>
      <c r="N529" s="166"/>
      <c r="O529" s="166"/>
      <c r="P529" s="166"/>
      <c r="Q529" s="166"/>
      <c r="R529" s="166"/>
      <c r="S529" s="167"/>
      <c r="T529" s="167"/>
      <c r="U529" s="167"/>
      <c r="V529" s="167"/>
      <c r="W529" s="167"/>
      <c r="X529" s="164"/>
      <c r="Y529" s="164"/>
      <c r="Z529" s="172"/>
      <c r="AA529" s="188"/>
      <c r="AB529" s="172"/>
      <c r="AC529" s="172"/>
      <c r="AD529" s="175"/>
      <c r="AE529" s="62" t="s">
        <v>115</v>
      </c>
      <c r="AF529" s="133"/>
      <c r="AG529" s="65"/>
      <c r="AH529" s="64"/>
      <c r="AI529" s="64"/>
      <c r="AJ529" s="64"/>
      <c r="AK529" s="64"/>
      <c r="AL529" s="64"/>
      <c r="AM529" s="80" t="str">
        <f>IFERROR((Tablas!$C$1*VLOOKUP(AH529, tipo_control, 2, 0)+Tablas!$E$1*VLOOKUP(AI529, nat_control, 2, 0)+Tablas!$G$1*VLOOKUP(AJ529, ev_control, 2, 0)+Tablas!$I$1*VLOOKUP(AK529, frec_control, 2, 0)+Tablas!$K$1*VLOOKUP(AL529, doc_control, 2, 0))*0.1*peso_dis, "")</f>
        <v/>
      </c>
      <c r="AN529" s="64"/>
      <c r="AO529" s="64"/>
      <c r="AP529" s="64"/>
      <c r="AQ529" s="80" t="str">
        <f>IFERROR((Tablas!$C$9*VLOOKUP(AN529, amb_control, 2, 0)+Tablas!$E$9*VLOOKUP(AO529, ejec_control, 2, 0)+Tablas!$G$9*VLOOKUP(AP529, cub_control, 2, 0))*0.1*peso_ejec, "")</f>
        <v/>
      </c>
      <c r="AR529" s="91" t="str">
        <f t="shared" si="877"/>
        <v/>
      </c>
      <c r="AS529" s="85" t="str">
        <f t="shared" si="797"/>
        <v/>
      </c>
      <c r="AT529" s="85" t="str">
        <f t="shared" si="798"/>
        <v/>
      </c>
      <c r="AU529" s="85" t="str">
        <f>IF(AR529&lt;Tablas!$G$19, 0, IF(AND(AR529&gt;=Tablas!$G$19, AR529&lt;Tablas!$G$20), 1,  IF(AND(AR529&gt;=Tablas!$G$20, AR529&lt;Tablas!$G$21), 2,  IF(AND(AR529&gt;=Tablas!$G$21, AR529&lt;=Tablas!$G$22), 3,  ""))))</f>
        <v/>
      </c>
      <c r="AV529" s="85" t="str">
        <f t="shared" si="878"/>
        <v/>
      </c>
      <c r="AW529" s="101" t="str">
        <f t="shared" si="879"/>
        <v/>
      </c>
      <c r="AX529" s="177"/>
      <c r="AY529" s="169"/>
      <c r="AZ529" s="158"/>
      <c r="BA529" s="169"/>
      <c r="BB529" s="182"/>
      <c r="BC529" s="182"/>
      <c r="BD529" s="185"/>
      <c r="BE529" s="185"/>
      <c r="BF529" s="158" t="str">
        <f t="shared" si="910"/>
        <v/>
      </c>
      <c r="BG529" s="191"/>
    </row>
    <row r="530" spans="1:59" x14ac:dyDescent="0.25">
      <c r="A530" s="167"/>
      <c r="B530" s="167"/>
      <c r="C530" s="161"/>
      <c r="D530" s="160"/>
      <c r="E530" s="162"/>
      <c r="F530" s="164"/>
      <c r="G530" s="161"/>
      <c r="H530" s="161"/>
      <c r="I530" s="161"/>
      <c r="J530" s="161"/>
      <c r="K530" s="161"/>
      <c r="L530" s="166"/>
      <c r="M530" s="166"/>
      <c r="N530" s="166"/>
      <c r="O530" s="166"/>
      <c r="P530" s="166"/>
      <c r="Q530" s="166"/>
      <c r="R530" s="166"/>
      <c r="S530" s="167"/>
      <c r="T530" s="167"/>
      <c r="U530" s="167"/>
      <c r="V530" s="167"/>
      <c r="W530" s="167"/>
      <c r="X530" s="164"/>
      <c r="Y530" s="164"/>
      <c r="Z530" s="172"/>
      <c r="AA530" s="188"/>
      <c r="AB530" s="172"/>
      <c r="AC530" s="172"/>
      <c r="AD530" s="175"/>
      <c r="AE530" s="62" t="s">
        <v>153</v>
      </c>
      <c r="AF530" s="133"/>
      <c r="AG530" s="65"/>
      <c r="AH530" s="64"/>
      <c r="AI530" s="64"/>
      <c r="AJ530" s="64"/>
      <c r="AK530" s="64"/>
      <c r="AL530" s="64"/>
      <c r="AM530" s="80" t="str">
        <f>IFERROR((Tablas!$C$1*VLOOKUP(AH530, tipo_control, 2, 0)+Tablas!$E$1*VLOOKUP(AI530, nat_control, 2, 0)+Tablas!$G$1*VLOOKUP(AJ530, ev_control, 2, 0)+Tablas!$I$1*VLOOKUP(AK530, frec_control, 2, 0)+Tablas!$K$1*VLOOKUP(AL530, doc_control, 2, 0))*0.1*peso_dis, "")</f>
        <v/>
      </c>
      <c r="AN530" s="64"/>
      <c r="AO530" s="64"/>
      <c r="AP530" s="64"/>
      <c r="AQ530" s="80" t="str">
        <f>IFERROR((Tablas!$C$9*VLOOKUP(AN530, amb_control, 2, 0)+Tablas!$E$9*VLOOKUP(AO530, ejec_control, 2, 0)+Tablas!$G$9*VLOOKUP(AP530, cub_control, 2, 0))*0.1*peso_ejec, "")</f>
        <v/>
      </c>
      <c r="AR530" s="91" t="str">
        <f t="shared" si="877"/>
        <v/>
      </c>
      <c r="AS530" s="85" t="str">
        <f t="shared" ref="AS530:AS593" si="911">IFERROR(VLOOKUP(AH530, tabla03, 12, 0), "")</f>
        <v/>
      </c>
      <c r="AT530" s="85" t="str">
        <f t="shared" ref="AT530:AT593" si="912">IFERROR(VLOOKUP(AH530, tabla03, 13, 0), "")</f>
        <v/>
      </c>
      <c r="AU530" s="85" t="str">
        <f>IF(AR530&lt;Tablas!$G$19, 0, IF(AND(AR530&gt;=Tablas!$G$19, AR530&lt;Tablas!$G$20), 1,  IF(AND(AR530&gt;=Tablas!$G$20, AR530&lt;Tablas!$G$21), 2,  IF(AND(AR530&gt;=Tablas!$G$21, AR530&lt;=Tablas!$G$22), 3,  ""))))</f>
        <v/>
      </c>
      <c r="AV530" s="85" t="str">
        <f t="shared" si="878"/>
        <v/>
      </c>
      <c r="AW530" s="101" t="str">
        <f t="shared" si="879"/>
        <v/>
      </c>
      <c r="AX530" s="177"/>
      <c r="AY530" s="169"/>
      <c r="AZ530" s="158"/>
      <c r="BA530" s="169"/>
      <c r="BB530" s="182"/>
      <c r="BC530" s="182"/>
      <c r="BD530" s="185"/>
      <c r="BE530" s="185"/>
      <c r="BF530" s="158"/>
      <c r="BG530" s="191"/>
    </row>
    <row r="531" spans="1:59" ht="15.75" thickBot="1" x14ac:dyDescent="0.3">
      <c r="A531" s="167"/>
      <c r="B531" s="167"/>
      <c r="C531" s="161"/>
      <c r="D531" s="160"/>
      <c r="E531" s="162"/>
      <c r="F531" s="165"/>
      <c r="G531" s="161"/>
      <c r="H531" s="161"/>
      <c r="I531" s="161"/>
      <c r="J531" s="161"/>
      <c r="K531" s="161"/>
      <c r="L531" s="166"/>
      <c r="M531" s="166"/>
      <c r="N531" s="166"/>
      <c r="O531" s="166"/>
      <c r="P531" s="166"/>
      <c r="Q531" s="166"/>
      <c r="R531" s="166"/>
      <c r="S531" s="149"/>
      <c r="T531" s="149"/>
      <c r="U531" s="149"/>
      <c r="V531" s="149"/>
      <c r="W531" s="149"/>
      <c r="X531" s="165"/>
      <c r="Y531" s="165"/>
      <c r="Z531" s="172"/>
      <c r="AA531" s="188"/>
      <c r="AB531" s="172"/>
      <c r="AC531" s="172"/>
      <c r="AD531" s="175"/>
      <c r="AE531" s="66" t="s">
        <v>154</v>
      </c>
      <c r="AF531" s="134"/>
      <c r="AG531" s="67"/>
      <c r="AH531" s="69"/>
      <c r="AI531" s="69"/>
      <c r="AJ531" s="69"/>
      <c r="AK531" s="69"/>
      <c r="AL531" s="69"/>
      <c r="AM531" s="81" t="str">
        <f>IFERROR((Tablas!$C$1*VLOOKUP(AH531, tipo_control, 2, 0)+Tablas!$E$1*VLOOKUP(AI531, nat_control, 2, 0)+Tablas!$G$1*VLOOKUP(AJ531, ev_control, 2, 0)+Tablas!$I$1*VLOOKUP(AK531, frec_control, 2, 0)+Tablas!$K$1*VLOOKUP(AL531, doc_control, 2, 0))*0.1*peso_dis, "")</f>
        <v/>
      </c>
      <c r="AN531" s="69"/>
      <c r="AO531" s="69"/>
      <c r="AP531" s="69"/>
      <c r="AQ531" s="81" t="str">
        <f>IFERROR((Tablas!$C$9*VLOOKUP(AN531, amb_control, 2, 0)+Tablas!$E$9*VLOOKUP(AO531, ejec_control, 2, 0)+Tablas!$G$9*VLOOKUP(AP531, cub_control, 2, 0))*0.1*peso_ejec, "")</f>
        <v/>
      </c>
      <c r="AR531" s="93" t="str">
        <f t="shared" si="877"/>
        <v/>
      </c>
      <c r="AS531" s="94" t="str">
        <f t="shared" si="911"/>
        <v/>
      </c>
      <c r="AT531" s="94" t="str">
        <f t="shared" si="912"/>
        <v/>
      </c>
      <c r="AU531" s="94" t="str">
        <f>IF(AR531&lt;Tablas!$G$19, 0, IF(AND(AR531&gt;=Tablas!$G$19, AR531&lt;Tablas!$G$20), 1,  IF(AND(AR531&gt;=Tablas!$G$20, AR531&lt;Tablas!$G$21), 2,  IF(AND(AR531&gt;=Tablas!$G$21, AR531&lt;=Tablas!$G$22), 3,  ""))))</f>
        <v/>
      </c>
      <c r="AV531" s="94" t="str">
        <f t="shared" si="878"/>
        <v/>
      </c>
      <c r="AW531" s="102" t="str">
        <f t="shared" si="879"/>
        <v/>
      </c>
      <c r="AX531" s="157"/>
      <c r="AY531" s="170"/>
      <c r="AZ531" s="179"/>
      <c r="BA531" s="170"/>
      <c r="BB531" s="182"/>
      <c r="BC531" s="182"/>
      <c r="BD531" s="185"/>
      <c r="BE531" s="185"/>
      <c r="BF531" s="159"/>
      <c r="BG531" s="191"/>
    </row>
    <row r="532" spans="1:59" x14ac:dyDescent="0.25">
      <c r="A532" s="167"/>
      <c r="B532" s="167"/>
      <c r="C532" s="161" t="s">
        <v>20</v>
      </c>
      <c r="D532" s="160" t="s">
        <v>158</v>
      </c>
      <c r="E532" s="162"/>
      <c r="F532" s="163" t="str">
        <f t="shared" si="900"/>
        <v/>
      </c>
      <c r="G532" s="149"/>
      <c r="H532" s="149"/>
      <c r="I532" s="149"/>
      <c r="J532" s="149"/>
      <c r="K532" s="149"/>
      <c r="L532" s="165" t="str">
        <f t="shared" ref="L532" si="913">IFERROR(VLOOKUP(G532, tabla02, 2, 0), "")</f>
        <v/>
      </c>
      <c r="M532" s="165" t="str">
        <f t="shared" ref="M532" si="914">IFERROR(VLOOKUP(H532, tabla02, 2, 0), "")</f>
        <v/>
      </c>
      <c r="N532" s="165" t="str">
        <f t="shared" ref="N532" si="915">IFERROR(VLOOKUP(I532, tabla02, 2, 0), "")</f>
        <v/>
      </c>
      <c r="O532" s="165" t="str">
        <f t="shared" ref="O532" si="916">IFERROR(VLOOKUP(J532, tabla02, 2, 0), "")</f>
        <v/>
      </c>
      <c r="P532" s="165" t="str">
        <f t="shared" ref="P532" si="917">IFERROR(VLOOKUP(K532, tabla02, 2, 0), "")</f>
        <v/>
      </c>
      <c r="Q532" s="165" t="str">
        <f t="shared" ref="Q532" si="918">IF(SUM(L532:O536)=0, "", MAX(L532:P532))</f>
        <v/>
      </c>
      <c r="R532" s="165" t="str">
        <f>IFERROR(VLOOKUP(Q532, tabla04, 3, 0), "")</f>
        <v/>
      </c>
      <c r="S532" s="148"/>
      <c r="T532" s="148"/>
      <c r="U532" s="148"/>
      <c r="V532" s="148"/>
      <c r="W532" s="148"/>
      <c r="X532" s="163" t="str">
        <f>IFERROR(VLOOKUP(CONCATENATE(F532, "-", Q532), cuadrante_sev, 3, 0), "")</f>
        <v/>
      </c>
      <c r="Y532" s="163" t="str">
        <f t="shared" ref="Y532" si="919">IFERROR(IF(X532="Baja", 1, IF(X532="Moderada", 2, IF(X532="Alta", 3, IF(X532="Extrema", 4, "")))), "")</f>
        <v/>
      </c>
      <c r="Z532" s="172"/>
      <c r="AA532" s="188"/>
      <c r="AB532" s="172"/>
      <c r="AC532" s="172"/>
      <c r="AD532" s="175"/>
      <c r="AE532" s="70" t="s">
        <v>113</v>
      </c>
      <c r="AF532" s="135"/>
      <c r="AG532" s="74"/>
      <c r="AH532" s="72"/>
      <c r="AI532" s="72"/>
      <c r="AJ532" s="72"/>
      <c r="AK532" s="72"/>
      <c r="AL532" s="72"/>
      <c r="AM532" s="82" t="str">
        <f>IFERROR((Tablas!$C$1*VLOOKUP(AH532, tipo_control, 2, 0)+Tablas!$E$1*VLOOKUP(AI532, nat_control, 2, 0)+Tablas!$G$1*VLOOKUP(AJ532, ev_control, 2, 0)+Tablas!$I$1*VLOOKUP(AK532, frec_control, 2, 0)+Tablas!$K$1*VLOOKUP(AL532, doc_control, 2, 0))*0.1*peso_dis, "")</f>
        <v/>
      </c>
      <c r="AN532" s="72"/>
      <c r="AO532" s="72"/>
      <c r="AP532" s="72"/>
      <c r="AQ532" s="82" t="str">
        <f>IFERROR((Tablas!$C$9*VLOOKUP(AN532, amb_control, 2, 0)+Tablas!$E$9*VLOOKUP(AO532, ejec_control, 2, 0)+Tablas!$G$9*VLOOKUP(AP532, cub_control, 2, 0))*0.1*peso_ejec, "")</f>
        <v/>
      </c>
      <c r="AR532" s="96" t="str">
        <f t="shared" si="877"/>
        <v/>
      </c>
      <c r="AS532" s="97" t="str">
        <f t="shared" si="911"/>
        <v/>
      </c>
      <c r="AT532" s="87" t="str">
        <f t="shared" si="912"/>
        <v/>
      </c>
      <c r="AU532" s="97" t="str">
        <f>IF(AR532&lt;Tablas!$G$19, 0, IF(AND(AR532&gt;=Tablas!$G$19, AR532&lt;Tablas!$G$20), 1,  IF(AND(AR532&gt;=Tablas!$G$20, AR532&lt;Tablas!$G$21), 2,  IF(AND(AR532&gt;=Tablas!$G$21, AR532&lt;=Tablas!$G$22), 3,  ""))))</f>
        <v/>
      </c>
      <c r="AV532" s="97" t="str">
        <f t="shared" si="878"/>
        <v/>
      </c>
      <c r="AW532" s="103" t="str">
        <f t="shared" si="879"/>
        <v/>
      </c>
      <c r="AX532" s="176" t="str">
        <f t="shared" ref="AX532" si="920">IFERROR(VLOOKUP(AY532, tabla04, 2, 0), "")</f>
        <v/>
      </c>
      <c r="AY532" s="168" t="str">
        <f>IF(F532="", "", IF((F532-MAX(AV532:AV536))&lt;=0, 1, F532-MAX(AV532:AV536)))</f>
        <v/>
      </c>
      <c r="AZ532" s="178" t="str">
        <f t="shared" ref="AZ532" si="921">IFERROR(VLOOKUP(BA532, tabla04, 3, 0), "")</f>
        <v/>
      </c>
      <c r="BA532" s="168" t="str">
        <f>IF(Q532="", "", IF((Q532-MAX(AW532:AW536))&lt;=0, 1, Q532-MAX(AW532:AW536)))</f>
        <v/>
      </c>
      <c r="BB532" s="182"/>
      <c r="BC532" s="182"/>
      <c r="BD532" s="185"/>
      <c r="BE532" s="185"/>
      <c r="BF532" s="158" t="str">
        <f t="shared" ref="BF532:BF534" si="922">IFERROR(VLOOKUP(CONCATENATE(AY532, "-", BA532), cuadrante_sev, 3, 0), "")</f>
        <v/>
      </c>
      <c r="BG532" s="191"/>
    </row>
    <row r="533" spans="1:59" x14ac:dyDescent="0.25">
      <c r="A533" s="167"/>
      <c r="B533" s="167"/>
      <c r="C533" s="161"/>
      <c r="D533" s="160"/>
      <c r="E533" s="162"/>
      <c r="F533" s="164"/>
      <c r="G533" s="161"/>
      <c r="H533" s="161"/>
      <c r="I533" s="161"/>
      <c r="J533" s="161"/>
      <c r="K533" s="161"/>
      <c r="L533" s="166"/>
      <c r="M533" s="166"/>
      <c r="N533" s="166"/>
      <c r="O533" s="166"/>
      <c r="P533" s="166"/>
      <c r="Q533" s="166"/>
      <c r="R533" s="166"/>
      <c r="S533" s="167"/>
      <c r="T533" s="167"/>
      <c r="U533" s="167"/>
      <c r="V533" s="167"/>
      <c r="W533" s="167"/>
      <c r="X533" s="164"/>
      <c r="Y533" s="164"/>
      <c r="Z533" s="172"/>
      <c r="AA533" s="188"/>
      <c r="AB533" s="172"/>
      <c r="AC533" s="172"/>
      <c r="AD533" s="175"/>
      <c r="AE533" s="62" t="s">
        <v>114</v>
      </c>
      <c r="AF533" s="133"/>
      <c r="AG533" s="65"/>
      <c r="AH533" s="64"/>
      <c r="AI533" s="64"/>
      <c r="AJ533" s="64"/>
      <c r="AK533" s="64"/>
      <c r="AL533" s="64"/>
      <c r="AM533" s="80" t="str">
        <f>IFERROR((Tablas!$C$1*VLOOKUP(AH533, tipo_control, 2, 0)+Tablas!$E$1*VLOOKUP(AI533, nat_control, 2, 0)+Tablas!$G$1*VLOOKUP(AJ533, ev_control, 2, 0)+Tablas!$I$1*VLOOKUP(AK533, frec_control, 2, 0)+Tablas!$K$1*VLOOKUP(AL533, doc_control, 2, 0))*0.1*peso_dis, "")</f>
        <v/>
      </c>
      <c r="AN533" s="64"/>
      <c r="AO533" s="64"/>
      <c r="AP533" s="64"/>
      <c r="AQ533" s="80" t="str">
        <f>IFERROR((Tablas!$C$9*VLOOKUP(AN533, amb_control, 2, 0)+Tablas!$E$9*VLOOKUP(AO533, ejec_control, 2, 0)+Tablas!$G$9*VLOOKUP(AP533, cub_control, 2, 0))*0.1*peso_ejec, "")</f>
        <v/>
      </c>
      <c r="AR533" s="91" t="str">
        <f t="shared" si="877"/>
        <v/>
      </c>
      <c r="AS533" s="85" t="str">
        <f t="shared" si="911"/>
        <v/>
      </c>
      <c r="AT533" s="85" t="str">
        <f t="shared" si="912"/>
        <v/>
      </c>
      <c r="AU533" s="85" t="str">
        <f>IF(AR533&lt;Tablas!$G$19, 0, IF(AND(AR533&gt;=Tablas!$G$19, AR533&lt;Tablas!$G$20), 1,  IF(AND(AR533&gt;=Tablas!$G$20, AR533&lt;Tablas!$G$21), 2,  IF(AND(AR533&gt;=Tablas!$G$21, AR533&lt;=Tablas!$G$22), 3,  ""))))</f>
        <v/>
      </c>
      <c r="AV533" s="85" t="str">
        <f t="shared" si="878"/>
        <v/>
      </c>
      <c r="AW533" s="101" t="str">
        <f t="shared" si="879"/>
        <v/>
      </c>
      <c r="AX533" s="177"/>
      <c r="AY533" s="169"/>
      <c r="AZ533" s="158"/>
      <c r="BA533" s="169"/>
      <c r="BB533" s="182"/>
      <c r="BC533" s="182"/>
      <c r="BD533" s="185"/>
      <c r="BE533" s="185"/>
      <c r="BF533" s="158" t="str">
        <f t="shared" si="922"/>
        <v/>
      </c>
      <c r="BG533" s="191"/>
    </row>
    <row r="534" spans="1:59" x14ac:dyDescent="0.25">
      <c r="A534" s="167"/>
      <c r="B534" s="167"/>
      <c r="C534" s="161"/>
      <c r="D534" s="160"/>
      <c r="E534" s="162"/>
      <c r="F534" s="164"/>
      <c r="G534" s="161"/>
      <c r="H534" s="161"/>
      <c r="I534" s="161"/>
      <c r="J534" s="161"/>
      <c r="K534" s="161"/>
      <c r="L534" s="166"/>
      <c r="M534" s="166"/>
      <c r="N534" s="166"/>
      <c r="O534" s="166"/>
      <c r="P534" s="166"/>
      <c r="Q534" s="166"/>
      <c r="R534" s="166"/>
      <c r="S534" s="167"/>
      <c r="T534" s="167"/>
      <c r="U534" s="167"/>
      <c r="V534" s="167"/>
      <c r="W534" s="167"/>
      <c r="X534" s="164"/>
      <c r="Y534" s="164"/>
      <c r="Z534" s="172"/>
      <c r="AA534" s="188"/>
      <c r="AB534" s="172"/>
      <c r="AC534" s="172"/>
      <c r="AD534" s="175"/>
      <c r="AE534" s="62" t="s">
        <v>115</v>
      </c>
      <c r="AF534" s="133"/>
      <c r="AG534" s="65"/>
      <c r="AH534" s="64"/>
      <c r="AI534" s="64"/>
      <c r="AJ534" s="64"/>
      <c r="AK534" s="64"/>
      <c r="AL534" s="64"/>
      <c r="AM534" s="80" t="str">
        <f>IFERROR((Tablas!$C$1*VLOOKUP(AH534, tipo_control, 2, 0)+Tablas!$E$1*VLOOKUP(AI534, nat_control, 2, 0)+Tablas!$G$1*VLOOKUP(AJ534, ev_control, 2, 0)+Tablas!$I$1*VLOOKUP(AK534, frec_control, 2, 0)+Tablas!$K$1*VLOOKUP(AL534, doc_control, 2, 0))*0.1*peso_dis, "")</f>
        <v/>
      </c>
      <c r="AN534" s="64"/>
      <c r="AO534" s="64"/>
      <c r="AP534" s="64"/>
      <c r="AQ534" s="80" t="str">
        <f>IFERROR((Tablas!$C$9*VLOOKUP(AN534, amb_control, 2, 0)+Tablas!$E$9*VLOOKUP(AO534, ejec_control, 2, 0)+Tablas!$G$9*VLOOKUP(AP534, cub_control, 2, 0))*0.1*peso_ejec, "")</f>
        <v/>
      </c>
      <c r="AR534" s="91" t="str">
        <f t="shared" si="877"/>
        <v/>
      </c>
      <c r="AS534" s="85" t="str">
        <f t="shared" si="911"/>
        <v/>
      </c>
      <c r="AT534" s="85" t="str">
        <f t="shared" si="912"/>
        <v/>
      </c>
      <c r="AU534" s="85" t="str">
        <f>IF(AR534&lt;Tablas!$G$19, 0, IF(AND(AR534&gt;=Tablas!$G$19, AR534&lt;Tablas!$G$20), 1,  IF(AND(AR534&gt;=Tablas!$G$20, AR534&lt;Tablas!$G$21), 2,  IF(AND(AR534&gt;=Tablas!$G$21, AR534&lt;=Tablas!$G$22), 3,  ""))))</f>
        <v/>
      </c>
      <c r="AV534" s="85" t="str">
        <f t="shared" si="878"/>
        <v/>
      </c>
      <c r="AW534" s="101" t="str">
        <f t="shared" si="879"/>
        <v/>
      </c>
      <c r="AX534" s="177"/>
      <c r="AY534" s="169"/>
      <c r="AZ534" s="158"/>
      <c r="BA534" s="169"/>
      <c r="BB534" s="182"/>
      <c r="BC534" s="182"/>
      <c r="BD534" s="185"/>
      <c r="BE534" s="185"/>
      <c r="BF534" s="158" t="str">
        <f t="shared" si="922"/>
        <v/>
      </c>
      <c r="BG534" s="191"/>
    </row>
    <row r="535" spans="1:59" x14ac:dyDescent="0.25">
      <c r="A535" s="167"/>
      <c r="B535" s="167"/>
      <c r="C535" s="161"/>
      <c r="D535" s="160"/>
      <c r="E535" s="162"/>
      <c r="F535" s="164"/>
      <c r="G535" s="161"/>
      <c r="H535" s="161"/>
      <c r="I535" s="161"/>
      <c r="J535" s="161"/>
      <c r="K535" s="161"/>
      <c r="L535" s="166"/>
      <c r="M535" s="166"/>
      <c r="N535" s="166"/>
      <c r="O535" s="166"/>
      <c r="P535" s="166"/>
      <c r="Q535" s="166"/>
      <c r="R535" s="166"/>
      <c r="S535" s="167"/>
      <c r="T535" s="167"/>
      <c r="U535" s="167"/>
      <c r="V535" s="167"/>
      <c r="W535" s="167"/>
      <c r="X535" s="164"/>
      <c r="Y535" s="164"/>
      <c r="Z535" s="172"/>
      <c r="AA535" s="188"/>
      <c r="AB535" s="172"/>
      <c r="AC535" s="172"/>
      <c r="AD535" s="175"/>
      <c r="AE535" s="62" t="s">
        <v>153</v>
      </c>
      <c r="AF535" s="133"/>
      <c r="AG535" s="65"/>
      <c r="AH535" s="64"/>
      <c r="AI535" s="64"/>
      <c r="AJ535" s="64"/>
      <c r="AK535" s="64"/>
      <c r="AL535" s="64"/>
      <c r="AM535" s="80" t="str">
        <f>IFERROR((Tablas!$C$1*VLOOKUP(AH535, tipo_control, 2, 0)+Tablas!$E$1*VLOOKUP(AI535, nat_control, 2, 0)+Tablas!$G$1*VLOOKUP(AJ535, ev_control, 2, 0)+Tablas!$I$1*VLOOKUP(AK535, frec_control, 2, 0)+Tablas!$K$1*VLOOKUP(AL535, doc_control, 2, 0))*0.1*peso_dis, "")</f>
        <v/>
      </c>
      <c r="AN535" s="64"/>
      <c r="AO535" s="64"/>
      <c r="AP535" s="64"/>
      <c r="AQ535" s="80" t="str">
        <f>IFERROR((Tablas!$C$9*VLOOKUP(AN535, amb_control, 2, 0)+Tablas!$E$9*VLOOKUP(AO535, ejec_control, 2, 0)+Tablas!$G$9*VLOOKUP(AP535, cub_control, 2, 0))*0.1*peso_ejec, "")</f>
        <v/>
      </c>
      <c r="AR535" s="91" t="str">
        <f t="shared" si="877"/>
        <v/>
      </c>
      <c r="AS535" s="85" t="str">
        <f t="shared" si="911"/>
        <v/>
      </c>
      <c r="AT535" s="85" t="str">
        <f t="shared" si="912"/>
        <v/>
      </c>
      <c r="AU535" s="85" t="str">
        <f>IF(AR535&lt;Tablas!$G$19, 0, IF(AND(AR535&gt;=Tablas!$G$19, AR535&lt;Tablas!$G$20), 1,  IF(AND(AR535&gt;=Tablas!$G$20, AR535&lt;Tablas!$G$21), 2,  IF(AND(AR535&gt;=Tablas!$G$21, AR535&lt;=Tablas!$G$22), 3,  ""))))</f>
        <v/>
      </c>
      <c r="AV535" s="85" t="str">
        <f t="shared" si="878"/>
        <v/>
      </c>
      <c r="AW535" s="101" t="str">
        <f t="shared" si="879"/>
        <v/>
      </c>
      <c r="AX535" s="177"/>
      <c r="AY535" s="169"/>
      <c r="AZ535" s="158"/>
      <c r="BA535" s="169"/>
      <c r="BB535" s="182"/>
      <c r="BC535" s="182"/>
      <c r="BD535" s="185"/>
      <c r="BE535" s="185"/>
      <c r="BF535" s="158"/>
      <c r="BG535" s="191"/>
    </row>
    <row r="536" spans="1:59" ht="15.75" thickBot="1" x14ac:dyDescent="0.3">
      <c r="A536" s="167"/>
      <c r="B536" s="167"/>
      <c r="C536" s="161"/>
      <c r="D536" s="160"/>
      <c r="E536" s="162"/>
      <c r="F536" s="165"/>
      <c r="G536" s="161"/>
      <c r="H536" s="161"/>
      <c r="I536" s="161"/>
      <c r="J536" s="161"/>
      <c r="K536" s="161"/>
      <c r="L536" s="166"/>
      <c r="M536" s="166"/>
      <c r="N536" s="166"/>
      <c r="O536" s="166"/>
      <c r="P536" s="166"/>
      <c r="Q536" s="166"/>
      <c r="R536" s="166"/>
      <c r="S536" s="149"/>
      <c r="T536" s="149"/>
      <c r="U536" s="149"/>
      <c r="V536" s="149"/>
      <c r="W536" s="149"/>
      <c r="X536" s="165"/>
      <c r="Y536" s="165"/>
      <c r="Z536" s="172"/>
      <c r="AA536" s="188"/>
      <c r="AB536" s="172"/>
      <c r="AC536" s="172"/>
      <c r="AD536" s="175"/>
      <c r="AE536" s="66" t="s">
        <v>154</v>
      </c>
      <c r="AF536" s="134"/>
      <c r="AG536" s="67"/>
      <c r="AH536" s="69"/>
      <c r="AI536" s="69"/>
      <c r="AJ536" s="69"/>
      <c r="AK536" s="69"/>
      <c r="AL536" s="69"/>
      <c r="AM536" s="81" t="str">
        <f>IFERROR((Tablas!$C$1*VLOOKUP(AH536, tipo_control, 2, 0)+Tablas!$E$1*VLOOKUP(AI536, nat_control, 2, 0)+Tablas!$G$1*VLOOKUP(AJ536, ev_control, 2, 0)+Tablas!$I$1*VLOOKUP(AK536, frec_control, 2, 0)+Tablas!$K$1*VLOOKUP(AL536, doc_control, 2, 0))*0.1*peso_dis, "")</f>
        <v/>
      </c>
      <c r="AN536" s="69"/>
      <c r="AO536" s="69"/>
      <c r="AP536" s="69"/>
      <c r="AQ536" s="81" t="str">
        <f>IFERROR((Tablas!$C$9*VLOOKUP(AN536, amb_control, 2, 0)+Tablas!$E$9*VLOOKUP(AO536, ejec_control, 2, 0)+Tablas!$G$9*VLOOKUP(AP536, cub_control, 2, 0))*0.1*peso_ejec, "")</f>
        <v/>
      </c>
      <c r="AR536" s="93" t="str">
        <f t="shared" si="877"/>
        <v/>
      </c>
      <c r="AS536" s="94" t="str">
        <f t="shared" si="911"/>
        <v/>
      </c>
      <c r="AT536" s="94" t="str">
        <f t="shared" si="912"/>
        <v/>
      </c>
      <c r="AU536" s="94" t="str">
        <f>IF(AR536&lt;Tablas!$G$19, 0, IF(AND(AR536&gt;=Tablas!$G$19, AR536&lt;Tablas!$G$20), 1,  IF(AND(AR536&gt;=Tablas!$G$20, AR536&lt;Tablas!$G$21), 2,  IF(AND(AR536&gt;=Tablas!$G$21, AR536&lt;=Tablas!$G$22), 3,  ""))))</f>
        <v/>
      </c>
      <c r="AV536" s="94" t="str">
        <f t="shared" si="878"/>
        <v/>
      </c>
      <c r="AW536" s="102" t="str">
        <f t="shared" si="879"/>
        <v/>
      </c>
      <c r="AX536" s="157"/>
      <c r="AY536" s="170"/>
      <c r="AZ536" s="179"/>
      <c r="BA536" s="170"/>
      <c r="BB536" s="182"/>
      <c r="BC536" s="182"/>
      <c r="BD536" s="185"/>
      <c r="BE536" s="185"/>
      <c r="BF536" s="159"/>
      <c r="BG536" s="191"/>
    </row>
    <row r="537" spans="1:59" x14ac:dyDescent="0.25">
      <c r="A537" s="167"/>
      <c r="B537" s="167"/>
      <c r="C537" s="161" t="s">
        <v>180</v>
      </c>
      <c r="D537" s="160" t="s">
        <v>158</v>
      </c>
      <c r="E537" s="162"/>
      <c r="F537" s="163" t="str">
        <f t="shared" si="900"/>
        <v/>
      </c>
      <c r="G537" s="149"/>
      <c r="H537" s="149"/>
      <c r="I537" s="149"/>
      <c r="J537" s="149"/>
      <c r="K537" s="149"/>
      <c r="L537" s="165" t="str">
        <f t="shared" ref="L537" si="923">IFERROR(VLOOKUP(G537, tabla02, 2, 0), "")</f>
        <v/>
      </c>
      <c r="M537" s="165" t="str">
        <f t="shared" ref="M537" si="924">IFERROR(VLOOKUP(H537, tabla02, 2, 0), "")</f>
        <v/>
      </c>
      <c r="N537" s="165" t="str">
        <f t="shared" ref="N537" si="925">IFERROR(VLOOKUP(I537, tabla02, 2, 0), "")</f>
        <v/>
      </c>
      <c r="O537" s="165" t="str">
        <f t="shared" ref="O537" si="926">IFERROR(VLOOKUP(J537, tabla02, 2, 0), "")</f>
        <v/>
      </c>
      <c r="P537" s="165" t="str">
        <f t="shared" ref="P537" si="927">IFERROR(VLOOKUP(K537, tabla02, 2, 0), "")</f>
        <v/>
      </c>
      <c r="Q537" s="165" t="str">
        <f t="shared" ref="Q537" si="928">IF(SUM(L537:O541)=0, "", MAX(L537:P537))</f>
        <v/>
      </c>
      <c r="R537" s="165" t="str">
        <f>IFERROR(VLOOKUP(Q537, tabla04, 3, 0), "")</f>
        <v/>
      </c>
      <c r="S537" s="148"/>
      <c r="T537" s="148"/>
      <c r="U537" s="148"/>
      <c r="V537" s="148"/>
      <c r="W537" s="148"/>
      <c r="X537" s="163" t="str">
        <f>IFERROR(VLOOKUP(CONCATENATE(F537, "-", Q537), cuadrante_sev, 3, 0), "")</f>
        <v/>
      </c>
      <c r="Y537" s="163" t="str">
        <f t="shared" ref="Y537" si="929">IFERROR(IF(X537="Baja", 1, IF(X537="Moderada", 2, IF(X537="Alta", 3, IF(X537="Extrema", 4, "")))), "")</f>
        <v/>
      </c>
      <c r="Z537" s="172"/>
      <c r="AA537" s="188"/>
      <c r="AB537" s="172"/>
      <c r="AC537" s="172"/>
      <c r="AD537" s="175"/>
      <c r="AE537" s="70" t="s">
        <v>113</v>
      </c>
      <c r="AF537" s="135"/>
      <c r="AG537" s="74"/>
      <c r="AH537" s="72"/>
      <c r="AI537" s="72"/>
      <c r="AJ537" s="72"/>
      <c r="AK537" s="72"/>
      <c r="AL537" s="72"/>
      <c r="AM537" s="82" t="str">
        <f>IFERROR((Tablas!$C$1*VLOOKUP(AH537, tipo_control, 2, 0)+Tablas!$E$1*VLOOKUP(AI537, nat_control, 2, 0)+Tablas!$G$1*VLOOKUP(AJ537, ev_control, 2, 0)+Tablas!$I$1*VLOOKUP(AK537, frec_control, 2, 0)+Tablas!$K$1*VLOOKUP(AL537, doc_control, 2, 0))*0.1*peso_dis, "")</f>
        <v/>
      </c>
      <c r="AN537" s="72"/>
      <c r="AO537" s="72"/>
      <c r="AP537" s="72"/>
      <c r="AQ537" s="82" t="str">
        <f>IFERROR((Tablas!$C$9*VLOOKUP(AN537, amb_control, 2, 0)+Tablas!$E$9*VLOOKUP(AO537, ejec_control, 2, 0)+Tablas!$G$9*VLOOKUP(AP537, cub_control, 2, 0))*0.1*peso_ejec, "")</f>
        <v/>
      </c>
      <c r="AR537" s="96" t="str">
        <f t="shared" si="877"/>
        <v/>
      </c>
      <c r="AS537" s="97" t="str">
        <f t="shared" si="911"/>
        <v/>
      </c>
      <c r="AT537" s="87" t="str">
        <f t="shared" si="912"/>
        <v/>
      </c>
      <c r="AU537" s="97" t="str">
        <f>IF(AR537&lt;Tablas!$G$19, 0, IF(AND(AR537&gt;=Tablas!$G$19, AR537&lt;Tablas!$G$20), 1,  IF(AND(AR537&gt;=Tablas!$G$20, AR537&lt;Tablas!$G$21), 2,  IF(AND(AR537&gt;=Tablas!$G$21, AR537&lt;=Tablas!$G$22), 3,  ""))))</f>
        <v/>
      </c>
      <c r="AV537" s="97" t="str">
        <f t="shared" si="878"/>
        <v/>
      </c>
      <c r="AW537" s="103" t="str">
        <f t="shared" si="879"/>
        <v/>
      </c>
      <c r="AX537" s="176" t="str">
        <f t="shared" ref="AX537" si="930">IFERROR(VLOOKUP(AY537, tabla04, 2, 0), "")</f>
        <v/>
      </c>
      <c r="AY537" s="168" t="str">
        <f>IF(F537="", "", IF((F537-MAX(AV537:AV541))&lt;=0, 1, F537-MAX(AV537:AV541)))</f>
        <v/>
      </c>
      <c r="AZ537" s="178" t="str">
        <f t="shared" ref="AZ537" si="931">IFERROR(VLOOKUP(BA537, tabla04, 3, 0), "")</f>
        <v/>
      </c>
      <c r="BA537" s="168" t="str">
        <f>IF(Q537="", "", IF((Q537-MAX(AW537:AW541))&lt;=0, 1, Q537-MAX(AW537:AW541)))</f>
        <v/>
      </c>
      <c r="BB537" s="182"/>
      <c r="BC537" s="182"/>
      <c r="BD537" s="185"/>
      <c r="BE537" s="185"/>
      <c r="BF537" s="158" t="str">
        <f t="shared" ref="BF537:BF539" si="932">IFERROR(VLOOKUP(CONCATENATE(AY537, "-", BA537), cuadrante_sev, 3, 0), "")</f>
        <v/>
      </c>
      <c r="BG537" s="191"/>
    </row>
    <row r="538" spans="1:59" x14ac:dyDescent="0.25">
      <c r="A538" s="167"/>
      <c r="B538" s="167"/>
      <c r="C538" s="161"/>
      <c r="D538" s="160"/>
      <c r="E538" s="162"/>
      <c r="F538" s="164"/>
      <c r="G538" s="161"/>
      <c r="H538" s="161"/>
      <c r="I538" s="161"/>
      <c r="J538" s="161"/>
      <c r="K538" s="161"/>
      <c r="L538" s="166"/>
      <c r="M538" s="166"/>
      <c r="N538" s="166"/>
      <c r="O538" s="166"/>
      <c r="P538" s="166"/>
      <c r="Q538" s="166"/>
      <c r="R538" s="166"/>
      <c r="S538" s="167"/>
      <c r="T538" s="167"/>
      <c r="U538" s="167"/>
      <c r="V538" s="167"/>
      <c r="W538" s="167"/>
      <c r="X538" s="164"/>
      <c r="Y538" s="164"/>
      <c r="Z538" s="172"/>
      <c r="AA538" s="188"/>
      <c r="AB538" s="172"/>
      <c r="AC538" s="172"/>
      <c r="AD538" s="175"/>
      <c r="AE538" s="62" t="s">
        <v>114</v>
      </c>
      <c r="AF538" s="133"/>
      <c r="AG538" s="65"/>
      <c r="AH538" s="64"/>
      <c r="AI538" s="64"/>
      <c r="AJ538" s="64"/>
      <c r="AK538" s="64"/>
      <c r="AL538" s="64"/>
      <c r="AM538" s="80" t="str">
        <f>IFERROR((Tablas!$C$1*VLOOKUP(AH538, tipo_control, 2, 0)+Tablas!$E$1*VLOOKUP(AI538, nat_control, 2, 0)+Tablas!$G$1*VLOOKUP(AJ538, ev_control, 2, 0)+Tablas!$I$1*VLOOKUP(AK538, frec_control, 2, 0)+Tablas!$K$1*VLOOKUP(AL538, doc_control, 2, 0))*0.1*peso_dis, "")</f>
        <v/>
      </c>
      <c r="AN538" s="64"/>
      <c r="AO538" s="64"/>
      <c r="AP538" s="64"/>
      <c r="AQ538" s="80" t="str">
        <f>IFERROR((Tablas!$C$9*VLOOKUP(AN538, amb_control, 2, 0)+Tablas!$E$9*VLOOKUP(AO538, ejec_control, 2, 0)+Tablas!$G$9*VLOOKUP(AP538, cub_control, 2, 0))*0.1*peso_ejec, "")</f>
        <v/>
      </c>
      <c r="AR538" s="91" t="str">
        <f t="shared" si="877"/>
        <v/>
      </c>
      <c r="AS538" s="85" t="str">
        <f t="shared" si="911"/>
        <v/>
      </c>
      <c r="AT538" s="85" t="str">
        <f t="shared" si="912"/>
        <v/>
      </c>
      <c r="AU538" s="85" t="str">
        <f>IF(AR538&lt;Tablas!$G$19, 0, IF(AND(AR538&gt;=Tablas!$G$19, AR538&lt;Tablas!$G$20), 1,  IF(AND(AR538&gt;=Tablas!$G$20, AR538&lt;Tablas!$G$21), 2,  IF(AND(AR538&gt;=Tablas!$G$21, AR538&lt;=Tablas!$G$22), 3,  ""))))</f>
        <v/>
      </c>
      <c r="AV538" s="85" t="str">
        <f t="shared" si="878"/>
        <v/>
      </c>
      <c r="AW538" s="101" t="str">
        <f t="shared" si="879"/>
        <v/>
      </c>
      <c r="AX538" s="177"/>
      <c r="AY538" s="169"/>
      <c r="AZ538" s="158"/>
      <c r="BA538" s="169"/>
      <c r="BB538" s="182"/>
      <c r="BC538" s="182"/>
      <c r="BD538" s="185"/>
      <c r="BE538" s="185"/>
      <c r="BF538" s="158" t="str">
        <f t="shared" si="932"/>
        <v/>
      </c>
      <c r="BG538" s="191"/>
    </row>
    <row r="539" spans="1:59" x14ac:dyDescent="0.25">
      <c r="A539" s="167"/>
      <c r="B539" s="167"/>
      <c r="C539" s="161"/>
      <c r="D539" s="160"/>
      <c r="E539" s="162"/>
      <c r="F539" s="164"/>
      <c r="G539" s="161"/>
      <c r="H539" s="161"/>
      <c r="I539" s="161"/>
      <c r="J539" s="161"/>
      <c r="K539" s="161"/>
      <c r="L539" s="166"/>
      <c r="M539" s="166"/>
      <c r="N539" s="166"/>
      <c r="O539" s="166"/>
      <c r="P539" s="166"/>
      <c r="Q539" s="166"/>
      <c r="R539" s="166"/>
      <c r="S539" s="167"/>
      <c r="T539" s="167"/>
      <c r="U539" s="167"/>
      <c r="V539" s="167"/>
      <c r="W539" s="167"/>
      <c r="X539" s="164"/>
      <c r="Y539" s="164"/>
      <c r="Z539" s="172"/>
      <c r="AA539" s="188"/>
      <c r="AB539" s="172"/>
      <c r="AC539" s="172"/>
      <c r="AD539" s="175"/>
      <c r="AE539" s="62" t="s">
        <v>115</v>
      </c>
      <c r="AF539" s="133"/>
      <c r="AG539" s="65"/>
      <c r="AH539" s="64"/>
      <c r="AI539" s="64"/>
      <c r="AJ539" s="64"/>
      <c r="AK539" s="64"/>
      <c r="AL539" s="64"/>
      <c r="AM539" s="80" t="str">
        <f>IFERROR((Tablas!$C$1*VLOOKUP(AH539, tipo_control, 2, 0)+Tablas!$E$1*VLOOKUP(AI539, nat_control, 2, 0)+Tablas!$G$1*VLOOKUP(AJ539, ev_control, 2, 0)+Tablas!$I$1*VLOOKUP(AK539, frec_control, 2, 0)+Tablas!$K$1*VLOOKUP(AL539, doc_control, 2, 0))*0.1*peso_dis, "")</f>
        <v/>
      </c>
      <c r="AN539" s="64"/>
      <c r="AO539" s="64"/>
      <c r="AP539" s="64"/>
      <c r="AQ539" s="80" t="str">
        <f>IFERROR((Tablas!$C$9*VLOOKUP(AN539, amb_control, 2, 0)+Tablas!$E$9*VLOOKUP(AO539, ejec_control, 2, 0)+Tablas!$G$9*VLOOKUP(AP539, cub_control, 2, 0))*0.1*peso_ejec, "")</f>
        <v/>
      </c>
      <c r="AR539" s="91" t="str">
        <f t="shared" si="877"/>
        <v/>
      </c>
      <c r="AS539" s="85" t="str">
        <f t="shared" si="911"/>
        <v/>
      </c>
      <c r="AT539" s="85" t="str">
        <f t="shared" si="912"/>
        <v/>
      </c>
      <c r="AU539" s="85" t="str">
        <f>IF(AR539&lt;Tablas!$G$19, 0, IF(AND(AR539&gt;=Tablas!$G$19, AR539&lt;Tablas!$G$20), 1,  IF(AND(AR539&gt;=Tablas!$G$20, AR539&lt;Tablas!$G$21), 2,  IF(AND(AR539&gt;=Tablas!$G$21, AR539&lt;=Tablas!$G$22), 3,  ""))))</f>
        <v/>
      </c>
      <c r="AV539" s="85" t="str">
        <f t="shared" si="878"/>
        <v/>
      </c>
      <c r="AW539" s="101" t="str">
        <f t="shared" si="879"/>
        <v/>
      </c>
      <c r="AX539" s="177"/>
      <c r="AY539" s="169"/>
      <c r="AZ539" s="158"/>
      <c r="BA539" s="169"/>
      <c r="BB539" s="182"/>
      <c r="BC539" s="182"/>
      <c r="BD539" s="185"/>
      <c r="BE539" s="185"/>
      <c r="BF539" s="158" t="str">
        <f t="shared" si="932"/>
        <v/>
      </c>
      <c r="BG539" s="191"/>
    </row>
    <row r="540" spans="1:59" x14ac:dyDescent="0.25">
      <c r="A540" s="167"/>
      <c r="B540" s="167"/>
      <c r="C540" s="161"/>
      <c r="D540" s="160"/>
      <c r="E540" s="162"/>
      <c r="F540" s="164"/>
      <c r="G540" s="161"/>
      <c r="H540" s="161"/>
      <c r="I540" s="161"/>
      <c r="J540" s="161"/>
      <c r="K540" s="161"/>
      <c r="L540" s="166"/>
      <c r="M540" s="166"/>
      <c r="N540" s="166"/>
      <c r="O540" s="166"/>
      <c r="P540" s="166"/>
      <c r="Q540" s="166"/>
      <c r="R540" s="166"/>
      <c r="S540" s="167"/>
      <c r="T540" s="167"/>
      <c r="U540" s="167"/>
      <c r="V540" s="167"/>
      <c r="W540" s="167"/>
      <c r="X540" s="164"/>
      <c r="Y540" s="164"/>
      <c r="Z540" s="172"/>
      <c r="AA540" s="188"/>
      <c r="AB540" s="172"/>
      <c r="AC540" s="172"/>
      <c r="AD540" s="175"/>
      <c r="AE540" s="62" t="s">
        <v>153</v>
      </c>
      <c r="AF540" s="133"/>
      <c r="AG540" s="65"/>
      <c r="AH540" s="64"/>
      <c r="AI540" s="64"/>
      <c r="AJ540" s="64"/>
      <c r="AK540" s="64"/>
      <c r="AL540" s="64"/>
      <c r="AM540" s="80" t="str">
        <f>IFERROR((Tablas!$C$1*VLOOKUP(AH540, tipo_control, 2, 0)+Tablas!$E$1*VLOOKUP(AI540, nat_control, 2, 0)+Tablas!$G$1*VLOOKUP(AJ540, ev_control, 2, 0)+Tablas!$I$1*VLOOKUP(AK540, frec_control, 2, 0)+Tablas!$K$1*VLOOKUP(AL540, doc_control, 2, 0))*0.1*peso_dis, "")</f>
        <v/>
      </c>
      <c r="AN540" s="64"/>
      <c r="AO540" s="64"/>
      <c r="AP540" s="64"/>
      <c r="AQ540" s="80" t="str">
        <f>IFERROR((Tablas!$C$9*VLOOKUP(AN540, amb_control, 2, 0)+Tablas!$E$9*VLOOKUP(AO540, ejec_control, 2, 0)+Tablas!$G$9*VLOOKUP(AP540, cub_control, 2, 0))*0.1*peso_ejec, "")</f>
        <v/>
      </c>
      <c r="AR540" s="91" t="str">
        <f t="shared" si="877"/>
        <v/>
      </c>
      <c r="AS540" s="85" t="str">
        <f t="shared" si="911"/>
        <v/>
      </c>
      <c r="AT540" s="85" t="str">
        <f t="shared" si="912"/>
        <v/>
      </c>
      <c r="AU540" s="85" t="str">
        <f>IF(AR540&lt;Tablas!$G$19, 0, IF(AND(AR540&gt;=Tablas!$G$19, AR540&lt;Tablas!$G$20), 1,  IF(AND(AR540&gt;=Tablas!$G$20, AR540&lt;Tablas!$G$21), 2,  IF(AND(AR540&gt;=Tablas!$G$21, AR540&lt;=Tablas!$G$22), 3,  ""))))</f>
        <v/>
      </c>
      <c r="AV540" s="85" t="str">
        <f t="shared" si="878"/>
        <v/>
      </c>
      <c r="AW540" s="101" t="str">
        <f t="shared" si="879"/>
        <v/>
      </c>
      <c r="AX540" s="177"/>
      <c r="AY540" s="169"/>
      <c r="AZ540" s="158"/>
      <c r="BA540" s="169"/>
      <c r="BB540" s="182"/>
      <c r="BC540" s="182"/>
      <c r="BD540" s="185"/>
      <c r="BE540" s="185"/>
      <c r="BF540" s="158"/>
      <c r="BG540" s="191"/>
    </row>
    <row r="541" spans="1:59" ht="15.75" thickBot="1" x14ac:dyDescent="0.3">
      <c r="A541" s="167"/>
      <c r="B541" s="167"/>
      <c r="C541" s="161"/>
      <c r="D541" s="160"/>
      <c r="E541" s="162"/>
      <c r="F541" s="165"/>
      <c r="G541" s="161"/>
      <c r="H541" s="161"/>
      <c r="I541" s="161"/>
      <c r="J541" s="161"/>
      <c r="K541" s="161"/>
      <c r="L541" s="166"/>
      <c r="M541" s="166"/>
      <c r="N541" s="166"/>
      <c r="O541" s="166"/>
      <c r="P541" s="166"/>
      <c r="Q541" s="166"/>
      <c r="R541" s="166"/>
      <c r="S541" s="149"/>
      <c r="T541" s="149"/>
      <c r="U541" s="149"/>
      <c r="V541" s="149"/>
      <c r="W541" s="149"/>
      <c r="X541" s="165"/>
      <c r="Y541" s="165"/>
      <c r="Z541" s="172"/>
      <c r="AA541" s="188"/>
      <c r="AB541" s="172"/>
      <c r="AC541" s="172"/>
      <c r="AD541" s="175"/>
      <c r="AE541" s="66" t="s">
        <v>154</v>
      </c>
      <c r="AF541" s="134"/>
      <c r="AG541" s="67"/>
      <c r="AH541" s="69"/>
      <c r="AI541" s="69"/>
      <c r="AJ541" s="69"/>
      <c r="AK541" s="69"/>
      <c r="AL541" s="69"/>
      <c r="AM541" s="81" t="str">
        <f>IFERROR((Tablas!$C$1*VLOOKUP(AH541, tipo_control, 2, 0)+Tablas!$E$1*VLOOKUP(AI541, nat_control, 2, 0)+Tablas!$G$1*VLOOKUP(AJ541, ev_control, 2, 0)+Tablas!$I$1*VLOOKUP(AK541, frec_control, 2, 0)+Tablas!$K$1*VLOOKUP(AL541, doc_control, 2, 0))*0.1*peso_dis, "")</f>
        <v/>
      </c>
      <c r="AN541" s="69"/>
      <c r="AO541" s="69"/>
      <c r="AP541" s="69"/>
      <c r="AQ541" s="81" t="str">
        <f>IFERROR((Tablas!$C$9*VLOOKUP(AN541, amb_control, 2, 0)+Tablas!$E$9*VLOOKUP(AO541, ejec_control, 2, 0)+Tablas!$G$9*VLOOKUP(AP541, cub_control, 2, 0))*0.1*peso_ejec, "")</f>
        <v/>
      </c>
      <c r="AR541" s="93" t="str">
        <f t="shared" si="877"/>
        <v/>
      </c>
      <c r="AS541" s="94" t="str">
        <f t="shared" si="911"/>
        <v/>
      </c>
      <c r="AT541" s="94" t="str">
        <f t="shared" si="912"/>
        <v/>
      </c>
      <c r="AU541" s="94" t="str">
        <f>IF(AR541&lt;Tablas!$G$19, 0, IF(AND(AR541&gt;=Tablas!$G$19, AR541&lt;Tablas!$G$20), 1,  IF(AND(AR541&gt;=Tablas!$G$20, AR541&lt;Tablas!$G$21), 2,  IF(AND(AR541&gt;=Tablas!$G$21, AR541&lt;=Tablas!$G$22), 3,  ""))))</f>
        <v/>
      </c>
      <c r="AV541" s="94" t="str">
        <f t="shared" si="878"/>
        <v/>
      </c>
      <c r="AW541" s="102" t="str">
        <f t="shared" si="879"/>
        <v/>
      </c>
      <c r="AX541" s="157"/>
      <c r="AY541" s="170"/>
      <c r="AZ541" s="179"/>
      <c r="BA541" s="170"/>
      <c r="BB541" s="182"/>
      <c r="BC541" s="182"/>
      <c r="BD541" s="185"/>
      <c r="BE541" s="185"/>
      <c r="BF541" s="159"/>
      <c r="BG541" s="191"/>
    </row>
    <row r="542" spans="1:59" x14ac:dyDescent="0.25">
      <c r="A542" s="167"/>
      <c r="B542" s="167"/>
      <c r="C542" s="161" t="s">
        <v>181</v>
      </c>
      <c r="D542" s="160" t="s">
        <v>158</v>
      </c>
      <c r="E542" s="162"/>
      <c r="F542" s="163" t="str">
        <f t="shared" si="900"/>
        <v/>
      </c>
      <c r="G542" s="149"/>
      <c r="H542" s="149"/>
      <c r="I542" s="149"/>
      <c r="J542" s="149"/>
      <c r="K542" s="149"/>
      <c r="L542" s="165" t="str">
        <f t="shared" ref="L542" si="933">IFERROR(VLOOKUP(G542, tabla02, 2, 0), "")</f>
        <v/>
      </c>
      <c r="M542" s="165" t="str">
        <f t="shared" ref="M542" si="934">IFERROR(VLOOKUP(H542, tabla02, 2, 0), "")</f>
        <v/>
      </c>
      <c r="N542" s="165" t="str">
        <f t="shared" ref="N542" si="935">IFERROR(VLOOKUP(I542, tabla02, 2, 0), "")</f>
        <v/>
      </c>
      <c r="O542" s="165" t="str">
        <f t="shared" ref="O542" si="936">IFERROR(VLOOKUP(J542, tabla02, 2, 0), "")</f>
        <v/>
      </c>
      <c r="P542" s="165" t="str">
        <f t="shared" ref="P542" si="937">IFERROR(VLOOKUP(K542, tabla02, 2, 0), "")</f>
        <v/>
      </c>
      <c r="Q542" s="165" t="str">
        <f t="shared" ref="Q542" si="938">IF(SUM(L542:O546)=0, "", MAX(L542:P542))</f>
        <v/>
      </c>
      <c r="R542" s="165" t="str">
        <f>IFERROR(VLOOKUP(Q542, tabla04, 3, 0), "")</f>
        <v/>
      </c>
      <c r="S542" s="148"/>
      <c r="T542" s="148"/>
      <c r="U542" s="148"/>
      <c r="V542" s="148"/>
      <c r="W542" s="148"/>
      <c r="X542" s="163" t="str">
        <f>IFERROR(VLOOKUP(CONCATENATE(F542, "-", Q542), cuadrante_sev, 3, 0), "")</f>
        <v/>
      </c>
      <c r="Y542" s="163" t="str">
        <f t="shared" ref="Y542" si="939">IFERROR(IF(X542="Baja", 1, IF(X542="Moderada", 2, IF(X542="Alta", 3, IF(X542="Extrema", 4, "")))), "")</f>
        <v/>
      </c>
      <c r="Z542" s="172"/>
      <c r="AA542" s="188"/>
      <c r="AB542" s="172"/>
      <c r="AC542" s="172"/>
      <c r="AD542" s="175"/>
      <c r="AE542" s="70" t="s">
        <v>113</v>
      </c>
      <c r="AF542" s="135"/>
      <c r="AG542" s="74"/>
      <c r="AH542" s="72"/>
      <c r="AI542" s="72"/>
      <c r="AJ542" s="72"/>
      <c r="AK542" s="72"/>
      <c r="AL542" s="72"/>
      <c r="AM542" s="82" t="str">
        <f>IFERROR((Tablas!$C$1*VLOOKUP(AH542, tipo_control, 2, 0)+Tablas!$E$1*VLOOKUP(AI542, nat_control, 2, 0)+Tablas!$G$1*VLOOKUP(AJ542, ev_control, 2, 0)+Tablas!$I$1*VLOOKUP(AK542, frec_control, 2, 0)+Tablas!$K$1*VLOOKUP(AL542, doc_control, 2, 0))*0.1*peso_dis, "")</f>
        <v/>
      </c>
      <c r="AN542" s="72"/>
      <c r="AO542" s="72"/>
      <c r="AP542" s="72"/>
      <c r="AQ542" s="82" t="str">
        <f>IFERROR((Tablas!$C$9*VLOOKUP(AN542, amb_control, 2, 0)+Tablas!$E$9*VLOOKUP(AO542, ejec_control, 2, 0)+Tablas!$G$9*VLOOKUP(AP542, cub_control, 2, 0))*0.1*peso_ejec, "")</f>
        <v/>
      </c>
      <c r="AR542" s="96" t="str">
        <f t="shared" si="877"/>
        <v/>
      </c>
      <c r="AS542" s="97" t="str">
        <f t="shared" si="911"/>
        <v/>
      </c>
      <c r="AT542" s="87" t="str">
        <f t="shared" si="912"/>
        <v/>
      </c>
      <c r="AU542" s="97" t="str">
        <f>IF(AR542&lt;Tablas!$G$19, 0, IF(AND(AR542&gt;=Tablas!$G$19, AR542&lt;Tablas!$G$20), 1,  IF(AND(AR542&gt;=Tablas!$G$20, AR542&lt;Tablas!$G$21), 2,  IF(AND(AR542&gt;=Tablas!$G$21, AR542&lt;=Tablas!$G$22), 3,  ""))))</f>
        <v/>
      </c>
      <c r="AV542" s="97" t="str">
        <f t="shared" si="878"/>
        <v/>
      </c>
      <c r="AW542" s="103" t="str">
        <f t="shared" si="879"/>
        <v/>
      </c>
      <c r="AX542" s="176" t="str">
        <f t="shared" ref="AX542" si="940">IFERROR(VLOOKUP(AY542, tabla04, 2, 0), "")</f>
        <v/>
      </c>
      <c r="AY542" s="168" t="str">
        <f>IF(F542="", "", IF((F542-MAX(AV542:AV546))&lt;=0, 1, F542-MAX(AV542:AV546)))</f>
        <v/>
      </c>
      <c r="AZ542" s="178" t="str">
        <f t="shared" ref="AZ542" si="941">IFERROR(VLOOKUP(BA542, tabla04, 3, 0), "")</f>
        <v/>
      </c>
      <c r="BA542" s="168" t="str">
        <f>IF(Q542="", "", IF((Q542-MAX(AW542:AW546))&lt;=0, 1, Q542-MAX(AW542:AW546)))</f>
        <v/>
      </c>
      <c r="BB542" s="182"/>
      <c r="BC542" s="182"/>
      <c r="BD542" s="185"/>
      <c r="BE542" s="185"/>
      <c r="BF542" s="158" t="str">
        <f t="shared" ref="BF542:BF544" si="942">IFERROR(VLOOKUP(CONCATENATE(AY542, "-", BA542), cuadrante_sev, 3, 0), "")</f>
        <v/>
      </c>
      <c r="BG542" s="191"/>
    </row>
    <row r="543" spans="1:59" x14ac:dyDescent="0.25">
      <c r="A543" s="167"/>
      <c r="B543" s="167"/>
      <c r="C543" s="161"/>
      <c r="D543" s="160"/>
      <c r="E543" s="162"/>
      <c r="F543" s="164"/>
      <c r="G543" s="161"/>
      <c r="H543" s="161"/>
      <c r="I543" s="161"/>
      <c r="J543" s="161"/>
      <c r="K543" s="161"/>
      <c r="L543" s="166"/>
      <c r="M543" s="166"/>
      <c r="N543" s="166"/>
      <c r="O543" s="166"/>
      <c r="P543" s="166"/>
      <c r="Q543" s="166"/>
      <c r="R543" s="166"/>
      <c r="S543" s="167"/>
      <c r="T543" s="167"/>
      <c r="U543" s="167"/>
      <c r="V543" s="167"/>
      <c r="W543" s="167"/>
      <c r="X543" s="164"/>
      <c r="Y543" s="164"/>
      <c r="Z543" s="172"/>
      <c r="AA543" s="188"/>
      <c r="AB543" s="172"/>
      <c r="AC543" s="172"/>
      <c r="AD543" s="175"/>
      <c r="AE543" s="62" t="s">
        <v>114</v>
      </c>
      <c r="AF543" s="133"/>
      <c r="AG543" s="65"/>
      <c r="AH543" s="64"/>
      <c r="AI543" s="64"/>
      <c r="AJ543" s="64"/>
      <c r="AK543" s="64"/>
      <c r="AL543" s="64"/>
      <c r="AM543" s="80" t="str">
        <f>IFERROR((Tablas!$C$1*VLOOKUP(AH543, tipo_control, 2, 0)+Tablas!$E$1*VLOOKUP(AI543, nat_control, 2, 0)+Tablas!$G$1*VLOOKUP(AJ543, ev_control, 2, 0)+Tablas!$I$1*VLOOKUP(AK543, frec_control, 2, 0)+Tablas!$K$1*VLOOKUP(AL543, doc_control, 2, 0))*0.1*peso_dis, "")</f>
        <v/>
      </c>
      <c r="AN543" s="64"/>
      <c r="AO543" s="64"/>
      <c r="AP543" s="64"/>
      <c r="AQ543" s="80" t="str">
        <f>IFERROR((Tablas!$C$9*VLOOKUP(AN543, amb_control, 2, 0)+Tablas!$E$9*VLOOKUP(AO543, ejec_control, 2, 0)+Tablas!$G$9*VLOOKUP(AP543, cub_control, 2, 0))*0.1*peso_ejec, "")</f>
        <v/>
      </c>
      <c r="AR543" s="91" t="str">
        <f t="shared" si="877"/>
        <v/>
      </c>
      <c r="AS543" s="85" t="str">
        <f t="shared" si="911"/>
        <v/>
      </c>
      <c r="AT543" s="85" t="str">
        <f t="shared" si="912"/>
        <v/>
      </c>
      <c r="AU543" s="85" t="str">
        <f>IF(AR543&lt;Tablas!$G$19, 0, IF(AND(AR543&gt;=Tablas!$G$19, AR543&lt;Tablas!$G$20), 1,  IF(AND(AR543&gt;=Tablas!$G$20, AR543&lt;Tablas!$G$21), 2,  IF(AND(AR543&gt;=Tablas!$G$21, AR543&lt;=Tablas!$G$22), 3,  ""))))</f>
        <v/>
      </c>
      <c r="AV543" s="85" t="str">
        <f t="shared" si="878"/>
        <v/>
      </c>
      <c r="AW543" s="101" t="str">
        <f t="shared" si="879"/>
        <v/>
      </c>
      <c r="AX543" s="177"/>
      <c r="AY543" s="169"/>
      <c r="AZ543" s="158"/>
      <c r="BA543" s="169"/>
      <c r="BB543" s="182"/>
      <c r="BC543" s="182"/>
      <c r="BD543" s="185"/>
      <c r="BE543" s="185"/>
      <c r="BF543" s="158" t="str">
        <f t="shared" si="942"/>
        <v/>
      </c>
      <c r="BG543" s="191"/>
    </row>
    <row r="544" spans="1:59" x14ac:dyDescent="0.25">
      <c r="A544" s="167"/>
      <c r="B544" s="167"/>
      <c r="C544" s="161"/>
      <c r="D544" s="160"/>
      <c r="E544" s="162"/>
      <c r="F544" s="164"/>
      <c r="G544" s="161"/>
      <c r="H544" s="161"/>
      <c r="I544" s="161"/>
      <c r="J544" s="161"/>
      <c r="K544" s="161"/>
      <c r="L544" s="166"/>
      <c r="M544" s="166"/>
      <c r="N544" s="166"/>
      <c r="O544" s="166"/>
      <c r="P544" s="166"/>
      <c r="Q544" s="166"/>
      <c r="R544" s="166"/>
      <c r="S544" s="167"/>
      <c r="T544" s="167"/>
      <c r="U544" s="167"/>
      <c r="V544" s="167"/>
      <c r="W544" s="167"/>
      <c r="X544" s="164"/>
      <c r="Y544" s="164"/>
      <c r="Z544" s="172"/>
      <c r="AA544" s="188"/>
      <c r="AB544" s="172"/>
      <c r="AC544" s="172"/>
      <c r="AD544" s="175"/>
      <c r="AE544" s="62" t="s">
        <v>115</v>
      </c>
      <c r="AF544" s="133"/>
      <c r="AG544" s="65"/>
      <c r="AH544" s="64"/>
      <c r="AI544" s="64"/>
      <c r="AJ544" s="64"/>
      <c r="AK544" s="64"/>
      <c r="AL544" s="64"/>
      <c r="AM544" s="80" t="str">
        <f>IFERROR((Tablas!$C$1*VLOOKUP(AH544, tipo_control, 2, 0)+Tablas!$E$1*VLOOKUP(AI544, nat_control, 2, 0)+Tablas!$G$1*VLOOKUP(AJ544, ev_control, 2, 0)+Tablas!$I$1*VLOOKUP(AK544, frec_control, 2, 0)+Tablas!$K$1*VLOOKUP(AL544, doc_control, 2, 0))*0.1*peso_dis, "")</f>
        <v/>
      </c>
      <c r="AN544" s="64"/>
      <c r="AO544" s="64"/>
      <c r="AP544" s="64"/>
      <c r="AQ544" s="80" t="str">
        <f>IFERROR((Tablas!$C$9*VLOOKUP(AN544, amb_control, 2, 0)+Tablas!$E$9*VLOOKUP(AO544, ejec_control, 2, 0)+Tablas!$G$9*VLOOKUP(AP544, cub_control, 2, 0))*0.1*peso_ejec, "")</f>
        <v/>
      </c>
      <c r="AR544" s="91" t="str">
        <f t="shared" si="877"/>
        <v/>
      </c>
      <c r="AS544" s="85" t="str">
        <f t="shared" si="911"/>
        <v/>
      </c>
      <c r="AT544" s="85" t="str">
        <f t="shared" si="912"/>
        <v/>
      </c>
      <c r="AU544" s="85" t="str">
        <f>IF(AR544&lt;Tablas!$G$19, 0, IF(AND(AR544&gt;=Tablas!$G$19, AR544&lt;Tablas!$G$20), 1,  IF(AND(AR544&gt;=Tablas!$G$20, AR544&lt;Tablas!$G$21), 2,  IF(AND(AR544&gt;=Tablas!$G$21, AR544&lt;=Tablas!$G$22), 3,  ""))))</f>
        <v/>
      </c>
      <c r="AV544" s="85" t="str">
        <f t="shared" si="878"/>
        <v/>
      </c>
      <c r="AW544" s="101" t="str">
        <f t="shared" si="879"/>
        <v/>
      </c>
      <c r="AX544" s="177"/>
      <c r="AY544" s="169"/>
      <c r="AZ544" s="158"/>
      <c r="BA544" s="169"/>
      <c r="BB544" s="182"/>
      <c r="BC544" s="182"/>
      <c r="BD544" s="185"/>
      <c r="BE544" s="185"/>
      <c r="BF544" s="158" t="str">
        <f t="shared" si="942"/>
        <v/>
      </c>
      <c r="BG544" s="191"/>
    </row>
    <row r="545" spans="1:59" x14ac:dyDescent="0.25">
      <c r="A545" s="167"/>
      <c r="B545" s="167"/>
      <c r="C545" s="161"/>
      <c r="D545" s="160"/>
      <c r="E545" s="162"/>
      <c r="F545" s="164"/>
      <c r="G545" s="161"/>
      <c r="H545" s="161"/>
      <c r="I545" s="161"/>
      <c r="J545" s="161"/>
      <c r="K545" s="161"/>
      <c r="L545" s="166"/>
      <c r="M545" s="166"/>
      <c r="N545" s="166"/>
      <c r="O545" s="166"/>
      <c r="P545" s="166"/>
      <c r="Q545" s="166"/>
      <c r="R545" s="166"/>
      <c r="S545" s="167"/>
      <c r="T545" s="167"/>
      <c r="U545" s="167"/>
      <c r="V545" s="167"/>
      <c r="W545" s="167"/>
      <c r="X545" s="164"/>
      <c r="Y545" s="164"/>
      <c r="Z545" s="172"/>
      <c r="AA545" s="188"/>
      <c r="AB545" s="172"/>
      <c r="AC545" s="172"/>
      <c r="AD545" s="175"/>
      <c r="AE545" s="62" t="s">
        <v>153</v>
      </c>
      <c r="AF545" s="133"/>
      <c r="AG545" s="65"/>
      <c r="AH545" s="64"/>
      <c r="AI545" s="64"/>
      <c r="AJ545" s="64"/>
      <c r="AK545" s="64"/>
      <c r="AL545" s="64"/>
      <c r="AM545" s="80" t="str">
        <f>IFERROR((Tablas!$C$1*VLOOKUP(AH545, tipo_control, 2, 0)+Tablas!$E$1*VLOOKUP(AI545, nat_control, 2, 0)+Tablas!$G$1*VLOOKUP(AJ545, ev_control, 2, 0)+Tablas!$I$1*VLOOKUP(AK545, frec_control, 2, 0)+Tablas!$K$1*VLOOKUP(AL545, doc_control, 2, 0))*0.1*peso_dis, "")</f>
        <v/>
      </c>
      <c r="AN545" s="64"/>
      <c r="AO545" s="64"/>
      <c r="AP545" s="64"/>
      <c r="AQ545" s="80" t="str">
        <f>IFERROR((Tablas!$C$9*VLOOKUP(AN545, amb_control, 2, 0)+Tablas!$E$9*VLOOKUP(AO545, ejec_control, 2, 0)+Tablas!$G$9*VLOOKUP(AP545, cub_control, 2, 0))*0.1*peso_ejec, "")</f>
        <v/>
      </c>
      <c r="AR545" s="91" t="str">
        <f t="shared" si="877"/>
        <v/>
      </c>
      <c r="AS545" s="85" t="str">
        <f t="shared" si="911"/>
        <v/>
      </c>
      <c r="AT545" s="85" t="str">
        <f t="shared" si="912"/>
        <v/>
      </c>
      <c r="AU545" s="85" t="str">
        <f>IF(AR545&lt;Tablas!$G$19, 0, IF(AND(AR545&gt;=Tablas!$G$19, AR545&lt;Tablas!$G$20), 1,  IF(AND(AR545&gt;=Tablas!$G$20, AR545&lt;Tablas!$G$21), 2,  IF(AND(AR545&gt;=Tablas!$G$21, AR545&lt;=Tablas!$G$22), 3,  ""))))</f>
        <v/>
      </c>
      <c r="AV545" s="85" t="str">
        <f t="shared" si="878"/>
        <v/>
      </c>
      <c r="AW545" s="101" t="str">
        <f t="shared" si="879"/>
        <v/>
      </c>
      <c r="AX545" s="177"/>
      <c r="AY545" s="169"/>
      <c r="AZ545" s="158"/>
      <c r="BA545" s="169"/>
      <c r="BB545" s="182"/>
      <c r="BC545" s="182"/>
      <c r="BD545" s="185"/>
      <c r="BE545" s="185"/>
      <c r="BF545" s="158"/>
      <c r="BG545" s="191"/>
    </row>
    <row r="546" spans="1:59" ht="15.75" thickBot="1" x14ac:dyDescent="0.3">
      <c r="A546" s="167"/>
      <c r="B546" s="167"/>
      <c r="C546" s="161"/>
      <c r="D546" s="160"/>
      <c r="E546" s="162"/>
      <c r="F546" s="165"/>
      <c r="G546" s="161"/>
      <c r="H546" s="161"/>
      <c r="I546" s="161"/>
      <c r="J546" s="161"/>
      <c r="K546" s="161"/>
      <c r="L546" s="166"/>
      <c r="M546" s="166"/>
      <c r="N546" s="166"/>
      <c r="O546" s="166"/>
      <c r="P546" s="166"/>
      <c r="Q546" s="166"/>
      <c r="R546" s="166"/>
      <c r="S546" s="149"/>
      <c r="T546" s="149"/>
      <c r="U546" s="149"/>
      <c r="V546" s="149"/>
      <c r="W546" s="149"/>
      <c r="X546" s="165"/>
      <c r="Y546" s="165"/>
      <c r="Z546" s="172"/>
      <c r="AA546" s="188"/>
      <c r="AB546" s="172"/>
      <c r="AC546" s="172"/>
      <c r="AD546" s="175"/>
      <c r="AE546" s="66" t="s">
        <v>154</v>
      </c>
      <c r="AF546" s="134"/>
      <c r="AG546" s="67"/>
      <c r="AH546" s="69"/>
      <c r="AI546" s="69"/>
      <c r="AJ546" s="69"/>
      <c r="AK546" s="69"/>
      <c r="AL546" s="69"/>
      <c r="AM546" s="81" t="str">
        <f>IFERROR((Tablas!$C$1*VLOOKUP(AH546, tipo_control, 2, 0)+Tablas!$E$1*VLOOKUP(AI546, nat_control, 2, 0)+Tablas!$G$1*VLOOKUP(AJ546, ev_control, 2, 0)+Tablas!$I$1*VLOOKUP(AK546, frec_control, 2, 0)+Tablas!$K$1*VLOOKUP(AL546, doc_control, 2, 0))*0.1*peso_dis, "")</f>
        <v/>
      </c>
      <c r="AN546" s="69"/>
      <c r="AO546" s="69"/>
      <c r="AP546" s="69"/>
      <c r="AQ546" s="81" t="str">
        <f>IFERROR((Tablas!$C$9*VLOOKUP(AN546, amb_control, 2, 0)+Tablas!$E$9*VLOOKUP(AO546, ejec_control, 2, 0)+Tablas!$G$9*VLOOKUP(AP546, cub_control, 2, 0))*0.1*peso_ejec, "")</f>
        <v/>
      </c>
      <c r="AR546" s="93" t="str">
        <f t="shared" si="877"/>
        <v/>
      </c>
      <c r="AS546" s="94" t="str">
        <f t="shared" si="911"/>
        <v/>
      </c>
      <c r="AT546" s="94" t="str">
        <f t="shared" si="912"/>
        <v/>
      </c>
      <c r="AU546" s="94" t="str">
        <f>IF(AR546&lt;Tablas!$G$19, 0, IF(AND(AR546&gt;=Tablas!$G$19, AR546&lt;Tablas!$G$20), 1,  IF(AND(AR546&gt;=Tablas!$G$20, AR546&lt;Tablas!$G$21), 2,  IF(AND(AR546&gt;=Tablas!$G$21, AR546&lt;=Tablas!$G$22), 3,  ""))))</f>
        <v/>
      </c>
      <c r="AV546" s="94" t="str">
        <f t="shared" si="878"/>
        <v/>
      </c>
      <c r="AW546" s="102" t="str">
        <f t="shared" si="879"/>
        <v/>
      </c>
      <c r="AX546" s="157"/>
      <c r="AY546" s="170"/>
      <c r="AZ546" s="179"/>
      <c r="BA546" s="170"/>
      <c r="BB546" s="182"/>
      <c r="BC546" s="182"/>
      <c r="BD546" s="185"/>
      <c r="BE546" s="185"/>
      <c r="BF546" s="159"/>
      <c r="BG546" s="191"/>
    </row>
    <row r="547" spans="1:59" x14ac:dyDescent="0.25">
      <c r="A547" s="167"/>
      <c r="B547" s="167"/>
      <c r="C547" s="161" t="s">
        <v>182</v>
      </c>
      <c r="D547" s="160" t="s">
        <v>158</v>
      </c>
      <c r="E547" s="162"/>
      <c r="F547" s="163" t="str">
        <f t="shared" si="900"/>
        <v/>
      </c>
      <c r="G547" s="149"/>
      <c r="H547" s="149"/>
      <c r="I547" s="149"/>
      <c r="J547" s="149"/>
      <c r="K547" s="149"/>
      <c r="L547" s="165" t="str">
        <f t="shared" ref="L547" si="943">IFERROR(VLOOKUP(G547, tabla02, 2, 0), "")</f>
        <v/>
      </c>
      <c r="M547" s="165" t="str">
        <f t="shared" ref="M547" si="944">IFERROR(VLOOKUP(H547, tabla02, 2, 0), "")</f>
        <v/>
      </c>
      <c r="N547" s="165" t="str">
        <f t="shared" ref="N547" si="945">IFERROR(VLOOKUP(I547, tabla02, 2, 0), "")</f>
        <v/>
      </c>
      <c r="O547" s="165" t="str">
        <f t="shared" ref="O547" si="946">IFERROR(VLOOKUP(J547, tabla02, 2, 0), "")</f>
        <v/>
      </c>
      <c r="P547" s="165" t="str">
        <f t="shared" ref="P547" si="947">IFERROR(VLOOKUP(K547, tabla02, 2, 0), "")</f>
        <v/>
      </c>
      <c r="Q547" s="165" t="str">
        <f t="shared" ref="Q547" si="948">IF(SUM(L547:O551)=0, "", MAX(L547:P547))</f>
        <v/>
      </c>
      <c r="R547" s="165" t="str">
        <f>IFERROR(VLOOKUP(Q547, tabla04, 3, 0), "")</f>
        <v/>
      </c>
      <c r="S547" s="148"/>
      <c r="T547" s="148"/>
      <c r="U547" s="148"/>
      <c r="V547" s="148"/>
      <c r="W547" s="148"/>
      <c r="X547" s="163" t="str">
        <f>IFERROR(VLOOKUP(CONCATENATE(F547, "-", Q547), cuadrante_sev, 3, 0), "")</f>
        <v/>
      </c>
      <c r="Y547" s="163" t="str">
        <f t="shared" ref="Y547" si="949">IFERROR(IF(X547="Baja", 1, IF(X547="Moderada", 2, IF(X547="Alta", 3, IF(X547="Extrema", 4, "")))), "")</f>
        <v/>
      </c>
      <c r="Z547" s="172"/>
      <c r="AA547" s="188"/>
      <c r="AB547" s="172"/>
      <c r="AC547" s="172"/>
      <c r="AD547" s="175"/>
      <c r="AE547" s="70" t="s">
        <v>113</v>
      </c>
      <c r="AF547" s="135"/>
      <c r="AG547" s="74"/>
      <c r="AH547" s="72"/>
      <c r="AI547" s="72"/>
      <c r="AJ547" s="72"/>
      <c r="AK547" s="72"/>
      <c r="AL547" s="72"/>
      <c r="AM547" s="82" t="str">
        <f>IFERROR((Tablas!$C$1*VLOOKUP(AH547, tipo_control, 2, 0)+Tablas!$E$1*VLOOKUP(AI547, nat_control, 2, 0)+Tablas!$G$1*VLOOKUP(AJ547, ev_control, 2, 0)+Tablas!$I$1*VLOOKUP(AK547, frec_control, 2, 0)+Tablas!$K$1*VLOOKUP(AL547, doc_control, 2, 0))*0.1*peso_dis, "")</f>
        <v/>
      </c>
      <c r="AN547" s="72"/>
      <c r="AO547" s="72"/>
      <c r="AP547" s="72"/>
      <c r="AQ547" s="82" t="str">
        <f>IFERROR((Tablas!$C$9*VLOOKUP(AN547, amb_control, 2, 0)+Tablas!$E$9*VLOOKUP(AO547, ejec_control, 2, 0)+Tablas!$G$9*VLOOKUP(AP547, cub_control, 2, 0))*0.1*peso_ejec, "")</f>
        <v/>
      </c>
      <c r="AR547" s="96" t="str">
        <f t="shared" si="877"/>
        <v/>
      </c>
      <c r="AS547" s="97" t="str">
        <f t="shared" si="911"/>
        <v/>
      </c>
      <c r="AT547" s="87" t="str">
        <f t="shared" si="912"/>
        <v/>
      </c>
      <c r="AU547" s="97" t="str">
        <f>IF(AR547&lt;Tablas!$G$19, 0, IF(AND(AR547&gt;=Tablas!$G$19, AR547&lt;Tablas!$G$20), 1,  IF(AND(AR547&gt;=Tablas!$G$20, AR547&lt;Tablas!$G$21), 2,  IF(AND(AR547&gt;=Tablas!$G$21, AR547&lt;=Tablas!$G$22), 3,  ""))))</f>
        <v/>
      </c>
      <c r="AV547" s="97" t="str">
        <f t="shared" si="878"/>
        <v/>
      </c>
      <c r="AW547" s="103" t="str">
        <f t="shared" si="879"/>
        <v/>
      </c>
      <c r="AX547" s="176" t="str">
        <f t="shared" ref="AX547" si="950">IFERROR(VLOOKUP(AY547, tabla04, 2, 0), "")</f>
        <v/>
      </c>
      <c r="AY547" s="168" t="str">
        <f>IF(F547="", "", IF((F547-MAX(AV547:AV551))&lt;=0, 1, F547-MAX(AV547:AV551)))</f>
        <v/>
      </c>
      <c r="AZ547" s="178" t="str">
        <f t="shared" ref="AZ547" si="951">IFERROR(VLOOKUP(BA547, tabla04, 3, 0), "")</f>
        <v/>
      </c>
      <c r="BA547" s="168" t="str">
        <f>IF(Q547="", "", IF((Q547-MAX(AW547:AW551))&lt;=0, 1, Q547-MAX(AW547:AW551)))</f>
        <v/>
      </c>
      <c r="BB547" s="182"/>
      <c r="BC547" s="182"/>
      <c r="BD547" s="185"/>
      <c r="BE547" s="185"/>
      <c r="BF547" s="158" t="str">
        <f t="shared" ref="BF547:BF549" si="952">IFERROR(VLOOKUP(CONCATENATE(AY547, "-", BA547), cuadrante_sev, 3, 0), "")</f>
        <v/>
      </c>
      <c r="BG547" s="191"/>
    </row>
    <row r="548" spans="1:59" x14ac:dyDescent="0.25">
      <c r="A548" s="167"/>
      <c r="B548" s="167"/>
      <c r="C548" s="161"/>
      <c r="D548" s="160"/>
      <c r="E548" s="162"/>
      <c r="F548" s="164"/>
      <c r="G548" s="161"/>
      <c r="H548" s="161"/>
      <c r="I548" s="161"/>
      <c r="J548" s="161"/>
      <c r="K548" s="161"/>
      <c r="L548" s="166"/>
      <c r="M548" s="166"/>
      <c r="N548" s="166"/>
      <c r="O548" s="166"/>
      <c r="P548" s="166"/>
      <c r="Q548" s="166"/>
      <c r="R548" s="166"/>
      <c r="S548" s="167"/>
      <c r="T548" s="167"/>
      <c r="U548" s="167"/>
      <c r="V548" s="167"/>
      <c r="W548" s="167"/>
      <c r="X548" s="164"/>
      <c r="Y548" s="164"/>
      <c r="Z548" s="172"/>
      <c r="AA548" s="188"/>
      <c r="AB548" s="172"/>
      <c r="AC548" s="172"/>
      <c r="AD548" s="175"/>
      <c r="AE548" s="62" t="s">
        <v>114</v>
      </c>
      <c r="AF548" s="133"/>
      <c r="AG548" s="65"/>
      <c r="AH548" s="64"/>
      <c r="AI548" s="64"/>
      <c r="AJ548" s="64"/>
      <c r="AK548" s="64"/>
      <c r="AL548" s="64"/>
      <c r="AM548" s="80" t="str">
        <f>IFERROR((Tablas!$C$1*VLOOKUP(AH548, tipo_control, 2, 0)+Tablas!$E$1*VLOOKUP(AI548, nat_control, 2, 0)+Tablas!$G$1*VLOOKUP(AJ548, ev_control, 2, 0)+Tablas!$I$1*VLOOKUP(AK548, frec_control, 2, 0)+Tablas!$K$1*VLOOKUP(AL548, doc_control, 2, 0))*0.1*peso_dis, "")</f>
        <v/>
      </c>
      <c r="AN548" s="64"/>
      <c r="AO548" s="64"/>
      <c r="AP548" s="64"/>
      <c r="AQ548" s="80" t="str">
        <f>IFERROR((Tablas!$C$9*VLOOKUP(AN548, amb_control, 2, 0)+Tablas!$E$9*VLOOKUP(AO548, ejec_control, 2, 0)+Tablas!$G$9*VLOOKUP(AP548, cub_control, 2, 0))*0.1*peso_ejec, "")</f>
        <v/>
      </c>
      <c r="AR548" s="91" t="str">
        <f t="shared" si="877"/>
        <v/>
      </c>
      <c r="AS548" s="85" t="str">
        <f t="shared" si="911"/>
        <v/>
      </c>
      <c r="AT548" s="85" t="str">
        <f t="shared" si="912"/>
        <v/>
      </c>
      <c r="AU548" s="85" t="str">
        <f>IF(AR548&lt;Tablas!$G$19, 0, IF(AND(AR548&gt;=Tablas!$G$19, AR548&lt;Tablas!$G$20), 1,  IF(AND(AR548&gt;=Tablas!$G$20, AR548&lt;Tablas!$G$21), 2,  IF(AND(AR548&gt;=Tablas!$G$21, AR548&lt;=Tablas!$G$22), 3,  ""))))</f>
        <v/>
      </c>
      <c r="AV548" s="85" t="str">
        <f t="shared" si="878"/>
        <v/>
      </c>
      <c r="AW548" s="101" t="str">
        <f t="shared" si="879"/>
        <v/>
      </c>
      <c r="AX548" s="177"/>
      <c r="AY548" s="169"/>
      <c r="AZ548" s="158"/>
      <c r="BA548" s="169"/>
      <c r="BB548" s="182"/>
      <c r="BC548" s="182"/>
      <c r="BD548" s="185"/>
      <c r="BE548" s="185"/>
      <c r="BF548" s="158" t="str">
        <f t="shared" si="952"/>
        <v/>
      </c>
      <c r="BG548" s="191"/>
    </row>
    <row r="549" spans="1:59" x14ac:dyDescent="0.25">
      <c r="A549" s="167"/>
      <c r="B549" s="167"/>
      <c r="C549" s="161"/>
      <c r="D549" s="160"/>
      <c r="E549" s="162"/>
      <c r="F549" s="164"/>
      <c r="G549" s="161"/>
      <c r="H549" s="161"/>
      <c r="I549" s="161"/>
      <c r="J549" s="161"/>
      <c r="K549" s="161"/>
      <c r="L549" s="166"/>
      <c r="M549" s="166"/>
      <c r="N549" s="166"/>
      <c r="O549" s="166"/>
      <c r="P549" s="166"/>
      <c r="Q549" s="166"/>
      <c r="R549" s="166"/>
      <c r="S549" s="167"/>
      <c r="T549" s="167"/>
      <c r="U549" s="167"/>
      <c r="V549" s="167"/>
      <c r="W549" s="167"/>
      <c r="X549" s="164"/>
      <c r="Y549" s="164"/>
      <c r="Z549" s="172"/>
      <c r="AA549" s="188"/>
      <c r="AB549" s="172"/>
      <c r="AC549" s="172"/>
      <c r="AD549" s="175"/>
      <c r="AE549" s="62" t="s">
        <v>115</v>
      </c>
      <c r="AF549" s="133"/>
      <c r="AG549" s="65"/>
      <c r="AH549" s="64"/>
      <c r="AI549" s="64"/>
      <c r="AJ549" s="64"/>
      <c r="AK549" s="64"/>
      <c r="AL549" s="64"/>
      <c r="AM549" s="80" t="str">
        <f>IFERROR((Tablas!$C$1*VLOOKUP(AH549, tipo_control, 2, 0)+Tablas!$E$1*VLOOKUP(AI549, nat_control, 2, 0)+Tablas!$G$1*VLOOKUP(AJ549, ev_control, 2, 0)+Tablas!$I$1*VLOOKUP(AK549, frec_control, 2, 0)+Tablas!$K$1*VLOOKUP(AL549, doc_control, 2, 0))*0.1*peso_dis, "")</f>
        <v/>
      </c>
      <c r="AN549" s="64"/>
      <c r="AO549" s="64"/>
      <c r="AP549" s="64"/>
      <c r="AQ549" s="80" t="str">
        <f>IFERROR((Tablas!$C$9*VLOOKUP(AN549, amb_control, 2, 0)+Tablas!$E$9*VLOOKUP(AO549, ejec_control, 2, 0)+Tablas!$G$9*VLOOKUP(AP549, cub_control, 2, 0))*0.1*peso_ejec, "")</f>
        <v/>
      </c>
      <c r="AR549" s="91" t="str">
        <f t="shared" si="877"/>
        <v/>
      </c>
      <c r="AS549" s="85" t="str">
        <f t="shared" si="911"/>
        <v/>
      </c>
      <c r="AT549" s="85" t="str">
        <f t="shared" si="912"/>
        <v/>
      </c>
      <c r="AU549" s="85" t="str">
        <f>IF(AR549&lt;Tablas!$G$19, 0, IF(AND(AR549&gt;=Tablas!$G$19, AR549&lt;Tablas!$G$20), 1,  IF(AND(AR549&gt;=Tablas!$G$20, AR549&lt;Tablas!$G$21), 2,  IF(AND(AR549&gt;=Tablas!$G$21, AR549&lt;=Tablas!$G$22), 3,  ""))))</f>
        <v/>
      </c>
      <c r="AV549" s="85" t="str">
        <f t="shared" si="878"/>
        <v/>
      </c>
      <c r="AW549" s="101" t="str">
        <f t="shared" si="879"/>
        <v/>
      </c>
      <c r="AX549" s="177"/>
      <c r="AY549" s="169"/>
      <c r="AZ549" s="158"/>
      <c r="BA549" s="169"/>
      <c r="BB549" s="182"/>
      <c r="BC549" s="182"/>
      <c r="BD549" s="185"/>
      <c r="BE549" s="185"/>
      <c r="BF549" s="158" t="str">
        <f t="shared" si="952"/>
        <v/>
      </c>
      <c r="BG549" s="191"/>
    </row>
    <row r="550" spans="1:59" x14ac:dyDescent="0.25">
      <c r="A550" s="167"/>
      <c r="B550" s="167"/>
      <c r="C550" s="161"/>
      <c r="D550" s="160"/>
      <c r="E550" s="162"/>
      <c r="F550" s="164"/>
      <c r="G550" s="161"/>
      <c r="H550" s="161"/>
      <c r="I550" s="161"/>
      <c r="J550" s="161"/>
      <c r="K550" s="161"/>
      <c r="L550" s="166"/>
      <c r="M550" s="166"/>
      <c r="N550" s="166"/>
      <c r="O550" s="166"/>
      <c r="P550" s="166"/>
      <c r="Q550" s="166"/>
      <c r="R550" s="166"/>
      <c r="S550" s="167"/>
      <c r="T550" s="167"/>
      <c r="U550" s="167"/>
      <c r="V550" s="167"/>
      <c r="W550" s="167"/>
      <c r="X550" s="164"/>
      <c r="Y550" s="164"/>
      <c r="Z550" s="172"/>
      <c r="AA550" s="188"/>
      <c r="AB550" s="172"/>
      <c r="AC550" s="172"/>
      <c r="AD550" s="175"/>
      <c r="AE550" s="62" t="s">
        <v>153</v>
      </c>
      <c r="AF550" s="133"/>
      <c r="AG550" s="65"/>
      <c r="AH550" s="64"/>
      <c r="AI550" s="64"/>
      <c r="AJ550" s="64"/>
      <c r="AK550" s="64"/>
      <c r="AL550" s="64"/>
      <c r="AM550" s="80" t="str">
        <f>IFERROR((Tablas!$C$1*VLOOKUP(AH550, tipo_control, 2, 0)+Tablas!$E$1*VLOOKUP(AI550, nat_control, 2, 0)+Tablas!$G$1*VLOOKUP(AJ550, ev_control, 2, 0)+Tablas!$I$1*VLOOKUP(AK550, frec_control, 2, 0)+Tablas!$K$1*VLOOKUP(AL550, doc_control, 2, 0))*0.1*peso_dis, "")</f>
        <v/>
      </c>
      <c r="AN550" s="64"/>
      <c r="AO550" s="64"/>
      <c r="AP550" s="64"/>
      <c r="AQ550" s="80" t="str">
        <f>IFERROR((Tablas!$C$9*VLOOKUP(AN550, amb_control, 2, 0)+Tablas!$E$9*VLOOKUP(AO550, ejec_control, 2, 0)+Tablas!$G$9*VLOOKUP(AP550, cub_control, 2, 0))*0.1*peso_ejec, "")</f>
        <v/>
      </c>
      <c r="AR550" s="91" t="str">
        <f t="shared" si="877"/>
        <v/>
      </c>
      <c r="AS550" s="85" t="str">
        <f t="shared" si="911"/>
        <v/>
      </c>
      <c r="AT550" s="85" t="str">
        <f t="shared" si="912"/>
        <v/>
      </c>
      <c r="AU550" s="85" t="str">
        <f>IF(AR550&lt;Tablas!$G$19, 0, IF(AND(AR550&gt;=Tablas!$G$19, AR550&lt;Tablas!$G$20), 1,  IF(AND(AR550&gt;=Tablas!$G$20, AR550&lt;Tablas!$G$21), 2,  IF(AND(AR550&gt;=Tablas!$G$21, AR550&lt;=Tablas!$G$22), 3,  ""))))</f>
        <v/>
      </c>
      <c r="AV550" s="85" t="str">
        <f t="shared" si="878"/>
        <v/>
      </c>
      <c r="AW550" s="101" t="str">
        <f t="shared" si="879"/>
        <v/>
      </c>
      <c r="AX550" s="177"/>
      <c r="AY550" s="169"/>
      <c r="AZ550" s="158"/>
      <c r="BA550" s="169"/>
      <c r="BB550" s="182"/>
      <c r="BC550" s="182"/>
      <c r="BD550" s="185"/>
      <c r="BE550" s="185"/>
      <c r="BF550" s="158"/>
      <c r="BG550" s="191"/>
    </row>
    <row r="551" spans="1:59" ht="15.75" thickBot="1" x14ac:dyDescent="0.3">
      <c r="A551" s="167"/>
      <c r="B551" s="167"/>
      <c r="C551" s="161"/>
      <c r="D551" s="160"/>
      <c r="E551" s="162"/>
      <c r="F551" s="165"/>
      <c r="G551" s="161"/>
      <c r="H551" s="161"/>
      <c r="I551" s="161"/>
      <c r="J551" s="161"/>
      <c r="K551" s="161"/>
      <c r="L551" s="166"/>
      <c r="M551" s="166"/>
      <c r="N551" s="166"/>
      <c r="O551" s="166"/>
      <c r="P551" s="166"/>
      <c r="Q551" s="166"/>
      <c r="R551" s="166"/>
      <c r="S551" s="149"/>
      <c r="T551" s="149"/>
      <c r="U551" s="149"/>
      <c r="V551" s="149"/>
      <c r="W551" s="149"/>
      <c r="X551" s="165"/>
      <c r="Y551" s="165"/>
      <c r="Z551" s="172"/>
      <c r="AA551" s="188"/>
      <c r="AB551" s="172"/>
      <c r="AC551" s="172"/>
      <c r="AD551" s="175"/>
      <c r="AE551" s="66" t="s">
        <v>154</v>
      </c>
      <c r="AF551" s="134"/>
      <c r="AG551" s="67"/>
      <c r="AH551" s="69"/>
      <c r="AI551" s="69"/>
      <c r="AJ551" s="69"/>
      <c r="AK551" s="69"/>
      <c r="AL551" s="69"/>
      <c r="AM551" s="81" t="str">
        <f>IFERROR((Tablas!$C$1*VLOOKUP(AH551, tipo_control, 2, 0)+Tablas!$E$1*VLOOKUP(AI551, nat_control, 2, 0)+Tablas!$G$1*VLOOKUP(AJ551, ev_control, 2, 0)+Tablas!$I$1*VLOOKUP(AK551, frec_control, 2, 0)+Tablas!$K$1*VLOOKUP(AL551, doc_control, 2, 0))*0.1*peso_dis, "")</f>
        <v/>
      </c>
      <c r="AN551" s="69"/>
      <c r="AO551" s="69"/>
      <c r="AP551" s="69"/>
      <c r="AQ551" s="81" t="str">
        <f>IFERROR((Tablas!$C$9*VLOOKUP(AN551, amb_control, 2, 0)+Tablas!$E$9*VLOOKUP(AO551, ejec_control, 2, 0)+Tablas!$G$9*VLOOKUP(AP551, cub_control, 2, 0))*0.1*peso_ejec, "")</f>
        <v/>
      </c>
      <c r="AR551" s="93" t="str">
        <f t="shared" si="877"/>
        <v/>
      </c>
      <c r="AS551" s="94" t="str">
        <f t="shared" si="911"/>
        <v/>
      </c>
      <c r="AT551" s="94" t="str">
        <f t="shared" si="912"/>
        <v/>
      </c>
      <c r="AU551" s="94" t="str">
        <f>IF(AR551&lt;Tablas!$G$19, 0, IF(AND(AR551&gt;=Tablas!$G$19, AR551&lt;Tablas!$G$20), 1,  IF(AND(AR551&gt;=Tablas!$G$20, AR551&lt;Tablas!$G$21), 2,  IF(AND(AR551&gt;=Tablas!$G$21, AR551&lt;=Tablas!$G$22), 3,  ""))))</f>
        <v/>
      </c>
      <c r="AV551" s="94" t="str">
        <f t="shared" si="878"/>
        <v/>
      </c>
      <c r="AW551" s="102" t="str">
        <f t="shared" si="879"/>
        <v/>
      </c>
      <c r="AX551" s="157"/>
      <c r="AY551" s="170"/>
      <c r="AZ551" s="179"/>
      <c r="BA551" s="170"/>
      <c r="BB551" s="182"/>
      <c r="BC551" s="182"/>
      <c r="BD551" s="185"/>
      <c r="BE551" s="185"/>
      <c r="BF551" s="159"/>
      <c r="BG551" s="191"/>
    </row>
    <row r="552" spans="1:59" x14ac:dyDescent="0.25">
      <c r="A552" s="167"/>
      <c r="B552" s="167"/>
      <c r="C552" s="161" t="s">
        <v>183</v>
      </c>
      <c r="D552" s="160" t="s">
        <v>158</v>
      </c>
      <c r="E552" s="162"/>
      <c r="F552" s="163" t="str">
        <f t="shared" si="900"/>
        <v/>
      </c>
      <c r="G552" s="149"/>
      <c r="H552" s="149"/>
      <c r="I552" s="149"/>
      <c r="J552" s="149"/>
      <c r="K552" s="149"/>
      <c r="L552" s="165" t="str">
        <f t="shared" ref="L552" si="953">IFERROR(VLOOKUP(G552, tabla02, 2, 0), "")</f>
        <v/>
      </c>
      <c r="M552" s="165" t="str">
        <f t="shared" ref="M552" si="954">IFERROR(VLOOKUP(H552, tabla02, 2, 0), "")</f>
        <v/>
      </c>
      <c r="N552" s="165" t="str">
        <f t="shared" ref="N552" si="955">IFERROR(VLOOKUP(I552, tabla02, 2, 0), "")</f>
        <v/>
      </c>
      <c r="O552" s="165" t="str">
        <f t="shared" ref="O552" si="956">IFERROR(VLOOKUP(J552, tabla02, 2, 0), "")</f>
        <v/>
      </c>
      <c r="P552" s="165" t="str">
        <f t="shared" ref="P552" si="957">IFERROR(VLOOKUP(K552, tabla02, 2, 0), "")</f>
        <v/>
      </c>
      <c r="Q552" s="165" t="str">
        <f t="shared" ref="Q552" si="958">IF(SUM(L552:O556)=0, "", MAX(L552:P552))</f>
        <v/>
      </c>
      <c r="R552" s="165" t="str">
        <f>IFERROR(VLOOKUP(Q552, tabla04, 3, 0), "")</f>
        <v/>
      </c>
      <c r="S552" s="148"/>
      <c r="T552" s="148"/>
      <c r="U552" s="148"/>
      <c r="V552" s="148"/>
      <c r="W552" s="148"/>
      <c r="X552" s="163" t="str">
        <f>IFERROR(VLOOKUP(CONCATENATE(F552, "-", Q552), cuadrante_sev, 3, 0), "")</f>
        <v/>
      </c>
      <c r="Y552" s="163" t="str">
        <f t="shared" ref="Y552" si="959">IFERROR(IF(X552="Baja", 1, IF(X552="Moderada", 2, IF(X552="Alta", 3, IF(X552="Extrema", 4, "")))), "")</f>
        <v/>
      </c>
      <c r="Z552" s="172"/>
      <c r="AA552" s="188"/>
      <c r="AB552" s="172"/>
      <c r="AC552" s="172"/>
      <c r="AD552" s="175"/>
      <c r="AE552" s="70" t="s">
        <v>113</v>
      </c>
      <c r="AF552" s="135"/>
      <c r="AG552" s="74"/>
      <c r="AH552" s="72"/>
      <c r="AI552" s="72"/>
      <c r="AJ552" s="72"/>
      <c r="AK552" s="72"/>
      <c r="AL552" s="72"/>
      <c r="AM552" s="82" t="str">
        <f>IFERROR((Tablas!$C$1*VLOOKUP(AH552, tipo_control, 2, 0)+Tablas!$E$1*VLOOKUP(AI552, nat_control, 2, 0)+Tablas!$G$1*VLOOKUP(AJ552, ev_control, 2, 0)+Tablas!$I$1*VLOOKUP(AK552, frec_control, 2, 0)+Tablas!$K$1*VLOOKUP(AL552, doc_control, 2, 0))*0.1*peso_dis, "")</f>
        <v/>
      </c>
      <c r="AN552" s="72"/>
      <c r="AO552" s="72"/>
      <c r="AP552" s="72"/>
      <c r="AQ552" s="82" t="str">
        <f>IFERROR((Tablas!$C$9*VLOOKUP(AN552, amb_control, 2, 0)+Tablas!$E$9*VLOOKUP(AO552, ejec_control, 2, 0)+Tablas!$G$9*VLOOKUP(AP552, cub_control, 2, 0))*0.1*peso_ejec, "")</f>
        <v/>
      </c>
      <c r="AR552" s="96" t="str">
        <f t="shared" si="877"/>
        <v/>
      </c>
      <c r="AS552" s="97" t="str">
        <f t="shared" si="911"/>
        <v/>
      </c>
      <c r="AT552" s="87" t="str">
        <f t="shared" si="912"/>
        <v/>
      </c>
      <c r="AU552" s="97" t="str">
        <f>IF(AR552&lt;Tablas!$G$19, 0, IF(AND(AR552&gt;=Tablas!$G$19, AR552&lt;Tablas!$G$20), 1,  IF(AND(AR552&gt;=Tablas!$G$20, AR552&lt;Tablas!$G$21), 2,  IF(AND(AR552&gt;=Tablas!$G$21, AR552&lt;=Tablas!$G$22), 3,  ""))))</f>
        <v/>
      </c>
      <c r="AV552" s="97" t="str">
        <f t="shared" si="878"/>
        <v/>
      </c>
      <c r="AW552" s="103" t="str">
        <f t="shared" si="879"/>
        <v/>
      </c>
      <c r="AX552" s="176" t="str">
        <f t="shared" ref="AX552" si="960">IFERROR(VLOOKUP(AY552, tabla04, 2, 0), "")</f>
        <v/>
      </c>
      <c r="AY552" s="168" t="str">
        <f>IF(F552="", "", IF((F552-MAX(AV552:AV556))&lt;=0, 1, F552-MAX(AV552:AV556)))</f>
        <v/>
      </c>
      <c r="AZ552" s="178" t="str">
        <f t="shared" ref="AZ552" si="961">IFERROR(VLOOKUP(BA552, tabla04, 3, 0), "")</f>
        <v/>
      </c>
      <c r="BA552" s="168" t="str">
        <f>IF(Q552="", "", IF((Q552-MAX(AW552:AW556))&lt;=0, 1, Q552-MAX(AW552:AW556)))</f>
        <v/>
      </c>
      <c r="BB552" s="182"/>
      <c r="BC552" s="182"/>
      <c r="BD552" s="185"/>
      <c r="BE552" s="185"/>
      <c r="BF552" s="158" t="str">
        <f t="shared" ref="BF552:BF554" si="962">IFERROR(VLOOKUP(CONCATENATE(AY552, "-", BA552), cuadrante_sev, 3, 0), "")</f>
        <v/>
      </c>
      <c r="BG552" s="191"/>
    </row>
    <row r="553" spans="1:59" x14ac:dyDescent="0.25">
      <c r="A553" s="167"/>
      <c r="B553" s="167"/>
      <c r="C553" s="161"/>
      <c r="D553" s="160"/>
      <c r="E553" s="162"/>
      <c r="F553" s="164"/>
      <c r="G553" s="161"/>
      <c r="H553" s="161"/>
      <c r="I553" s="161"/>
      <c r="J553" s="161"/>
      <c r="K553" s="161"/>
      <c r="L553" s="166"/>
      <c r="M553" s="166"/>
      <c r="N553" s="166"/>
      <c r="O553" s="166"/>
      <c r="P553" s="166"/>
      <c r="Q553" s="166"/>
      <c r="R553" s="166"/>
      <c r="S553" s="167"/>
      <c r="T553" s="167"/>
      <c r="U553" s="167"/>
      <c r="V553" s="167"/>
      <c r="W553" s="167"/>
      <c r="X553" s="164"/>
      <c r="Y553" s="164"/>
      <c r="Z553" s="172"/>
      <c r="AA553" s="188"/>
      <c r="AB553" s="172"/>
      <c r="AC553" s="172"/>
      <c r="AD553" s="175"/>
      <c r="AE553" s="62" t="s">
        <v>114</v>
      </c>
      <c r="AF553" s="133"/>
      <c r="AG553" s="65"/>
      <c r="AH553" s="64"/>
      <c r="AI553" s="64"/>
      <c r="AJ553" s="64"/>
      <c r="AK553" s="64"/>
      <c r="AL553" s="64"/>
      <c r="AM553" s="80" t="str">
        <f>IFERROR((Tablas!$C$1*VLOOKUP(AH553, tipo_control, 2, 0)+Tablas!$E$1*VLOOKUP(AI553, nat_control, 2, 0)+Tablas!$G$1*VLOOKUP(AJ553, ev_control, 2, 0)+Tablas!$I$1*VLOOKUP(AK553, frec_control, 2, 0)+Tablas!$K$1*VLOOKUP(AL553, doc_control, 2, 0))*0.1*peso_dis, "")</f>
        <v/>
      </c>
      <c r="AN553" s="64"/>
      <c r="AO553" s="64"/>
      <c r="AP553" s="64"/>
      <c r="AQ553" s="80" t="str">
        <f>IFERROR((Tablas!$C$9*VLOOKUP(AN553, amb_control, 2, 0)+Tablas!$E$9*VLOOKUP(AO553, ejec_control, 2, 0)+Tablas!$G$9*VLOOKUP(AP553, cub_control, 2, 0))*0.1*peso_ejec, "")</f>
        <v/>
      </c>
      <c r="AR553" s="91" t="str">
        <f t="shared" si="877"/>
        <v/>
      </c>
      <c r="AS553" s="85" t="str">
        <f t="shared" si="911"/>
        <v/>
      </c>
      <c r="AT553" s="85" t="str">
        <f t="shared" si="912"/>
        <v/>
      </c>
      <c r="AU553" s="85" t="str">
        <f>IF(AR553&lt;Tablas!$G$19, 0, IF(AND(AR553&gt;=Tablas!$G$19, AR553&lt;Tablas!$G$20), 1,  IF(AND(AR553&gt;=Tablas!$G$20, AR553&lt;Tablas!$G$21), 2,  IF(AND(AR553&gt;=Tablas!$G$21, AR553&lt;=Tablas!$G$22), 3,  ""))))</f>
        <v/>
      </c>
      <c r="AV553" s="85" t="str">
        <f t="shared" si="878"/>
        <v/>
      </c>
      <c r="AW553" s="101" t="str">
        <f t="shared" si="879"/>
        <v/>
      </c>
      <c r="AX553" s="177"/>
      <c r="AY553" s="169"/>
      <c r="AZ553" s="158"/>
      <c r="BA553" s="169"/>
      <c r="BB553" s="182"/>
      <c r="BC553" s="182"/>
      <c r="BD553" s="185"/>
      <c r="BE553" s="185"/>
      <c r="BF553" s="158" t="str">
        <f t="shared" si="962"/>
        <v/>
      </c>
      <c r="BG553" s="191"/>
    </row>
    <row r="554" spans="1:59" x14ac:dyDescent="0.25">
      <c r="A554" s="167"/>
      <c r="B554" s="167"/>
      <c r="C554" s="161"/>
      <c r="D554" s="160"/>
      <c r="E554" s="162"/>
      <c r="F554" s="164"/>
      <c r="G554" s="161"/>
      <c r="H554" s="161"/>
      <c r="I554" s="161"/>
      <c r="J554" s="161"/>
      <c r="K554" s="161"/>
      <c r="L554" s="166"/>
      <c r="M554" s="166"/>
      <c r="N554" s="166"/>
      <c r="O554" s="166"/>
      <c r="P554" s="166"/>
      <c r="Q554" s="166"/>
      <c r="R554" s="166"/>
      <c r="S554" s="167"/>
      <c r="T554" s="167"/>
      <c r="U554" s="167"/>
      <c r="V554" s="167"/>
      <c r="W554" s="167"/>
      <c r="X554" s="164"/>
      <c r="Y554" s="164"/>
      <c r="Z554" s="172"/>
      <c r="AA554" s="188"/>
      <c r="AB554" s="172"/>
      <c r="AC554" s="172"/>
      <c r="AD554" s="175"/>
      <c r="AE554" s="62" t="s">
        <v>115</v>
      </c>
      <c r="AF554" s="133"/>
      <c r="AG554" s="65"/>
      <c r="AH554" s="64"/>
      <c r="AI554" s="64"/>
      <c r="AJ554" s="64"/>
      <c r="AK554" s="64"/>
      <c r="AL554" s="64"/>
      <c r="AM554" s="80" t="str">
        <f>IFERROR((Tablas!$C$1*VLOOKUP(AH554, tipo_control, 2, 0)+Tablas!$E$1*VLOOKUP(AI554, nat_control, 2, 0)+Tablas!$G$1*VLOOKUP(AJ554, ev_control, 2, 0)+Tablas!$I$1*VLOOKUP(AK554, frec_control, 2, 0)+Tablas!$K$1*VLOOKUP(AL554, doc_control, 2, 0))*0.1*peso_dis, "")</f>
        <v/>
      </c>
      <c r="AN554" s="64"/>
      <c r="AO554" s="64"/>
      <c r="AP554" s="64"/>
      <c r="AQ554" s="80" t="str">
        <f>IFERROR((Tablas!$C$9*VLOOKUP(AN554, amb_control, 2, 0)+Tablas!$E$9*VLOOKUP(AO554, ejec_control, 2, 0)+Tablas!$G$9*VLOOKUP(AP554, cub_control, 2, 0))*0.1*peso_ejec, "")</f>
        <v/>
      </c>
      <c r="AR554" s="91" t="str">
        <f t="shared" si="877"/>
        <v/>
      </c>
      <c r="AS554" s="85" t="str">
        <f t="shared" si="911"/>
        <v/>
      </c>
      <c r="AT554" s="85" t="str">
        <f t="shared" si="912"/>
        <v/>
      </c>
      <c r="AU554" s="85" t="str">
        <f>IF(AR554&lt;Tablas!$G$19, 0, IF(AND(AR554&gt;=Tablas!$G$19, AR554&lt;Tablas!$G$20), 1,  IF(AND(AR554&gt;=Tablas!$G$20, AR554&lt;Tablas!$G$21), 2,  IF(AND(AR554&gt;=Tablas!$G$21, AR554&lt;=Tablas!$G$22), 3,  ""))))</f>
        <v/>
      </c>
      <c r="AV554" s="85" t="str">
        <f t="shared" si="878"/>
        <v/>
      </c>
      <c r="AW554" s="101" t="str">
        <f t="shared" si="879"/>
        <v/>
      </c>
      <c r="AX554" s="177"/>
      <c r="AY554" s="169"/>
      <c r="AZ554" s="158"/>
      <c r="BA554" s="169"/>
      <c r="BB554" s="182"/>
      <c r="BC554" s="182"/>
      <c r="BD554" s="185"/>
      <c r="BE554" s="185"/>
      <c r="BF554" s="158" t="str">
        <f t="shared" si="962"/>
        <v/>
      </c>
      <c r="BG554" s="191"/>
    </row>
    <row r="555" spans="1:59" x14ac:dyDescent="0.25">
      <c r="A555" s="167"/>
      <c r="B555" s="167"/>
      <c r="C555" s="161"/>
      <c r="D555" s="160"/>
      <c r="E555" s="162"/>
      <c r="F555" s="164"/>
      <c r="G555" s="161"/>
      <c r="H555" s="161"/>
      <c r="I555" s="161"/>
      <c r="J555" s="161"/>
      <c r="K555" s="161"/>
      <c r="L555" s="166"/>
      <c r="M555" s="166"/>
      <c r="N555" s="166"/>
      <c r="O555" s="166"/>
      <c r="P555" s="166"/>
      <c r="Q555" s="166"/>
      <c r="R555" s="166"/>
      <c r="S555" s="167"/>
      <c r="T555" s="167"/>
      <c r="U555" s="167"/>
      <c r="V555" s="167"/>
      <c r="W555" s="167"/>
      <c r="X555" s="164"/>
      <c r="Y555" s="164"/>
      <c r="Z555" s="172"/>
      <c r="AA555" s="188"/>
      <c r="AB555" s="172"/>
      <c r="AC555" s="172"/>
      <c r="AD555" s="175"/>
      <c r="AE555" s="62" t="s">
        <v>153</v>
      </c>
      <c r="AF555" s="133"/>
      <c r="AG555" s="65"/>
      <c r="AH555" s="64"/>
      <c r="AI555" s="64"/>
      <c r="AJ555" s="64"/>
      <c r="AK555" s="64"/>
      <c r="AL555" s="64"/>
      <c r="AM555" s="80" t="str">
        <f>IFERROR((Tablas!$C$1*VLOOKUP(AH555, tipo_control, 2, 0)+Tablas!$E$1*VLOOKUP(AI555, nat_control, 2, 0)+Tablas!$G$1*VLOOKUP(AJ555, ev_control, 2, 0)+Tablas!$I$1*VLOOKUP(AK555, frec_control, 2, 0)+Tablas!$K$1*VLOOKUP(AL555, doc_control, 2, 0))*0.1*peso_dis, "")</f>
        <v/>
      </c>
      <c r="AN555" s="64"/>
      <c r="AO555" s="64"/>
      <c r="AP555" s="64"/>
      <c r="AQ555" s="80" t="str">
        <f>IFERROR((Tablas!$C$9*VLOOKUP(AN555, amb_control, 2, 0)+Tablas!$E$9*VLOOKUP(AO555, ejec_control, 2, 0)+Tablas!$G$9*VLOOKUP(AP555, cub_control, 2, 0))*0.1*peso_ejec, "")</f>
        <v/>
      </c>
      <c r="AR555" s="91" t="str">
        <f t="shared" si="877"/>
        <v/>
      </c>
      <c r="AS555" s="85" t="str">
        <f t="shared" si="911"/>
        <v/>
      </c>
      <c r="AT555" s="85" t="str">
        <f t="shared" si="912"/>
        <v/>
      </c>
      <c r="AU555" s="85" t="str">
        <f>IF(AR555&lt;Tablas!$G$19, 0, IF(AND(AR555&gt;=Tablas!$G$19, AR555&lt;Tablas!$G$20), 1,  IF(AND(AR555&gt;=Tablas!$G$20, AR555&lt;Tablas!$G$21), 2,  IF(AND(AR555&gt;=Tablas!$G$21, AR555&lt;=Tablas!$G$22), 3,  ""))))</f>
        <v/>
      </c>
      <c r="AV555" s="85" t="str">
        <f t="shared" si="878"/>
        <v/>
      </c>
      <c r="AW555" s="101" t="str">
        <f t="shared" si="879"/>
        <v/>
      </c>
      <c r="AX555" s="177"/>
      <c r="AY555" s="169"/>
      <c r="AZ555" s="158"/>
      <c r="BA555" s="169"/>
      <c r="BB555" s="182"/>
      <c r="BC555" s="182"/>
      <c r="BD555" s="185"/>
      <c r="BE555" s="185"/>
      <c r="BF555" s="158"/>
      <c r="BG555" s="191"/>
    </row>
    <row r="556" spans="1:59" ht="15.75" thickBot="1" x14ac:dyDescent="0.3">
      <c r="A556" s="149"/>
      <c r="B556" s="149"/>
      <c r="C556" s="161"/>
      <c r="D556" s="160"/>
      <c r="E556" s="162"/>
      <c r="F556" s="165"/>
      <c r="G556" s="161"/>
      <c r="H556" s="161"/>
      <c r="I556" s="161"/>
      <c r="J556" s="161"/>
      <c r="K556" s="161"/>
      <c r="L556" s="166"/>
      <c r="M556" s="166"/>
      <c r="N556" s="166"/>
      <c r="O556" s="166"/>
      <c r="P556" s="166"/>
      <c r="Q556" s="166"/>
      <c r="R556" s="166"/>
      <c r="S556" s="149"/>
      <c r="T556" s="149"/>
      <c r="U556" s="149"/>
      <c r="V556" s="149"/>
      <c r="W556" s="149"/>
      <c r="X556" s="165"/>
      <c r="Y556" s="165"/>
      <c r="Z556" s="173"/>
      <c r="AA556" s="189"/>
      <c r="AB556" s="173"/>
      <c r="AC556" s="173"/>
      <c r="AD556" s="175"/>
      <c r="AE556" s="75" t="s">
        <v>154</v>
      </c>
      <c r="AF556" s="136"/>
      <c r="AG556" s="68"/>
      <c r="AH556" s="76"/>
      <c r="AI556" s="76"/>
      <c r="AJ556" s="76"/>
      <c r="AK556" s="76"/>
      <c r="AL556" s="76"/>
      <c r="AM556" s="83" t="str">
        <f>IFERROR((Tablas!$C$1*VLOOKUP(AH556, tipo_control, 2, 0)+Tablas!$E$1*VLOOKUP(AI556, nat_control, 2, 0)+Tablas!$G$1*VLOOKUP(AJ556, ev_control, 2, 0)+Tablas!$I$1*VLOOKUP(AK556, frec_control, 2, 0)+Tablas!$K$1*VLOOKUP(AL556, doc_control, 2, 0))*0.1*peso_dis, "")</f>
        <v/>
      </c>
      <c r="AN556" s="76"/>
      <c r="AO556" s="76"/>
      <c r="AP556" s="76"/>
      <c r="AQ556" s="83" t="str">
        <f>IFERROR((Tablas!$C$9*VLOOKUP(AN556, amb_control, 2, 0)+Tablas!$E$9*VLOOKUP(AO556, ejec_control, 2, 0)+Tablas!$G$9*VLOOKUP(AP556, cub_control, 2, 0))*0.1*peso_ejec, "")</f>
        <v/>
      </c>
      <c r="AR556" s="99" t="str">
        <f t="shared" si="877"/>
        <v/>
      </c>
      <c r="AS556" s="86" t="str">
        <f t="shared" si="911"/>
        <v/>
      </c>
      <c r="AT556" s="86" t="str">
        <f t="shared" si="912"/>
        <v/>
      </c>
      <c r="AU556" s="86" t="str">
        <f>IF(AR556&lt;Tablas!$G$19, 0, IF(AND(AR556&gt;=Tablas!$G$19, AR556&lt;Tablas!$G$20), 1,  IF(AND(AR556&gt;=Tablas!$G$20, AR556&lt;Tablas!$G$21), 2,  IF(AND(AR556&gt;=Tablas!$G$21, AR556&lt;=Tablas!$G$22), 3,  ""))))</f>
        <v/>
      </c>
      <c r="AV556" s="86" t="str">
        <f t="shared" si="878"/>
        <v/>
      </c>
      <c r="AW556" s="84" t="str">
        <f t="shared" si="879"/>
        <v/>
      </c>
      <c r="AX556" s="157"/>
      <c r="AY556" s="170"/>
      <c r="AZ556" s="179"/>
      <c r="BA556" s="170"/>
      <c r="BB556" s="183"/>
      <c r="BC556" s="183"/>
      <c r="BD556" s="186"/>
      <c r="BE556" s="186"/>
      <c r="BF556" s="159"/>
      <c r="BG556" s="191"/>
    </row>
    <row r="557" spans="1:59" x14ac:dyDescent="0.25">
      <c r="A557" s="148" t="s">
        <v>197</v>
      </c>
      <c r="B557" s="148" t="s">
        <v>198</v>
      </c>
      <c r="C557" s="161" t="s">
        <v>14</v>
      </c>
      <c r="D557" s="160" t="s">
        <v>158</v>
      </c>
      <c r="E557" s="193"/>
      <c r="F557" s="163" t="str">
        <f t="shared" si="900"/>
        <v/>
      </c>
      <c r="G557" s="149"/>
      <c r="H557" s="149"/>
      <c r="I557" s="149"/>
      <c r="J557" s="149"/>
      <c r="K557" s="149"/>
      <c r="L557" s="165" t="str">
        <f>IFERROR(VLOOKUP(G557, tabla02, 2, 0), "")</f>
        <v/>
      </c>
      <c r="M557" s="165" t="str">
        <f>IFERROR(VLOOKUP(H557, tabla02, 2, 0), "")</f>
        <v/>
      </c>
      <c r="N557" s="165" t="str">
        <f>IFERROR(VLOOKUP(I557, tabla02, 2, 0), "")</f>
        <v/>
      </c>
      <c r="O557" s="165" t="str">
        <f>IFERROR(VLOOKUP(J557, tabla02, 2, 0), "")</f>
        <v/>
      </c>
      <c r="P557" s="165" t="str">
        <f>IFERROR(VLOOKUP(K557, tabla02, 2, 0), "")</f>
        <v/>
      </c>
      <c r="Q557" s="165" t="str">
        <f t="shared" ref="Q557" si="963">IF(SUM(L557:O561)=0, "", MAX(L557:P557))</f>
        <v/>
      </c>
      <c r="R557" s="165" t="str">
        <f>IFERROR(VLOOKUP(Q557, tabla04, 3, 0), "")</f>
        <v/>
      </c>
      <c r="S557" s="148"/>
      <c r="T557" s="148"/>
      <c r="U557" s="148"/>
      <c r="V557" s="148"/>
      <c r="W557" s="148"/>
      <c r="X557" s="164" t="str">
        <f>IFERROR(VLOOKUP(CONCATENATE(F557, "-", Q557), cuadrante_sev, 3, 0), "")</f>
        <v/>
      </c>
      <c r="Y557" s="163" t="str">
        <f>IFERROR(IF(X557="Baja", 1, IF(X557="Moderada", 2, IF(X557="Alta", 3, IF(X557="Extrema", 4, "")))), "")</f>
        <v/>
      </c>
      <c r="Z557" s="171">
        <f t="shared" ref="Z557" si="964">MAX(F557:F606)</f>
        <v>0</v>
      </c>
      <c r="AA557" s="187">
        <f t="shared" ref="AA557" si="965">MAX(Q557:Q606)</f>
        <v>0</v>
      </c>
      <c r="AB557" s="171" t="str">
        <f>IFERROR(VLOOKUP(Z557, tabla04, 2, 0), "")</f>
        <v/>
      </c>
      <c r="AC557" s="171" t="str">
        <f>IFERROR(VLOOKUP(AA557, tabla04, 3, 0), "")</f>
        <v/>
      </c>
      <c r="AD557" s="174" t="str">
        <f>IFERROR(VLOOKUP(CONCATENATE(Z557, "-", AA557), cuadrante_sev, 3, 0), "")</f>
        <v/>
      </c>
      <c r="AE557" s="59" t="s">
        <v>113</v>
      </c>
      <c r="AF557" s="132"/>
      <c r="AG557" s="77"/>
      <c r="AH557" s="61"/>
      <c r="AI557" s="61"/>
      <c r="AJ557" s="61"/>
      <c r="AK557" s="61"/>
      <c r="AL557" s="61"/>
      <c r="AM557" s="79" t="str">
        <f>IFERROR((Tablas!$C$1*VLOOKUP(AH557, tipo_control, 2, 0)+Tablas!$E$1*VLOOKUP(AI557, nat_control, 2, 0)+Tablas!$G$1*VLOOKUP(AJ557, ev_control, 2, 0)+Tablas!$I$1*VLOOKUP(AK557, frec_control, 2, 0)+Tablas!$K$1*VLOOKUP(AL557, doc_control, 2, 0))*0.1*peso_dis, "")</f>
        <v/>
      </c>
      <c r="AN557" s="61"/>
      <c r="AO557" s="61"/>
      <c r="AP557" s="61"/>
      <c r="AQ557" s="79" t="str">
        <f>IFERROR((Tablas!$C$9*VLOOKUP(AN557, amb_control, 2, 0)+Tablas!$E$9*VLOOKUP(AO557, ejec_control, 2, 0)+Tablas!$G$9*VLOOKUP(AP557, cub_control, 2, 0))*0.1*peso_ejec, "")</f>
        <v/>
      </c>
      <c r="AR557" s="89" t="str">
        <f>IFERROR(AM557+AQ557, "")</f>
        <v/>
      </c>
      <c r="AS557" s="87" t="str">
        <f t="shared" si="911"/>
        <v/>
      </c>
      <c r="AT557" s="87" t="str">
        <f t="shared" si="912"/>
        <v/>
      </c>
      <c r="AU557" s="87" t="str">
        <f>IF(AR557&lt;Tablas!$G$19, 0, IF(AND(AR557&gt;=Tablas!$G$19, AR557&lt;Tablas!$G$20), 1,  IF(AND(AR557&gt;=Tablas!$G$20, AR557&lt;Tablas!$G$21), 2,  IF(AND(AR557&gt;=Tablas!$G$21, AR557&lt;=Tablas!$G$22), 3,  ""))))</f>
        <v/>
      </c>
      <c r="AV557" s="87" t="str">
        <f>IF(AS557="Sí",AU557,"")</f>
        <v/>
      </c>
      <c r="AW557" s="100" t="str">
        <f>IF(AT557="Sí",AU557,"")</f>
        <v/>
      </c>
      <c r="AX557" s="176" t="str">
        <f>IFERROR(VLOOKUP(AY557, tabla04, 2, 0), "")</f>
        <v/>
      </c>
      <c r="AY557" s="168" t="str">
        <f>IF(F557="", "", IF((F557-MAX(AV557:AV561))&lt;=0, 1, F557-MAX(AV557:AV561)))</f>
        <v/>
      </c>
      <c r="AZ557" s="178" t="str">
        <f>IFERROR(VLOOKUP(BA557, tabla04, 3, 0), "")</f>
        <v/>
      </c>
      <c r="BA557" s="168" t="str">
        <f>IF(Q557="", "", IF((Q557-MAX(AW557:AW561))&lt;=0, 1, Q557-MAX(AW557:AW561)))</f>
        <v/>
      </c>
      <c r="BB557" s="170">
        <f>IFERROR(MAX(AY557:AY606), "")</f>
        <v>0</v>
      </c>
      <c r="BC557" s="170">
        <f>IFERROR(MAX(BA557:BA606), "")</f>
        <v>0</v>
      </c>
      <c r="BD557" s="184" t="str">
        <f>IFERROR(VLOOKUP(BB557, tabla04, 2, 0), "")</f>
        <v/>
      </c>
      <c r="BE557" s="184" t="str">
        <f>IFERROR(VLOOKUP(BC557, tabla04, 3, 0), "")</f>
        <v/>
      </c>
      <c r="BF557" s="158" t="str">
        <f>IFERROR(VLOOKUP(CONCATENATE(AY557, "-", BA557), cuadrante_sev, 3, 0), "")</f>
        <v/>
      </c>
      <c r="BG557" s="190" t="str">
        <f>IFERROR(VLOOKUP(CONCATENATE(BB557, "-", BC557), cuadrante_sev, 3, 0), "")</f>
        <v/>
      </c>
    </row>
    <row r="558" spans="1:59" x14ac:dyDescent="0.25">
      <c r="A558" s="167"/>
      <c r="B558" s="167"/>
      <c r="C558" s="161"/>
      <c r="D558" s="160"/>
      <c r="E558" s="162"/>
      <c r="F558" s="164"/>
      <c r="G558" s="161"/>
      <c r="H558" s="161"/>
      <c r="I558" s="161"/>
      <c r="J558" s="161"/>
      <c r="K558" s="161"/>
      <c r="L558" s="166"/>
      <c r="M558" s="166"/>
      <c r="N558" s="166"/>
      <c r="O558" s="166"/>
      <c r="P558" s="166"/>
      <c r="Q558" s="166"/>
      <c r="R558" s="166"/>
      <c r="S558" s="167"/>
      <c r="T558" s="167"/>
      <c r="U558" s="167"/>
      <c r="V558" s="167"/>
      <c r="W558" s="167"/>
      <c r="X558" s="164"/>
      <c r="Y558" s="164"/>
      <c r="Z558" s="172"/>
      <c r="AA558" s="188"/>
      <c r="AB558" s="172"/>
      <c r="AC558" s="172"/>
      <c r="AD558" s="175"/>
      <c r="AE558" s="62" t="s">
        <v>114</v>
      </c>
      <c r="AF558" s="133"/>
      <c r="AG558" s="65"/>
      <c r="AH558" s="64"/>
      <c r="AI558" s="64"/>
      <c r="AJ558" s="64"/>
      <c r="AK558" s="64"/>
      <c r="AL558" s="64"/>
      <c r="AM558" s="80" t="str">
        <f>IFERROR((Tablas!$C$1*VLOOKUP(AH558, tipo_control, 2, 0)+Tablas!$E$1*VLOOKUP(AI558, nat_control, 2, 0)+Tablas!$G$1*VLOOKUP(AJ558, ev_control, 2, 0)+Tablas!$I$1*VLOOKUP(AK558, frec_control, 2, 0)+Tablas!$K$1*VLOOKUP(AL558, doc_control, 2, 0))*0.1*peso_dis, "")</f>
        <v/>
      </c>
      <c r="AN558" s="64"/>
      <c r="AO558" s="64"/>
      <c r="AP558" s="64"/>
      <c r="AQ558" s="80" t="str">
        <f>IFERROR((Tablas!$C$9*VLOOKUP(AN558, amb_control, 2, 0)+Tablas!$E$9*VLOOKUP(AO558, ejec_control, 2, 0)+Tablas!$G$9*VLOOKUP(AP558, cub_control, 2, 0))*0.1*peso_ejec, "")</f>
        <v/>
      </c>
      <c r="AR558" s="91" t="str">
        <f t="shared" ref="AR558:AR606" si="966">IFERROR(AM558+AQ558, "")</f>
        <v/>
      </c>
      <c r="AS558" s="87" t="str">
        <f t="shared" si="911"/>
        <v/>
      </c>
      <c r="AT558" s="85" t="str">
        <f t="shared" si="912"/>
        <v/>
      </c>
      <c r="AU558" s="85" t="str">
        <f>IF(AR558&lt;Tablas!$G$19, 0, IF(AND(AR558&gt;=Tablas!$G$19, AR558&lt;Tablas!$G$20), 1,  IF(AND(AR558&gt;=Tablas!$G$20, AR558&lt;Tablas!$G$21), 2,  IF(AND(AR558&gt;=Tablas!$G$21, AR558&lt;=Tablas!$G$22), 3,  ""))))</f>
        <v/>
      </c>
      <c r="AV558" s="85" t="str">
        <f t="shared" ref="AV558:AV606" si="967">IF(AS558="Sí",AU558,"")</f>
        <v/>
      </c>
      <c r="AW558" s="101" t="str">
        <f t="shared" ref="AW558:AW606" si="968">IF(AT558="Sí",AU558,"")</f>
        <v/>
      </c>
      <c r="AX558" s="177"/>
      <c r="AY558" s="169"/>
      <c r="AZ558" s="158"/>
      <c r="BA558" s="169"/>
      <c r="BB558" s="182"/>
      <c r="BC558" s="182"/>
      <c r="BD558" s="185"/>
      <c r="BE558" s="185"/>
      <c r="BF558" s="158"/>
      <c r="BG558" s="191"/>
    </row>
    <row r="559" spans="1:59" x14ac:dyDescent="0.25">
      <c r="A559" s="167"/>
      <c r="B559" s="167"/>
      <c r="C559" s="161"/>
      <c r="D559" s="160"/>
      <c r="E559" s="162"/>
      <c r="F559" s="164"/>
      <c r="G559" s="161"/>
      <c r="H559" s="161"/>
      <c r="I559" s="161"/>
      <c r="J559" s="161"/>
      <c r="K559" s="161"/>
      <c r="L559" s="166"/>
      <c r="M559" s="166"/>
      <c r="N559" s="166"/>
      <c r="O559" s="166"/>
      <c r="P559" s="166"/>
      <c r="Q559" s="166"/>
      <c r="R559" s="166"/>
      <c r="S559" s="167"/>
      <c r="T559" s="167"/>
      <c r="U559" s="167"/>
      <c r="V559" s="167"/>
      <c r="W559" s="167"/>
      <c r="X559" s="164"/>
      <c r="Y559" s="164"/>
      <c r="Z559" s="172"/>
      <c r="AA559" s="188"/>
      <c r="AB559" s="172"/>
      <c r="AC559" s="172"/>
      <c r="AD559" s="175"/>
      <c r="AE559" s="62" t="s">
        <v>115</v>
      </c>
      <c r="AF559" s="133"/>
      <c r="AG559" s="65"/>
      <c r="AH559" s="64"/>
      <c r="AI559" s="64"/>
      <c r="AJ559" s="64"/>
      <c r="AK559" s="64"/>
      <c r="AL559" s="64"/>
      <c r="AM559" s="80" t="str">
        <f>IFERROR((Tablas!$C$1*VLOOKUP(AH559, tipo_control, 2, 0)+Tablas!$E$1*VLOOKUP(AI559, nat_control, 2, 0)+Tablas!$G$1*VLOOKUP(AJ559, ev_control, 2, 0)+Tablas!$I$1*VLOOKUP(AK559, frec_control, 2, 0)+Tablas!$K$1*VLOOKUP(AL559, doc_control, 2, 0))*0.1*peso_dis, "")</f>
        <v/>
      </c>
      <c r="AN559" s="64"/>
      <c r="AO559" s="64"/>
      <c r="AP559" s="64"/>
      <c r="AQ559" s="80" t="str">
        <f>IFERROR((Tablas!$C$9*VLOOKUP(AN559, amb_control, 2, 0)+Tablas!$E$9*VLOOKUP(AO559, ejec_control, 2, 0)+Tablas!$G$9*VLOOKUP(AP559, cub_control, 2, 0))*0.1*peso_ejec, "")</f>
        <v/>
      </c>
      <c r="AR559" s="91" t="str">
        <f t="shared" si="966"/>
        <v/>
      </c>
      <c r="AS559" s="87" t="str">
        <f t="shared" si="911"/>
        <v/>
      </c>
      <c r="AT559" s="85" t="str">
        <f t="shared" si="912"/>
        <v/>
      </c>
      <c r="AU559" s="85" t="str">
        <f>IF(AR559&lt;Tablas!$G$19, 0, IF(AND(AR559&gt;=Tablas!$G$19, AR559&lt;Tablas!$G$20), 1,  IF(AND(AR559&gt;=Tablas!$G$20, AR559&lt;Tablas!$G$21), 2,  IF(AND(AR559&gt;=Tablas!$G$21, AR559&lt;=Tablas!$G$22), 3,  ""))))</f>
        <v/>
      </c>
      <c r="AV559" s="85" t="str">
        <f t="shared" si="967"/>
        <v/>
      </c>
      <c r="AW559" s="101" t="str">
        <f t="shared" si="968"/>
        <v/>
      </c>
      <c r="AX559" s="177"/>
      <c r="AY559" s="169"/>
      <c r="AZ559" s="158"/>
      <c r="BA559" s="169"/>
      <c r="BB559" s="182"/>
      <c r="BC559" s="182"/>
      <c r="BD559" s="185"/>
      <c r="BE559" s="185"/>
      <c r="BF559" s="158"/>
      <c r="BG559" s="191"/>
    </row>
    <row r="560" spans="1:59" x14ac:dyDescent="0.25">
      <c r="A560" s="167"/>
      <c r="B560" s="167"/>
      <c r="C560" s="161"/>
      <c r="D560" s="160"/>
      <c r="E560" s="162"/>
      <c r="F560" s="164"/>
      <c r="G560" s="161"/>
      <c r="H560" s="161"/>
      <c r="I560" s="161"/>
      <c r="J560" s="161"/>
      <c r="K560" s="161"/>
      <c r="L560" s="166"/>
      <c r="M560" s="166"/>
      <c r="N560" s="166"/>
      <c r="O560" s="166"/>
      <c r="P560" s="166"/>
      <c r="Q560" s="166"/>
      <c r="R560" s="166"/>
      <c r="S560" s="167"/>
      <c r="T560" s="167"/>
      <c r="U560" s="167"/>
      <c r="V560" s="167"/>
      <c r="W560" s="167"/>
      <c r="X560" s="164"/>
      <c r="Y560" s="164"/>
      <c r="Z560" s="172"/>
      <c r="AA560" s="188"/>
      <c r="AB560" s="172"/>
      <c r="AC560" s="172"/>
      <c r="AD560" s="175"/>
      <c r="AE560" s="62" t="s">
        <v>153</v>
      </c>
      <c r="AF560" s="133"/>
      <c r="AG560" s="65"/>
      <c r="AH560" s="64"/>
      <c r="AI560" s="64"/>
      <c r="AJ560" s="64"/>
      <c r="AK560" s="64"/>
      <c r="AL560" s="64"/>
      <c r="AM560" s="80" t="str">
        <f>IFERROR((Tablas!$C$1*VLOOKUP(AH560, tipo_control, 2, 0)+Tablas!$E$1*VLOOKUP(AI560, nat_control, 2, 0)+Tablas!$G$1*VLOOKUP(AJ560, ev_control, 2, 0)+Tablas!$I$1*VLOOKUP(AK560, frec_control, 2, 0)+Tablas!$K$1*VLOOKUP(AL560, doc_control, 2, 0))*0.1*peso_dis, "")</f>
        <v/>
      </c>
      <c r="AN560" s="64"/>
      <c r="AO560" s="64"/>
      <c r="AP560" s="64"/>
      <c r="AQ560" s="80" t="str">
        <f>IFERROR((Tablas!$C$9*VLOOKUP(AN560, amb_control, 2, 0)+Tablas!$E$9*VLOOKUP(AO560, ejec_control, 2, 0)+Tablas!$G$9*VLOOKUP(AP560, cub_control, 2, 0))*0.1*peso_ejec, "")</f>
        <v/>
      </c>
      <c r="AR560" s="91" t="str">
        <f t="shared" si="966"/>
        <v/>
      </c>
      <c r="AS560" s="87" t="str">
        <f t="shared" si="911"/>
        <v/>
      </c>
      <c r="AT560" s="85" t="str">
        <f t="shared" si="912"/>
        <v/>
      </c>
      <c r="AU560" s="85" t="str">
        <f>IF(AR560&lt;Tablas!$G$19, 0, IF(AND(AR560&gt;=Tablas!$G$19, AR560&lt;Tablas!$G$20), 1,  IF(AND(AR560&gt;=Tablas!$G$20, AR560&lt;Tablas!$G$21), 2,  IF(AND(AR560&gt;=Tablas!$G$21, AR560&lt;=Tablas!$G$22), 3,  ""))))</f>
        <v/>
      </c>
      <c r="AV560" s="85" t="str">
        <f t="shared" si="967"/>
        <v/>
      </c>
      <c r="AW560" s="101" t="str">
        <f t="shared" si="968"/>
        <v/>
      </c>
      <c r="AX560" s="177"/>
      <c r="AY560" s="169"/>
      <c r="AZ560" s="158"/>
      <c r="BA560" s="169"/>
      <c r="BB560" s="182"/>
      <c r="BC560" s="182"/>
      <c r="BD560" s="185"/>
      <c r="BE560" s="185"/>
      <c r="BF560" s="158"/>
      <c r="BG560" s="191"/>
    </row>
    <row r="561" spans="1:59" ht="15.75" thickBot="1" x14ac:dyDescent="0.3">
      <c r="A561" s="167"/>
      <c r="B561" s="167"/>
      <c r="C561" s="161"/>
      <c r="D561" s="160"/>
      <c r="E561" s="162"/>
      <c r="F561" s="165"/>
      <c r="G561" s="161"/>
      <c r="H561" s="161"/>
      <c r="I561" s="161"/>
      <c r="J561" s="161"/>
      <c r="K561" s="161"/>
      <c r="L561" s="166"/>
      <c r="M561" s="166"/>
      <c r="N561" s="166"/>
      <c r="O561" s="166"/>
      <c r="P561" s="166"/>
      <c r="Q561" s="166"/>
      <c r="R561" s="166"/>
      <c r="S561" s="149"/>
      <c r="T561" s="149"/>
      <c r="U561" s="149"/>
      <c r="V561" s="149"/>
      <c r="W561" s="149"/>
      <c r="X561" s="165"/>
      <c r="Y561" s="165"/>
      <c r="Z561" s="172"/>
      <c r="AA561" s="188"/>
      <c r="AB561" s="172"/>
      <c r="AC561" s="172"/>
      <c r="AD561" s="175"/>
      <c r="AE561" s="66" t="s">
        <v>154</v>
      </c>
      <c r="AF561" s="134"/>
      <c r="AG561" s="67"/>
      <c r="AH561" s="69"/>
      <c r="AI561" s="69"/>
      <c r="AJ561" s="69"/>
      <c r="AK561" s="69"/>
      <c r="AL561" s="69"/>
      <c r="AM561" s="81" t="str">
        <f>IFERROR((Tablas!$C$1*VLOOKUP(AH561, tipo_control, 2, 0)+Tablas!$E$1*VLOOKUP(AI561, nat_control, 2, 0)+Tablas!$G$1*VLOOKUP(AJ561, ev_control, 2, 0)+Tablas!$I$1*VLOOKUP(AK561, frec_control, 2, 0)+Tablas!$K$1*VLOOKUP(AL561, doc_control, 2, 0))*0.1*peso_dis, "")</f>
        <v/>
      </c>
      <c r="AN561" s="69"/>
      <c r="AO561" s="69"/>
      <c r="AP561" s="69"/>
      <c r="AQ561" s="81" t="str">
        <f>IFERROR((Tablas!$C$9*VLOOKUP(AN561, amb_control, 2, 0)+Tablas!$E$9*VLOOKUP(AO561, ejec_control, 2, 0)+Tablas!$G$9*VLOOKUP(AP561, cub_control, 2, 0))*0.1*peso_ejec, "")</f>
        <v/>
      </c>
      <c r="AR561" s="93" t="str">
        <f t="shared" si="966"/>
        <v/>
      </c>
      <c r="AS561" s="87" t="str">
        <f t="shared" si="911"/>
        <v/>
      </c>
      <c r="AT561" s="94" t="str">
        <f t="shared" si="912"/>
        <v/>
      </c>
      <c r="AU561" s="94" t="str">
        <f>IF(AR561&lt;Tablas!$G$19, 0, IF(AND(AR561&gt;=Tablas!$G$19, AR561&lt;Tablas!$G$20), 1,  IF(AND(AR561&gt;=Tablas!$G$20, AR561&lt;Tablas!$G$21), 2,  IF(AND(AR561&gt;=Tablas!$G$21, AR561&lt;=Tablas!$G$22), 3,  ""))))</f>
        <v/>
      </c>
      <c r="AV561" s="94" t="str">
        <f t="shared" si="967"/>
        <v/>
      </c>
      <c r="AW561" s="102" t="str">
        <f t="shared" si="968"/>
        <v/>
      </c>
      <c r="AX561" s="157"/>
      <c r="AY561" s="170"/>
      <c r="AZ561" s="179"/>
      <c r="BA561" s="170"/>
      <c r="BB561" s="182"/>
      <c r="BC561" s="182"/>
      <c r="BD561" s="185"/>
      <c r="BE561" s="185"/>
      <c r="BF561" s="159"/>
      <c r="BG561" s="191"/>
    </row>
    <row r="562" spans="1:59" x14ac:dyDescent="0.25">
      <c r="A562" s="167"/>
      <c r="B562" s="167"/>
      <c r="C562" s="161" t="s">
        <v>15</v>
      </c>
      <c r="D562" s="160" t="s">
        <v>158</v>
      </c>
      <c r="E562" s="162"/>
      <c r="F562" s="163" t="str">
        <f t="shared" si="900"/>
        <v/>
      </c>
      <c r="G562" s="149"/>
      <c r="H562" s="149"/>
      <c r="I562" s="149"/>
      <c r="J562" s="149"/>
      <c r="K562" s="149"/>
      <c r="L562" s="165" t="str">
        <f>IFERROR(VLOOKUP(G562, tabla02, 2, 0), "")</f>
        <v/>
      </c>
      <c r="M562" s="165" t="str">
        <f>IFERROR(VLOOKUP(H562, tabla02, 2, 0), "")</f>
        <v/>
      </c>
      <c r="N562" s="165" t="str">
        <f>IFERROR(VLOOKUP(I562, tabla02, 2, 0), "")</f>
        <v/>
      </c>
      <c r="O562" s="165" t="str">
        <f>IFERROR(VLOOKUP(J562, tabla02, 2, 0), "")</f>
        <v/>
      </c>
      <c r="P562" s="165" t="str">
        <f>IFERROR(VLOOKUP(K562, tabla02, 2, 0), "")</f>
        <v/>
      </c>
      <c r="Q562" s="165" t="str">
        <f t="shared" ref="Q562" si="969">IF(SUM(L562:O566)=0, "", MAX(L562:P562))</f>
        <v/>
      </c>
      <c r="R562" s="165" t="str">
        <f>IFERROR(VLOOKUP(Q562, tabla04, 3, 0), "")</f>
        <v/>
      </c>
      <c r="S562" s="148"/>
      <c r="T562" s="148"/>
      <c r="U562" s="148"/>
      <c r="V562" s="148"/>
      <c r="W562" s="148"/>
      <c r="X562" s="163" t="str">
        <f>IFERROR(VLOOKUP(CONCATENATE(F562, "-", Q562), cuadrante_sev, 3, 0), "")</f>
        <v/>
      </c>
      <c r="Y562" s="163" t="str">
        <f t="shared" ref="Y562" si="970">IFERROR(IF(X562="Baja", 1, IF(X562="Moderada", 2, IF(X562="Alta", 3, IF(X562="Extrema", 4, "")))), "")</f>
        <v/>
      </c>
      <c r="Z562" s="172"/>
      <c r="AA562" s="188"/>
      <c r="AB562" s="172"/>
      <c r="AC562" s="172"/>
      <c r="AD562" s="175"/>
      <c r="AE562" s="70" t="s">
        <v>113</v>
      </c>
      <c r="AF562" s="135"/>
      <c r="AG562" s="74"/>
      <c r="AH562" s="72"/>
      <c r="AI562" s="72"/>
      <c r="AJ562" s="72"/>
      <c r="AK562" s="72"/>
      <c r="AL562" s="72"/>
      <c r="AM562" s="82" t="str">
        <f>IFERROR((Tablas!$C$1*VLOOKUP(AH562, tipo_control, 2, 0)+Tablas!$E$1*VLOOKUP(AI562, nat_control, 2, 0)+Tablas!$G$1*VLOOKUP(AJ562, ev_control, 2, 0)+Tablas!$I$1*VLOOKUP(AK562, frec_control, 2, 0)+Tablas!$K$1*VLOOKUP(AL562, doc_control, 2, 0))*0.1*peso_dis, "")</f>
        <v/>
      </c>
      <c r="AN562" s="72"/>
      <c r="AO562" s="72"/>
      <c r="AP562" s="72"/>
      <c r="AQ562" s="82" t="str">
        <f>IFERROR((Tablas!$C$9*VLOOKUP(AN562, amb_control, 2, 0)+Tablas!$E$9*VLOOKUP(AO562, ejec_control, 2, 0)+Tablas!$G$9*VLOOKUP(AP562, cub_control, 2, 0))*0.1*peso_ejec, "")</f>
        <v/>
      </c>
      <c r="AR562" s="96" t="str">
        <f t="shared" si="966"/>
        <v/>
      </c>
      <c r="AS562" s="97" t="str">
        <f t="shared" si="911"/>
        <v/>
      </c>
      <c r="AT562" s="87" t="str">
        <f t="shared" si="912"/>
        <v/>
      </c>
      <c r="AU562" s="97" t="str">
        <f>IF(AR562&lt;Tablas!$G$19, 0, IF(AND(AR562&gt;=Tablas!$G$19, AR562&lt;Tablas!$G$20), 1,  IF(AND(AR562&gt;=Tablas!$G$20, AR562&lt;Tablas!$G$21), 2,  IF(AND(AR562&gt;=Tablas!$G$21, AR562&lt;=Tablas!$G$22), 3,  ""))))</f>
        <v/>
      </c>
      <c r="AV562" s="97" t="str">
        <f t="shared" si="967"/>
        <v/>
      </c>
      <c r="AW562" s="103" t="str">
        <f t="shared" si="968"/>
        <v/>
      </c>
      <c r="AX562" s="176" t="str">
        <f t="shared" ref="AX562" si="971">IFERROR(VLOOKUP(AY562, tabla04, 2, 0), "")</f>
        <v/>
      </c>
      <c r="AY562" s="168" t="str">
        <f>IF(F562="", "", IF((F562-MAX(AV562:AV566))&lt;=0, 1, F562-MAX(AV562:AV566)))</f>
        <v/>
      </c>
      <c r="AZ562" s="178" t="str">
        <f t="shared" ref="AZ562" si="972">IFERROR(VLOOKUP(BA562, tabla04, 3, 0), "")</f>
        <v/>
      </c>
      <c r="BA562" s="168" t="str">
        <f>IF(Q562="", "", IF((Q562-MAX(AW562:AW566))&lt;=0, 1, Q562-MAX(AW562:AW566)))</f>
        <v/>
      </c>
      <c r="BB562" s="182"/>
      <c r="BC562" s="182"/>
      <c r="BD562" s="185"/>
      <c r="BE562" s="185"/>
      <c r="BF562" s="158" t="str">
        <f t="shared" ref="BF562:BF564" si="973">IFERROR(VLOOKUP(CONCATENATE(AY562, "-", BA562), cuadrante_sev, 3, 0), "")</f>
        <v/>
      </c>
      <c r="BG562" s="191"/>
    </row>
    <row r="563" spans="1:59" x14ac:dyDescent="0.25">
      <c r="A563" s="167"/>
      <c r="B563" s="167"/>
      <c r="C563" s="161"/>
      <c r="D563" s="160"/>
      <c r="E563" s="162"/>
      <c r="F563" s="164"/>
      <c r="G563" s="161"/>
      <c r="H563" s="161"/>
      <c r="I563" s="161"/>
      <c r="J563" s="161"/>
      <c r="K563" s="161"/>
      <c r="L563" s="166"/>
      <c r="M563" s="166"/>
      <c r="N563" s="166"/>
      <c r="O563" s="166"/>
      <c r="P563" s="166"/>
      <c r="Q563" s="166"/>
      <c r="R563" s="166"/>
      <c r="S563" s="167"/>
      <c r="T563" s="167"/>
      <c r="U563" s="167"/>
      <c r="V563" s="167"/>
      <c r="W563" s="167"/>
      <c r="X563" s="164"/>
      <c r="Y563" s="164"/>
      <c r="Z563" s="172"/>
      <c r="AA563" s="188"/>
      <c r="AB563" s="172"/>
      <c r="AC563" s="172"/>
      <c r="AD563" s="175"/>
      <c r="AE563" s="62" t="s">
        <v>114</v>
      </c>
      <c r="AF563" s="133"/>
      <c r="AG563" s="65"/>
      <c r="AH563" s="64"/>
      <c r="AI563" s="64"/>
      <c r="AJ563" s="64"/>
      <c r="AK563" s="64"/>
      <c r="AL563" s="64"/>
      <c r="AM563" s="80" t="str">
        <f>IFERROR((Tablas!$C$1*VLOOKUP(AH563, tipo_control, 2, 0)+Tablas!$E$1*VLOOKUP(AI563, nat_control, 2, 0)+Tablas!$G$1*VLOOKUP(AJ563, ev_control, 2, 0)+Tablas!$I$1*VLOOKUP(AK563, frec_control, 2, 0)+Tablas!$K$1*VLOOKUP(AL563, doc_control, 2, 0))*0.1*peso_dis, "")</f>
        <v/>
      </c>
      <c r="AN563" s="64"/>
      <c r="AO563" s="64"/>
      <c r="AP563" s="64"/>
      <c r="AQ563" s="80" t="str">
        <f>IFERROR((Tablas!$C$9*VLOOKUP(AN563, amb_control, 2, 0)+Tablas!$E$9*VLOOKUP(AO563, ejec_control, 2, 0)+Tablas!$G$9*VLOOKUP(AP563, cub_control, 2, 0))*0.1*peso_ejec, "")</f>
        <v/>
      </c>
      <c r="AR563" s="91" t="str">
        <f t="shared" si="966"/>
        <v/>
      </c>
      <c r="AS563" s="85" t="str">
        <f t="shared" si="911"/>
        <v/>
      </c>
      <c r="AT563" s="85" t="str">
        <f t="shared" si="912"/>
        <v/>
      </c>
      <c r="AU563" s="85" t="str">
        <f>IF(AR563&lt;Tablas!$G$19, 0, IF(AND(AR563&gt;=Tablas!$G$19, AR563&lt;Tablas!$G$20), 1,  IF(AND(AR563&gt;=Tablas!$G$20, AR563&lt;Tablas!$G$21), 2,  IF(AND(AR563&gt;=Tablas!$G$21, AR563&lt;=Tablas!$G$22), 3,  ""))))</f>
        <v/>
      </c>
      <c r="AV563" s="85" t="str">
        <f t="shared" si="967"/>
        <v/>
      </c>
      <c r="AW563" s="101" t="str">
        <f t="shared" si="968"/>
        <v/>
      </c>
      <c r="AX563" s="177"/>
      <c r="AY563" s="169"/>
      <c r="AZ563" s="158"/>
      <c r="BA563" s="169"/>
      <c r="BB563" s="182"/>
      <c r="BC563" s="182"/>
      <c r="BD563" s="185"/>
      <c r="BE563" s="185"/>
      <c r="BF563" s="158" t="str">
        <f t="shared" si="973"/>
        <v/>
      </c>
      <c r="BG563" s="191"/>
    </row>
    <row r="564" spans="1:59" x14ac:dyDescent="0.25">
      <c r="A564" s="167"/>
      <c r="B564" s="167"/>
      <c r="C564" s="161"/>
      <c r="D564" s="160"/>
      <c r="E564" s="162"/>
      <c r="F564" s="164"/>
      <c r="G564" s="161"/>
      <c r="H564" s="161"/>
      <c r="I564" s="161"/>
      <c r="J564" s="161"/>
      <c r="K564" s="161"/>
      <c r="L564" s="166"/>
      <c r="M564" s="166"/>
      <c r="N564" s="166"/>
      <c r="O564" s="166"/>
      <c r="P564" s="166"/>
      <c r="Q564" s="166"/>
      <c r="R564" s="166"/>
      <c r="S564" s="167"/>
      <c r="T564" s="167"/>
      <c r="U564" s="167"/>
      <c r="V564" s="167"/>
      <c r="W564" s="167"/>
      <c r="X564" s="164"/>
      <c r="Y564" s="164"/>
      <c r="Z564" s="172"/>
      <c r="AA564" s="188"/>
      <c r="AB564" s="172"/>
      <c r="AC564" s="172"/>
      <c r="AD564" s="175"/>
      <c r="AE564" s="62" t="s">
        <v>115</v>
      </c>
      <c r="AF564" s="133"/>
      <c r="AG564" s="65"/>
      <c r="AH564" s="64"/>
      <c r="AI564" s="64"/>
      <c r="AJ564" s="64"/>
      <c r="AK564" s="64"/>
      <c r="AL564" s="64"/>
      <c r="AM564" s="80" t="str">
        <f>IFERROR((Tablas!$C$1*VLOOKUP(AH564, tipo_control, 2, 0)+Tablas!$E$1*VLOOKUP(AI564, nat_control, 2, 0)+Tablas!$G$1*VLOOKUP(AJ564, ev_control, 2, 0)+Tablas!$I$1*VLOOKUP(AK564, frec_control, 2, 0)+Tablas!$K$1*VLOOKUP(AL564, doc_control, 2, 0))*0.1*peso_dis, "")</f>
        <v/>
      </c>
      <c r="AN564" s="64"/>
      <c r="AO564" s="64"/>
      <c r="AP564" s="64"/>
      <c r="AQ564" s="80" t="str">
        <f>IFERROR((Tablas!$C$9*VLOOKUP(AN564, amb_control, 2, 0)+Tablas!$E$9*VLOOKUP(AO564, ejec_control, 2, 0)+Tablas!$G$9*VLOOKUP(AP564, cub_control, 2, 0))*0.1*peso_ejec, "")</f>
        <v/>
      </c>
      <c r="AR564" s="91" t="str">
        <f t="shared" si="966"/>
        <v/>
      </c>
      <c r="AS564" s="85" t="str">
        <f t="shared" si="911"/>
        <v/>
      </c>
      <c r="AT564" s="85" t="str">
        <f t="shared" si="912"/>
        <v/>
      </c>
      <c r="AU564" s="85" t="str">
        <f>IF(AR564&lt;Tablas!$G$19, 0, IF(AND(AR564&gt;=Tablas!$G$19, AR564&lt;Tablas!$G$20), 1,  IF(AND(AR564&gt;=Tablas!$G$20, AR564&lt;Tablas!$G$21), 2,  IF(AND(AR564&gt;=Tablas!$G$21, AR564&lt;=Tablas!$G$22), 3,  ""))))</f>
        <v/>
      </c>
      <c r="AV564" s="85" t="str">
        <f t="shared" si="967"/>
        <v/>
      </c>
      <c r="AW564" s="101" t="str">
        <f t="shared" si="968"/>
        <v/>
      </c>
      <c r="AX564" s="177"/>
      <c r="AY564" s="169"/>
      <c r="AZ564" s="158"/>
      <c r="BA564" s="169"/>
      <c r="BB564" s="182"/>
      <c r="BC564" s="182"/>
      <c r="BD564" s="185"/>
      <c r="BE564" s="185"/>
      <c r="BF564" s="158" t="str">
        <f t="shared" si="973"/>
        <v/>
      </c>
      <c r="BG564" s="191"/>
    </row>
    <row r="565" spans="1:59" x14ac:dyDescent="0.25">
      <c r="A565" s="167"/>
      <c r="B565" s="167"/>
      <c r="C565" s="161"/>
      <c r="D565" s="160"/>
      <c r="E565" s="162"/>
      <c r="F565" s="164"/>
      <c r="G565" s="161"/>
      <c r="H565" s="161"/>
      <c r="I565" s="161"/>
      <c r="J565" s="161"/>
      <c r="K565" s="161"/>
      <c r="L565" s="166"/>
      <c r="M565" s="166"/>
      <c r="N565" s="166"/>
      <c r="O565" s="166"/>
      <c r="P565" s="166"/>
      <c r="Q565" s="166"/>
      <c r="R565" s="166"/>
      <c r="S565" s="167"/>
      <c r="T565" s="167"/>
      <c r="U565" s="167"/>
      <c r="V565" s="167"/>
      <c r="W565" s="167"/>
      <c r="X565" s="164"/>
      <c r="Y565" s="164"/>
      <c r="Z565" s="172"/>
      <c r="AA565" s="188"/>
      <c r="AB565" s="172"/>
      <c r="AC565" s="172"/>
      <c r="AD565" s="175"/>
      <c r="AE565" s="62" t="s">
        <v>153</v>
      </c>
      <c r="AF565" s="133"/>
      <c r="AG565" s="65"/>
      <c r="AH565" s="64"/>
      <c r="AI565" s="64"/>
      <c r="AJ565" s="64"/>
      <c r="AK565" s="64"/>
      <c r="AL565" s="64"/>
      <c r="AM565" s="80" t="str">
        <f>IFERROR((Tablas!$C$1*VLOOKUP(AH565, tipo_control, 2, 0)+Tablas!$E$1*VLOOKUP(AI565, nat_control, 2, 0)+Tablas!$G$1*VLOOKUP(AJ565, ev_control, 2, 0)+Tablas!$I$1*VLOOKUP(AK565, frec_control, 2, 0)+Tablas!$K$1*VLOOKUP(AL565, doc_control, 2, 0))*0.1*peso_dis, "")</f>
        <v/>
      </c>
      <c r="AN565" s="64"/>
      <c r="AO565" s="64"/>
      <c r="AP565" s="64"/>
      <c r="AQ565" s="80" t="str">
        <f>IFERROR((Tablas!$C$9*VLOOKUP(AN565, amb_control, 2, 0)+Tablas!$E$9*VLOOKUP(AO565, ejec_control, 2, 0)+Tablas!$G$9*VLOOKUP(AP565, cub_control, 2, 0))*0.1*peso_ejec, "")</f>
        <v/>
      </c>
      <c r="AR565" s="91" t="str">
        <f t="shared" si="966"/>
        <v/>
      </c>
      <c r="AS565" s="85" t="str">
        <f t="shared" si="911"/>
        <v/>
      </c>
      <c r="AT565" s="85" t="str">
        <f t="shared" si="912"/>
        <v/>
      </c>
      <c r="AU565" s="85" t="str">
        <f>IF(AR565&lt;Tablas!$G$19, 0, IF(AND(AR565&gt;=Tablas!$G$19, AR565&lt;Tablas!$G$20), 1,  IF(AND(AR565&gt;=Tablas!$G$20, AR565&lt;Tablas!$G$21), 2,  IF(AND(AR565&gt;=Tablas!$G$21, AR565&lt;=Tablas!$G$22), 3,  ""))))</f>
        <v/>
      </c>
      <c r="AV565" s="85" t="str">
        <f t="shared" si="967"/>
        <v/>
      </c>
      <c r="AW565" s="101" t="str">
        <f t="shared" si="968"/>
        <v/>
      </c>
      <c r="AX565" s="177"/>
      <c r="AY565" s="169"/>
      <c r="AZ565" s="158"/>
      <c r="BA565" s="169"/>
      <c r="BB565" s="182"/>
      <c r="BC565" s="182"/>
      <c r="BD565" s="185"/>
      <c r="BE565" s="185"/>
      <c r="BF565" s="158"/>
      <c r="BG565" s="191"/>
    </row>
    <row r="566" spans="1:59" ht="15.75" thickBot="1" x14ac:dyDescent="0.3">
      <c r="A566" s="167"/>
      <c r="B566" s="167"/>
      <c r="C566" s="161"/>
      <c r="D566" s="160"/>
      <c r="E566" s="162"/>
      <c r="F566" s="165"/>
      <c r="G566" s="161"/>
      <c r="H566" s="161"/>
      <c r="I566" s="161"/>
      <c r="J566" s="161"/>
      <c r="K566" s="161"/>
      <c r="L566" s="166"/>
      <c r="M566" s="166"/>
      <c r="N566" s="166"/>
      <c r="O566" s="166"/>
      <c r="P566" s="166"/>
      <c r="Q566" s="166"/>
      <c r="R566" s="166"/>
      <c r="S566" s="149"/>
      <c r="T566" s="149"/>
      <c r="U566" s="149"/>
      <c r="V566" s="149"/>
      <c r="W566" s="149"/>
      <c r="X566" s="165"/>
      <c r="Y566" s="165"/>
      <c r="Z566" s="172"/>
      <c r="AA566" s="188"/>
      <c r="AB566" s="172"/>
      <c r="AC566" s="172"/>
      <c r="AD566" s="175"/>
      <c r="AE566" s="66" t="s">
        <v>154</v>
      </c>
      <c r="AF566" s="134"/>
      <c r="AG566" s="67"/>
      <c r="AH566" s="69"/>
      <c r="AI566" s="69"/>
      <c r="AJ566" s="69"/>
      <c r="AK566" s="69"/>
      <c r="AL566" s="69"/>
      <c r="AM566" s="81" t="str">
        <f>IFERROR((Tablas!$C$1*VLOOKUP(AH566, tipo_control, 2, 0)+Tablas!$E$1*VLOOKUP(AI566, nat_control, 2, 0)+Tablas!$G$1*VLOOKUP(AJ566, ev_control, 2, 0)+Tablas!$I$1*VLOOKUP(AK566, frec_control, 2, 0)+Tablas!$K$1*VLOOKUP(AL566, doc_control, 2, 0))*0.1*peso_dis, "")</f>
        <v/>
      </c>
      <c r="AN566" s="69"/>
      <c r="AO566" s="69"/>
      <c r="AP566" s="69"/>
      <c r="AQ566" s="81" t="str">
        <f>IFERROR((Tablas!$C$9*VLOOKUP(AN566, amb_control, 2, 0)+Tablas!$E$9*VLOOKUP(AO566, ejec_control, 2, 0)+Tablas!$G$9*VLOOKUP(AP566, cub_control, 2, 0))*0.1*peso_ejec, "")</f>
        <v/>
      </c>
      <c r="AR566" s="93" t="str">
        <f t="shared" si="966"/>
        <v/>
      </c>
      <c r="AS566" s="94" t="str">
        <f t="shared" si="911"/>
        <v/>
      </c>
      <c r="AT566" s="94" t="str">
        <f t="shared" si="912"/>
        <v/>
      </c>
      <c r="AU566" s="94" t="str">
        <f>IF(AR566&lt;Tablas!$G$19, 0, IF(AND(AR566&gt;=Tablas!$G$19, AR566&lt;Tablas!$G$20), 1,  IF(AND(AR566&gt;=Tablas!$G$20, AR566&lt;Tablas!$G$21), 2,  IF(AND(AR566&gt;=Tablas!$G$21, AR566&lt;=Tablas!$G$22), 3,  ""))))</f>
        <v/>
      </c>
      <c r="AV566" s="94" t="str">
        <f t="shared" si="967"/>
        <v/>
      </c>
      <c r="AW566" s="102" t="str">
        <f t="shared" si="968"/>
        <v/>
      </c>
      <c r="AX566" s="157"/>
      <c r="AY566" s="170"/>
      <c r="AZ566" s="179"/>
      <c r="BA566" s="170"/>
      <c r="BB566" s="182"/>
      <c r="BC566" s="182"/>
      <c r="BD566" s="185"/>
      <c r="BE566" s="185"/>
      <c r="BF566" s="159"/>
      <c r="BG566" s="191"/>
    </row>
    <row r="567" spans="1:59" x14ac:dyDescent="0.25">
      <c r="A567" s="167"/>
      <c r="B567" s="167"/>
      <c r="C567" s="161" t="s">
        <v>16</v>
      </c>
      <c r="D567" s="160" t="s">
        <v>158</v>
      </c>
      <c r="E567" s="162"/>
      <c r="F567" s="163" t="str">
        <f t="shared" si="900"/>
        <v/>
      </c>
      <c r="G567" s="149"/>
      <c r="H567" s="149"/>
      <c r="I567" s="149"/>
      <c r="J567" s="149"/>
      <c r="K567" s="149"/>
      <c r="L567" s="165" t="str">
        <f>IFERROR(VLOOKUP(G567, tabla02, 2, 0), "")</f>
        <v/>
      </c>
      <c r="M567" s="165" t="str">
        <f>IFERROR(VLOOKUP(H567, tabla02, 2, 0), "")</f>
        <v/>
      </c>
      <c r="N567" s="165" t="str">
        <f>IFERROR(VLOOKUP(I567, tabla02, 2, 0), "")</f>
        <v/>
      </c>
      <c r="O567" s="165" t="str">
        <f>IFERROR(VLOOKUP(J567, tabla02, 2, 0), "")</f>
        <v/>
      </c>
      <c r="P567" s="165" t="str">
        <f>IFERROR(VLOOKUP(K567, tabla02, 2, 0), "")</f>
        <v/>
      </c>
      <c r="Q567" s="165" t="str">
        <f t="shared" ref="Q567" si="974">IF(SUM(L567:O571)=0, "", MAX(L567:P567))</f>
        <v/>
      </c>
      <c r="R567" s="165" t="str">
        <f>IFERROR(VLOOKUP(Q567, tabla04, 3, 0), "")</f>
        <v/>
      </c>
      <c r="S567" s="148"/>
      <c r="T567" s="148"/>
      <c r="U567" s="148"/>
      <c r="V567" s="148"/>
      <c r="W567" s="148"/>
      <c r="X567" s="163" t="str">
        <f>IFERROR(VLOOKUP(CONCATENATE(F567, "-", Q567), cuadrante_sev, 3, 0), "")</f>
        <v/>
      </c>
      <c r="Y567" s="163" t="str">
        <f t="shared" ref="Y567" si="975">IFERROR(IF(X567="Baja", 1, IF(X567="Moderada", 2, IF(X567="Alta", 3, IF(X567="Extrema", 4, "")))), "")</f>
        <v/>
      </c>
      <c r="Z567" s="172"/>
      <c r="AA567" s="188"/>
      <c r="AB567" s="172"/>
      <c r="AC567" s="172"/>
      <c r="AD567" s="175"/>
      <c r="AE567" s="70" t="s">
        <v>113</v>
      </c>
      <c r="AF567" s="135"/>
      <c r="AG567" s="77"/>
      <c r="AH567" s="61"/>
      <c r="AI567" s="61"/>
      <c r="AJ567" s="61"/>
      <c r="AK567" s="61"/>
      <c r="AL567" s="61"/>
      <c r="AM567" s="82" t="str">
        <f>IFERROR((Tablas!$C$1*VLOOKUP(AH567, tipo_control, 2, 0)+Tablas!$E$1*VLOOKUP(AI567, nat_control, 2, 0)+Tablas!$G$1*VLOOKUP(AJ567, ev_control, 2, 0)+Tablas!$I$1*VLOOKUP(AK567, frec_control, 2, 0)+Tablas!$K$1*VLOOKUP(AL567, doc_control, 2, 0))*0.1*peso_dis, "")</f>
        <v/>
      </c>
      <c r="AN567" s="61"/>
      <c r="AO567" s="61"/>
      <c r="AP567" s="61"/>
      <c r="AQ567" s="82" t="str">
        <f>IFERROR((Tablas!$C$9*VLOOKUP(AN567, amb_control, 2, 0)+Tablas!$E$9*VLOOKUP(AO567, ejec_control, 2, 0)+Tablas!$G$9*VLOOKUP(AP567, cub_control, 2, 0))*0.1*peso_ejec, "")</f>
        <v/>
      </c>
      <c r="AR567" s="96" t="str">
        <f t="shared" si="966"/>
        <v/>
      </c>
      <c r="AS567" s="97" t="str">
        <f t="shared" si="911"/>
        <v/>
      </c>
      <c r="AT567" s="87" t="str">
        <f t="shared" si="912"/>
        <v/>
      </c>
      <c r="AU567" s="97" t="str">
        <f>IF(AR567&lt;Tablas!$G$19, 0, IF(AND(AR567&gt;=Tablas!$G$19, AR567&lt;Tablas!$G$20), 1,  IF(AND(AR567&gt;=Tablas!$G$20, AR567&lt;Tablas!$G$21), 2,  IF(AND(AR567&gt;=Tablas!$G$21, AR567&lt;=Tablas!$G$22), 3,  ""))))</f>
        <v/>
      </c>
      <c r="AV567" s="97" t="str">
        <f t="shared" si="967"/>
        <v/>
      </c>
      <c r="AW567" s="103" t="str">
        <f t="shared" si="968"/>
        <v/>
      </c>
      <c r="AX567" s="176" t="str">
        <f t="shared" ref="AX567" si="976">IFERROR(VLOOKUP(AY567, tabla04, 2, 0), "")</f>
        <v/>
      </c>
      <c r="AY567" s="168" t="str">
        <f>IF(F567="", "", IF((F567-MAX(AV567:AV571))&lt;=0, 1, F567-MAX(AV567:AV571)))</f>
        <v/>
      </c>
      <c r="AZ567" s="178" t="str">
        <f t="shared" ref="AZ567" si="977">IFERROR(VLOOKUP(BA567, tabla04, 3, 0), "")</f>
        <v/>
      </c>
      <c r="BA567" s="168" t="str">
        <f>IF(Q567="", "", IF((Q567-MAX(AW567:AW571))&lt;=0, 1, Q567-MAX(AW567:AW571)))</f>
        <v/>
      </c>
      <c r="BB567" s="182"/>
      <c r="BC567" s="182"/>
      <c r="BD567" s="185"/>
      <c r="BE567" s="185"/>
      <c r="BF567" s="158" t="str">
        <f t="shared" ref="BF567:BF569" si="978">IFERROR(VLOOKUP(CONCATENATE(AY567, "-", BA567), cuadrante_sev, 3, 0), "")</f>
        <v/>
      </c>
      <c r="BG567" s="191"/>
    </row>
    <row r="568" spans="1:59" x14ac:dyDescent="0.25">
      <c r="A568" s="167"/>
      <c r="B568" s="167"/>
      <c r="C568" s="161"/>
      <c r="D568" s="160"/>
      <c r="E568" s="162"/>
      <c r="F568" s="164"/>
      <c r="G568" s="161"/>
      <c r="H568" s="161"/>
      <c r="I568" s="161"/>
      <c r="J568" s="161"/>
      <c r="K568" s="161"/>
      <c r="L568" s="166"/>
      <c r="M568" s="166"/>
      <c r="N568" s="166"/>
      <c r="O568" s="166"/>
      <c r="P568" s="166"/>
      <c r="Q568" s="166"/>
      <c r="R568" s="166"/>
      <c r="S568" s="167"/>
      <c r="T568" s="167"/>
      <c r="U568" s="167"/>
      <c r="V568" s="167"/>
      <c r="W568" s="167"/>
      <c r="X568" s="164"/>
      <c r="Y568" s="164"/>
      <c r="Z568" s="172"/>
      <c r="AA568" s="188"/>
      <c r="AB568" s="172"/>
      <c r="AC568" s="172"/>
      <c r="AD568" s="175"/>
      <c r="AE568" s="62" t="s">
        <v>114</v>
      </c>
      <c r="AF568" s="133"/>
      <c r="AG568" s="65"/>
      <c r="AH568" s="64"/>
      <c r="AI568" s="64"/>
      <c r="AJ568" s="64"/>
      <c r="AK568" s="64"/>
      <c r="AL568" s="64"/>
      <c r="AM568" s="80" t="str">
        <f>IFERROR((Tablas!$C$1*VLOOKUP(AH568, tipo_control, 2, 0)+Tablas!$E$1*VLOOKUP(AI568, nat_control, 2, 0)+Tablas!$G$1*VLOOKUP(AJ568, ev_control, 2, 0)+Tablas!$I$1*VLOOKUP(AK568, frec_control, 2, 0)+Tablas!$K$1*VLOOKUP(AL568, doc_control, 2, 0))*0.1*peso_dis, "")</f>
        <v/>
      </c>
      <c r="AN568" s="64"/>
      <c r="AO568" s="64"/>
      <c r="AP568" s="64"/>
      <c r="AQ568" s="80" t="str">
        <f>IFERROR((Tablas!$C$9*VLOOKUP(AN568, amb_control, 2, 0)+Tablas!$E$9*VLOOKUP(AO568, ejec_control, 2, 0)+Tablas!$G$9*VLOOKUP(AP568, cub_control, 2, 0))*0.1*peso_ejec, "")</f>
        <v/>
      </c>
      <c r="AR568" s="91" t="str">
        <f t="shared" si="966"/>
        <v/>
      </c>
      <c r="AS568" s="85" t="str">
        <f t="shared" si="911"/>
        <v/>
      </c>
      <c r="AT568" s="85" t="str">
        <f t="shared" si="912"/>
        <v/>
      </c>
      <c r="AU568" s="85" t="str">
        <f>IF(AR568&lt;Tablas!$G$19, 0, IF(AND(AR568&gt;=Tablas!$G$19, AR568&lt;Tablas!$G$20), 1,  IF(AND(AR568&gt;=Tablas!$G$20, AR568&lt;Tablas!$G$21), 2,  IF(AND(AR568&gt;=Tablas!$G$21, AR568&lt;=Tablas!$G$22), 3,  ""))))</f>
        <v/>
      </c>
      <c r="AV568" s="85" t="str">
        <f t="shared" si="967"/>
        <v/>
      </c>
      <c r="AW568" s="101" t="str">
        <f t="shared" si="968"/>
        <v/>
      </c>
      <c r="AX568" s="177"/>
      <c r="AY568" s="169"/>
      <c r="AZ568" s="158"/>
      <c r="BA568" s="169"/>
      <c r="BB568" s="182"/>
      <c r="BC568" s="182"/>
      <c r="BD568" s="185"/>
      <c r="BE568" s="185"/>
      <c r="BF568" s="158" t="str">
        <f t="shared" si="978"/>
        <v/>
      </c>
      <c r="BG568" s="191"/>
    </row>
    <row r="569" spans="1:59" x14ac:dyDescent="0.25">
      <c r="A569" s="167"/>
      <c r="B569" s="167"/>
      <c r="C569" s="161"/>
      <c r="D569" s="160"/>
      <c r="E569" s="162"/>
      <c r="F569" s="164"/>
      <c r="G569" s="161"/>
      <c r="H569" s="161"/>
      <c r="I569" s="161"/>
      <c r="J569" s="161"/>
      <c r="K569" s="161"/>
      <c r="L569" s="166"/>
      <c r="M569" s="166"/>
      <c r="N569" s="166"/>
      <c r="O569" s="166"/>
      <c r="P569" s="166"/>
      <c r="Q569" s="166"/>
      <c r="R569" s="166"/>
      <c r="S569" s="167"/>
      <c r="T569" s="167"/>
      <c r="U569" s="167"/>
      <c r="V569" s="167"/>
      <c r="W569" s="167"/>
      <c r="X569" s="164"/>
      <c r="Y569" s="164"/>
      <c r="Z569" s="172"/>
      <c r="AA569" s="188"/>
      <c r="AB569" s="172"/>
      <c r="AC569" s="172"/>
      <c r="AD569" s="175"/>
      <c r="AE569" s="62" t="s">
        <v>115</v>
      </c>
      <c r="AF569" s="133"/>
      <c r="AG569" s="65"/>
      <c r="AH569" s="64"/>
      <c r="AI569" s="64"/>
      <c r="AJ569" s="64"/>
      <c r="AK569" s="64"/>
      <c r="AL569" s="64"/>
      <c r="AM569" s="80" t="str">
        <f>IFERROR((Tablas!$C$1*VLOOKUP(AH569, tipo_control, 2, 0)+Tablas!$E$1*VLOOKUP(AI569, nat_control, 2, 0)+Tablas!$G$1*VLOOKUP(AJ569, ev_control, 2, 0)+Tablas!$I$1*VLOOKUP(AK569, frec_control, 2, 0)+Tablas!$K$1*VLOOKUP(AL569, doc_control, 2, 0))*0.1*peso_dis, "")</f>
        <v/>
      </c>
      <c r="AN569" s="64"/>
      <c r="AO569" s="64"/>
      <c r="AP569" s="64"/>
      <c r="AQ569" s="80" t="str">
        <f>IFERROR((Tablas!$C$9*VLOOKUP(AN569, amb_control, 2, 0)+Tablas!$E$9*VLOOKUP(AO569, ejec_control, 2, 0)+Tablas!$G$9*VLOOKUP(AP569, cub_control, 2, 0))*0.1*peso_ejec, "")</f>
        <v/>
      </c>
      <c r="AR569" s="91" t="str">
        <f t="shared" si="966"/>
        <v/>
      </c>
      <c r="AS569" s="85" t="str">
        <f t="shared" si="911"/>
        <v/>
      </c>
      <c r="AT569" s="85" t="str">
        <f t="shared" si="912"/>
        <v/>
      </c>
      <c r="AU569" s="85" t="str">
        <f>IF(AR569&lt;Tablas!$G$19, 0, IF(AND(AR569&gt;=Tablas!$G$19, AR569&lt;Tablas!$G$20), 1,  IF(AND(AR569&gt;=Tablas!$G$20, AR569&lt;Tablas!$G$21), 2,  IF(AND(AR569&gt;=Tablas!$G$21, AR569&lt;=Tablas!$G$22), 3,  ""))))</f>
        <v/>
      </c>
      <c r="AV569" s="85" t="str">
        <f t="shared" si="967"/>
        <v/>
      </c>
      <c r="AW569" s="101" t="str">
        <f t="shared" si="968"/>
        <v/>
      </c>
      <c r="AX569" s="177"/>
      <c r="AY569" s="169"/>
      <c r="AZ569" s="158"/>
      <c r="BA569" s="169"/>
      <c r="BB569" s="182"/>
      <c r="BC569" s="182"/>
      <c r="BD569" s="185"/>
      <c r="BE569" s="185"/>
      <c r="BF569" s="158" t="str">
        <f t="shared" si="978"/>
        <v/>
      </c>
      <c r="BG569" s="191"/>
    </row>
    <row r="570" spans="1:59" x14ac:dyDescent="0.25">
      <c r="A570" s="167"/>
      <c r="B570" s="167"/>
      <c r="C570" s="161"/>
      <c r="D570" s="160"/>
      <c r="E570" s="162"/>
      <c r="F570" s="164"/>
      <c r="G570" s="161"/>
      <c r="H570" s="161"/>
      <c r="I570" s="161"/>
      <c r="J570" s="161"/>
      <c r="K570" s="161"/>
      <c r="L570" s="166"/>
      <c r="M570" s="166"/>
      <c r="N570" s="166"/>
      <c r="O570" s="166"/>
      <c r="P570" s="166"/>
      <c r="Q570" s="166"/>
      <c r="R570" s="166"/>
      <c r="S570" s="167"/>
      <c r="T570" s="167"/>
      <c r="U570" s="167"/>
      <c r="V570" s="167"/>
      <c r="W570" s="167"/>
      <c r="X570" s="164"/>
      <c r="Y570" s="164"/>
      <c r="Z570" s="172"/>
      <c r="AA570" s="188"/>
      <c r="AB570" s="172"/>
      <c r="AC570" s="172"/>
      <c r="AD570" s="175"/>
      <c r="AE570" s="62" t="s">
        <v>153</v>
      </c>
      <c r="AF570" s="133"/>
      <c r="AG570" s="65"/>
      <c r="AH570" s="64"/>
      <c r="AI570" s="64"/>
      <c r="AJ570" s="64"/>
      <c r="AK570" s="64"/>
      <c r="AL570" s="64"/>
      <c r="AM570" s="80" t="str">
        <f>IFERROR((Tablas!$C$1*VLOOKUP(AH570, tipo_control, 2, 0)+Tablas!$E$1*VLOOKUP(AI570, nat_control, 2, 0)+Tablas!$G$1*VLOOKUP(AJ570, ev_control, 2, 0)+Tablas!$I$1*VLOOKUP(AK570, frec_control, 2, 0)+Tablas!$K$1*VLOOKUP(AL570, doc_control, 2, 0))*0.1*peso_dis, "")</f>
        <v/>
      </c>
      <c r="AN570" s="64"/>
      <c r="AO570" s="64"/>
      <c r="AP570" s="64"/>
      <c r="AQ570" s="80" t="str">
        <f>IFERROR((Tablas!$C$9*VLOOKUP(AN570, amb_control, 2, 0)+Tablas!$E$9*VLOOKUP(AO570, ejec_control, 2, 0)+Tablas!$G$9*VLOOKUP(AP570, cub_control, 2, 0))*0.1*peso_ejec, "")</f>
        <v/>
      </c>
      <c r="AR570" s="91" t="str">
        <f t="shared" si="966"/>
        <v/>
      </c>
      <c r="AS570" s="85" t="str">
        <f t="shared" si="911"/>
        <v/>
      </c>
      <c r="AT570" s="85" t="str">
        <f t="shared" si="912"/>
        <v/>
      </c>
      <c r="AU570" s="85" t="str">
        <f>IF(AR570&lt;Tablas!$G$19, 0, IF(AND(AR570&gt;=Tablas!$G$19, AR570&lt;Tablas!$G$20), 1,  IF(AND(AR570&gt;=Tablas!$G$20, AR570&lt;Tablas!$G$21), 2,  IF(AND(AR570&gt;=Tablas!$G$21, AR570&lt;=Tablas!$G$22), 3,  ""))))</f>
        <v/>
      </c>
      <c r="AV570" s="85" t="str">
        <f t="shared" si="967"/>
        <v/>
      </c>
      <c r="AW570" s="101" t="str">
        <f t="shared" si="968"/>
        <v/>
      </c>
      <c r="AX570" s="177"/>
      <c r="AY570" s="169"/>
      <c r="AZ570" s="158"/>
      <c r="BA570" s="169"/>
      <c r="BB570" s="182"/>
      <c r="BC570" s="182"/>
      <c r="BD570" s="185"/>
      <c r="BE570" s="185"/>
      <c r="BF570" s="158"/>
      <c r="BG570" s="191"/>
    </row>
    <row r="571" spans="1:59" ht="15.75" thickBot="1" x14ac:dyDescent="0.3">
      <c r="A571" s="167"/>
      <c r="B571" s="167"/>
      <c r="C571" s="161"/>
      <c r="D571" s="160"/>
      <c r="E571" s="162"/>
      <c r="F571" s="165"/>
      <c r="G571" s="161"/>
      <c r="H571" s="161"/>
      <c r="I571" s="161"/>
      <c r="J571" s="161"/>
      <c r="K571" s="161"/>
      <c r="L571" s="166"/>
      <c r="M571" s="166"/>
      <c r="N571" s="166"/>
      <c r="O571" s="166"/>
      <c r="P571" s="166"/>
      <c r="Q571" s="166"/>
      <c r="R571" s="166"/>
      <c r="S571" s="149"/>
      <c r="T571" s="149"/>
      <c r="U571" s="149"/>
      <c r="V571" s="149"/>
      <c r="W571" s="149"/>
      <c r="X571" s="165"/>
      <c r="Y571" s="165"/>
      <c r="Z571" s="172"/>
      <c r="AA571" s="188"/>
      <c r="AB571" s="172"/>
      <c r="AC571" s="172"/>
      <c r="AD571" s="175"/>
      <c r="AE571" s="66" t="s">
        <v>154</v>
      </c>
      <c r="AF571" s="134"/>
      <c r="AG571" s="67"/>
      <c r="AH571" s="69"/>
      <c r="AI571" s="69"/>
      <c r="AJ571" s="69"/>
      <c r="AK571" s="69"/>
      <c r="AL571" s="69"/>
      <c r="AM571" s="81" t="str">
        <f>IFERROR((Tablas!$C$1*VLOOKUP(AH571, tipo_control, 2, 0)+Tablas!$E$1*VLOOKUP(AI571, nat_control, 2, 0)+Tablas!$G$1*VLOOKUP(AJ571, ev_control, 2, 0)+Tablas!$I$1*VLOOKUP(AK571, frec_control, 2, 0)+Tablas!$K$1*VLOOKUP(AL571, doc_control, 2, 0))*0.1*peso_dis, "")</f>
        <v/>
      </c>
      <c r="AN571" s="69"/>
      <c r="AO571" s="69"/>
      <c r="AP571" s="69"/>
      <c r="AQ571" s="81" t="str">
        <f>IFERROR((Tablas!$C$9*VLOOKUP(AN571, amb_control, 2, 0)+Tablas!$E$9*VLOOKUP(AO571, ejec_control, 2, 0)+Tablas!$G$9*VLOOKUP(AP571, cub_control, 2, 0))*0.1*peso_ejec, "")</f>
        <v/>
      </c>
      <c r="AR571" s="93" t="str">
        <f t="shared" si="966"/>
        <v/>
      </c>
      <c r="AS571" s="94" t="str">
        <f t="shared" si="911"/>
        <v/>
      </c>
      <c r="AT571" s="94" t="str">
        <f t="shared" si="912"/>
        <v/>
      </c>
      <c r="AU571" s="94" t="str">
        <f>IF(AR571&lt;Tablas!$G$19, 0, IF(AND(AR571&gt;=Tablas!$G$19, AR571&lt;Tablas!$G$20), 1,  IF(AND(AR571&gt;=Tablas!$G$20, AR571&lt;Tablas!$G$21), 2,  IF(AND(AR571&gt;=Tablas!$G$21, AR571&lt;=Tablas!$G$22), 3,  ""))))</f>
        <v/>
      </c>
      <c r="AV571" s="94" t="str">
        <f t="shared" si="967"/>
        <v/>
      </c>
      <c r="AW571" s="102" t="str">
        <f t="shared" si="968"/>
        <v/>
      </c>
      <c r="AX571" s="157"/>
      <c r="AY571" s="170"/>
      <c r="AZ571" s="179"/>
      <c r="BA571" s="170"/>
      <c r="BB571" s="182"/>
      <c r="BC571" s="182"/>
      <c r="BD571" s="185"/>
      <c r="BE571" s="185"/>
      <c r="BF571" s="159"/>
      <c r="BG571" s="191"/>
    </row>
    <row r="572" spans="1:59" x14ac:dyDescent="0.25">
      <c r="A572" s="167"/>
      <c r="B572" s="167"/>
      <c r="C572" s="161" t="s">
        <v>18</v>
      </c>
      <c r="D572" s="160" t="s">
        <v>158</v>
      </c>
      <c r="E572" s="162"/>
      <c r="F572" s="163" t="str">
        <f t="shared" si="900"/>
        <v/>
      </c>
      <c r="G572" s="149"/>
      <c r="H572" s="149"/>
      <c r="I572" s="149"/>
      <c r="J572" s="149"/>
      <c r="K572" s="149"/>
      <c r="L572" s="165" t="str">
        <f t="shared" ref="L572" si="979">IFERROR(VLOOKUP(G572, tabla02, 2, 0), "")</f>
        <v/>
      </c>
      <c r="M572" s="165" t="str">
        <f t="shared" ref="M572" si="980">IFERROR(VLOOKUP(H572, tabla02, 2, 0), "")</f>
        <v/>
      </c>
      <c r="N572" s="165" t="str">
        <f t="shared" ref="N572" si="981">IFERROR(VLOOKUP(I572, tabla02, 2, 0), "")</f>
        <v/>
      </c>
      <c r="O572" s="165" t="str">
        <f t="shared" ref="O572" si="982">IFERROR(VLOOKUP(J572, tabla02, 2, 0), "")</f>
        <v/>
      </c>
      <c r="P572" s="165" t="str">
        <f t="shared" ref="P572" si="983">IFERROR(VLOOKUP(K572, tabla02, 2, 0), "")</f>
        <v/>
      </c>
      <c r="Q572" s="165" t="str">
        <f t="shared" ref="Q572" si="984">IF(SUM(L572:O576)=0, "", MAX(L572:P572))</f>
        <v/>
      </c>
      <c r="R572" s="165" t="str">
        <f>IFERROR(VLOOKUP(Q572, tabla04, 3, 0), "")</f>
        <v/>
      </c>
      <c r="S572" s="148"/>
      <c r="T572" s="148"/>
      <c r="U572" s="148"/>
      <c r="V572" s="148"/>
      <c r="W572" s="148"/>
      <c r="X572" s="163" t="str">
        <f>IFERROR(VLOOKUP(CONCATENATE(F572, "-", Q572), cuadrante_sev, 3, 0), "")</f>
        <v/>
      </c>
      <c r="Y572" s="163" t="str">
        <f t="shared" ref="Y572" si="985">IFERROR(IF(X572="Baja", 1, IF(X572="Moderada", 2, IF(X572="Alta", 3, IF(X572="Extrema", 4, "")))), "")</f>
        <v/>
      </c>
      <c r="Z572" s="172"/>
      <c r="AA572" s="188"/>
      <c r="AB572" s="172"/>
      <c r="AC572" s="172"/>
      <c r="AD572" s="175"/>
      <c r="AE572" s="70" t="s">
        <v>113</v>
      </c>
      <c r="AF572" s="135"/>
      <c r="AG572" s="77"/>
      <c r="AH572" s="61"/>
      <c r="AI572" s="61"/>
      <c r="AJ572" s="61"/>
      <c r="AK572" s="61"/>
      <c r="AL572" s="61"/>
      <c r="AM572" s="82" t="str">
        <f>IFERROR((Tablas!$C$1*VLOOKUP(AH572, tipo_control, 2, 0)+Tablas!$E$1*VLOOKUP(AI572, nat_control, 2, 0)+Tablas!$G$1*VLOOKUP(AJ572, ev_control, 2, 0)+Tablas!$I$1*VLOOKUP(AK572, frec_control, 2, 0)+Tablas!$K$1*VLOOKUP(AL572, doc_control, 2, 0))*0.1*peso_dis, "")</f>
        <v/>
      </c>
      <c r="AN572" s="61"/>
      <c r="AO572" s="61"/>
      <c r="AP572" s="61"/>
      <c r="AQ572" s="82" t="str">
        <f>IFERROR((Tablas!$C$9*VLOOKUP(AN572, amb_control, 2, 0)+Tablas!$E$9*VLOOKUP(AO572, ejec_control, 2, 0)+Tablas!$G$9*VLOOKUP(AP572, cub_control, 2, 0))*0.1*peso_ejec, "")</f>
        <v/>
      </c>
      <c r="AR572" s="96" t="str">
        <f t="shared" si="966"/>
        <v/>
      </c>
      <c r="AS572" s="97" t="str">
        <f t="shared" si="911"/>
        <v/>
      </c>
      <c r="AT572" s="87" t="str">
        <f t="shared" si="912"/>
        <v/>
      </c>
      <c r="AU572" s="97" t="str">
        <f>IF(AR572&lt;Tablas!$G$19, 0, IF(AND(AR572&gt;=Tablas!$G$19, AR572&lt;Tablas!$G$20), 1,  IF(AND(AR572&gt;=Tablas!$G$20, AR572&lt;Tablas!$G$21), 2,  IF(AND(AR572&gt;=Tablas!$G$21, AR572&lt;=Tablas!$G$22), 3,  ""))))</f>
        <v/>
      </c>
      <c r="AV572" s="97" t="str">
        <f t="shared" si="967"/>
        <v/>
      </c>
      <c r="AW572" s="103" t="str">
        <f t="shared" si="968"/>
        <v/>
      </c>
      <c r="AX572" s="176" t="str">
        <f t="shared" ref="AX572" si="986">IFERROR(VLOOKUP(AY572, tabla04, 2, 0), "")</f>
        <v/>
      </c>
      <c r="AY572" s="168" t="str">
        <f>IF(F572="", "", IF((F572-MAX(AV572:AV576))&lt;=0, 1, F572-MAX(AV572:AV576)))</f>
        <v/>
      </c>
      <c r="AZ572" s="178" t="str">
        <f t="shared" ref="AZ572" si="987">IFERROR(VLOOKUP(BA572, tabla04, 3, 0), "")</f>
        <v/>
      </c>
      <c r="BA572" s="168" t="str">
        <f>IF(Q572="", "", IF((Q572-MAX(AW572:AW576))&lt;=0, 1, Q572-MAX(AW572:AW576)))</f>
        <v/>
      </c>
      <c r="BB572" s="182"/>
      <c r="BC572" s="182"/>
      <c r="BD572" s="185"/>
      <c r="BE572" s="185"/>
      <c r="BF572" s="158" t="str">
        <f t="shared" ref="BF572:BF574" si="988">IFERROR(VLOOKUP(CONCATENATE(AY572, "-", BA572), cuadrante_sev, 3, 0), "")</f>
        <v/>
      </c>
      <c r="BG572" s="191"/>
    </row>
    <row r="573" spans="1:59" x14ac:dyDescent="0.25">
      <c r="A573" s="167"/>
      <c r="B573" s="167"/>
      <c r="C573" s="161"/>
      <c r="D573" s="160"/>
      <c r="E573" s="162"/>
      <c r="F573" s="164"/>
      <c r="G573" s="161"/>
      <c r="H573" s="161"/>
      <c r="I573" s="161"/>
      <c r="J573" s="161"/>
      <c r="K573" s="161"/>
      <c r="L573" s="166"/>
      <c r="M573" s="166"/>
      <c r="N573" s="166"/>
      <c r="O573" s="166"/>
      <c r="P573" s="166"/>
      <c r="Q573" s="166"/>
      <c r="R573" s="166"/>
      <c r="S573" s="167"/>
      <c r="T573" s="167"/>
      <c r="U573" s="167"/>
      <c r="V573" s="167"/>
      <c r="W573" s="167"/>
      <c r="X573" s="164"/>
      <c r="Y573" s="164"/>
      <c r="Z573" s="172"/>
      <c r="AA573" s="188"/>
      <c r="AB573" s="172"/>
      <c r="AC573" s="172"/>
      <c r="AD573" s="175"/>
      <c r="AE573" s="62" t="s">
        <v>114</v>
      </c>
      <c r="AF573" s="133"/>
      <c r="AG573" s="65"/>
      <c r="AH573" s="64"/>
      <c r="AI573" s="64"/>
      <c r="AJ573" s="64"/>
      <c r="AK573" s="64"/>
      <c r="AL573" s="64"/>
      <c r="AM573" s="80" t="str">
        <f>IFERROR((Tablas!$C$1*VLOOKUP(AH573, tipo_control, 2, 0)+Tablas!$E$1*VLOOKUP(AI573, nat_control, 2, 0)+Tablas!$G$1*VLOOKUP(AJ573, ev_control, 2, 0)+Tablas!$I$1*VLOOKUP(AK573, frec_control, 2, 0)+Tablas!$K$1*VLOOKUP(AL573, doc_control, 2, 0))*0.1*peso_dis, "")</f>
        <v/>
      </c>
      <c r="AN573" s="64"/>
      <c r="AO573" s="64"/>
      <c r="AP573" s="64"/>
      <c r="AQ573" s="80" t="str">
        <f>IFERROR((Tablas!$C$9*VLOOKUP(AN573, amb_control, 2, 0)+Tablas!$E$9*VLOOKUP(AO573, ejec_control, 2, 0)+Tablas!$G$9*VLOOKUP(AP573, cub_control, 2, 0))*0.1*peso_ejec, "")</f>
        <v/>
      </c>
      <c r="AR573" s="91" t="str">
        <f t="shared" si="966"/>
        <v/>
      </c>
      <c r="AS573" s="85" t="str">
        <f t="shared" si="911"/>
        <v/>
      </c>
      <c r="AT573" s="85" t="str">
        <f t="shared" si="912"/>
        <v/>
      </c>
      <c r="AU573" s="85" t="str">
        <f>IF(AR573&lt;Tablas!$G$19, 0, IF(AND(AR573&gt;=Tablas!$G$19, AR573&lt;Tablas!$G$20), 1,  IF(AND(AR573&gt;=Tablas!$G$20, AR573&lt;Tablas!$G$21), 2,  IF(AND(AR573&gt;=Tablas!$G$21, AR573&lt;=Tablas!$G$22), 3,  ""))))</f>
        <v/>
      </c>
      <c r="AV573" s="85" t="str">
        <f t="shared" si="967"/>
        <v/>
      </c>
      <c r="AW573" s="101" t="str">
        <f t="shared" si="968"/>
        <v/>
      </c>
      <c r="AX573" s="177"/>
      <c r="AY573" s="169"/>
      <c r="AZ573" s="158"/>
      <c r="BA573" s="169"/>
      <c r="BB573" s="182"/>
      <c r="BC573" s="182"/>
      <c r="BD573" s="185"/>
      <c r="BE573" s="185"/>
      <c r="BF573" s="158" t="str">
        <f t="shared" si="988"/>
        <v/>
      </c>
      <c r="BG573" s="191"/>
    </row>
    <row r="574" spans="1:59" x14ac:dyDescent="0.25">
      <c r="A574" s="167"/>
      <c r="B574" s="167"/>
      <c r="C574" s="161"/>
      <c r="D574" s="160"/>
      <c r="E574" s="162"/>
      <c r="F574" s="164"/>
      <c r="G574" s="161"/>
      <c r="H574" s="161"/>
      <c r="I574" s="161"/>
      <c r="J574" s="161"/>
      <c r="K574" s="161"/>
      <c r="L574" s="166"/>
      <c r="M574" s="166"/>
      <c r="N574" s="166"/>
      <c r="O574" s="166"/>
      <c r="P574" s="166"/>
      <c r="Q574" s="166"/>
      <c r="R574" s="166"/>
      <c r="S574" s="167"/>
      <c r="T574" s="167"/>
      <c r="U574" s="167"/>
      <c r="V574" s="167"/>
      <c r="W574" s="167"/>
      <c r="X574" s="164"/>
      <c r="Y574" s="164"/>
      <c r="Z574" s="172"/>
      <c r="AA574" s="188"/>
      <c r="AB574" s="172"/>
      <c r="AC574" s="172"/>
      <c r="AD574" s="175"/>
      <c r="AE574" s="62" t="s">
        <v>115</v>
      </c>
      <c r="AF574" s="133"/>
      <c r="AG574" s="65"/>
      <c r="AH574" s="64"/>
      <c r="AI574" s="64"/>
      <c r="AJ574" s="64"/>
      <c r="AK574" s="64"/>
      <c r="AL574" s="64"/>
      <c r="AM574" s="80" t="str">
        <f>IFERROR((Tablas!$C$1*VLOOKUP(AH574, tipo_control, 2, 0)+Tablas!$E$1*VLOOKUP(AI574, nat_control, 2, 0)+Tablas!$G$1*VLOOKUP(AJ574, ev_control, 2, 0)+Tablas!$I$1*VLOOKUP(AK574, frec_control, 2, 0)+Tablas!$K$1*VLOOKUP(AL574, doc_control, 2, 0))*0.1*peso_dis, "")</f>
        <v/>
      </c>
      <c r="AN574" s="64"/>
      <c r="AO574" s="64"/>
      <c r="AP574" s="64"/>
      <c r="AQ574" s="80" t="str">
        <f>IFERROR((Tablas!$C$9*VLOOKUP(AN574, amb_control, 2, 0)+Tablas!$E$9*VLOOKUP(AO574, ejec_control, 2, 0)+Tablas!$G$9*VLOOKUP(AP574, cub_control, 2, 0))*0.1*peso_ejec, "")</f>
        <v/>
      </c>
      <c r="AR574" s="91" t="str">
        <f t="shared" si="966"/>
        <v/>
      </c>
      <c r="AS574" s="85" t="str">
        <f t="shared" si="911"/>
        <v/>
      </c>
      <c r="AT574" s="85" t="str">
        <f t="shared" si="912"/>
        <v/>
      </c>
      <c r="AU574" s="85" t="str">
        <f>IF(AR574&lt;Tablas!$G$19, 0, IF(AND(AR574&gt;=Tablas!$G$19, AR574&lt;Tablas!$G$20), 1,  IF(AND(AR574&gt;=Tablas!$G$20, AR574&lt;Tablas!$G$21), 2,  IF(AND(AR574&gt;=Tablas!$G$21, AR574&lt;=Tablas!$G$22), 3,  ""))))</f>
        <v/>
      </c>
      <c r="AV574" s="85" t="str">
        <f t="shared" si="967"/>
        <v/>
      </c>
      <c r="AW574" s="101" t="str">
        <f t="shared" si="968"/>
        <v/>
      </c>
      <c r="AX574" s="177"/>
      <c r="AY574" s="169"/>
      <c r="AZ574" s="158"/>
      <c r="BA574" s="169"/>
      <c r="BB574" s="182"/>
      <c r="BC574" s="182"/>
      <c r="BD574" s="185"/>
      <c r="BE574" s="185"/>
      <c r="BF574" s="158" t="str">
        <f t="shared" si="988"/>
        <v/>
      </c>
      <c r="BG574" s="191"/>
    </row>
    <row r="575" spans="1:59" x14ac:dyDescent="0.25">
      <c r="A575" s="167"/>
      <c r="B575" s="167"/>
      <c r="C575" s="161"/>
      <c r="D575" s="160"/>
      <c r="E575" s="162"/>
      <c r="F575" s="164"/>
      <c r="G575" s="161"/>
      <c r="H575" s="161"/>
      <c r="I575" s="161"/>
      <c r="J575" s="161"/>
      <c r="K575" s="161"/>
      <c r="L575" s="166"/>
      <c r="M575" s="166"/>
      <c r="N575" s="166"/>
      <c r="O575" s="166"/>
      <c r="P575" s="166"/>
      <c r="Q575" s="166"/>
      <c r="R575" s="166"/>
      <c r="S575" s="167"/>
      <c r="T575" s="167"/>
      <c r="U575" s="167"/>
      <c r="V575" s="167"/>
      <c r="W575" s="167"/>
      <c r="X575" s="164"/>
      <c r="Y575" s="164"/>
      <c r="Z575" s="172"/>
      <c r="AA575" s="188"/>
      <c r="AB575" s="172"/>
      <c r="AC575" s="172"/>
      <c r="AD575" s="175"/>
      <c r="AE575" s="62" t="s">
        <v>153</v>
      </c>
      <c r="AF575" s="133"/>
      <c r="AG575" s="65"/>
      <c r="AH575" s="64"/>
      <c r="AI575" s="64"/>
      <c r="AJ575" s="64"/>
      <c r="AK575" s="64"/>
      <c r="AL575" s="64"/>
      <c r="AM575" s="80" t="str">
        <f>IFERROR((Tablas!$C$1*VLOOKUP(AH575, tipo_control, 2, 0)+Tablas!$E$1*VLOOKUP(AI575, nat_control, 2, 0)+Tablas!$G$1*VLOOKUP(AJ575, ev_control, 2, 0)+Tablas!$I$1*VLOOKUP(AK575, frec_control, 2, 0)+Tablas!$K$1*VLOOKUP(AL575, doc_control, 2, 0))*0.1*peso_dis, "")</f>
        <v/>
      </c>
      <c r="AN575" s="64"/>
      <c r="AO575" s="64"/>
      <c r="AP575" s="64"/>
      <c r="AQ575" s="80" t="str">
        <f>IFERROR((Tablas!$C$9*VLOOKUP(AN575, amb_control, 2, 0)+Tablas!$E$9*VLOOKUP(AO575, ejec_control, 2, 0)+Tablas!$G$9*VLOOKUP(AP575, cub_control, 2, 0))*0.1*peso_ejec, "")</f>
        <v/>
      </c>
      <c r="AR575" s="91" t="str">
        <f t="shared" si="966"/>
        <v/>
      </c>
      <c r="AS575" s="85" t="str">
        <f t="shared" si="911"/>
        <v/>
      </c>
      <c r="AT575" s="85" t="str">
        <f t="shared" si="912"/>
        <v/>
      </c>
      <c r="AU575" s="85" t="str">
        <f>IF(AR575&lt;Tablas!$G$19, 0, IF(AND(AR575&gt;=Tablas!$G$19, AR575&lt;Tablas!$G$20), 1,  IF(AND(AR575&gt;=Tablas!$G$20, AR575&lt;Tablas!$G$21), 2,  IF(AND(AR575&gt;=Tablas!$G$21, AR575&lt;=Tablas!$G$22), 3,  ""))))</f>
        <v/>
      </c>
      <c r="AV575" s="85" t="str">
        <f t="shared" si="967"/>
        <v/>
      </c>
      <c r="AW575" s="101" t="str">
        <f t="shared" si="968"/>
        <v/>
      </c>
      <c r="AX575" s="177"/>
      <c r="AY575" s="169"/>
      <c r="AZ575" s="158"/>
      <c r="BA575" s="169"/>
      <c r="BB575" s="182"/>
      <c r="BC575" s="182"/>
      <c r="BD575" s="185"/>
      <c r="BE575" s="185"/>
      <c r="BF575" s="158"/>
      <c r="BG575" s="191"/>
    </row>
    <row r="576" spans="1:59" ht="15.75" thickBot="1" x14ac:dyDescent="0.3">
      <c r="A576" s="167"/>
      <c r="B576" s="167"/>
      <c r="C576" s="161"/>
      <c r="D576" s="160"/>
      <c r="E576" s="162"/>
      <c r="F576" s="165"/>
      <c r="G576" s="161"/>
      <c r="H576" s="161"/>
      <c r="I576" s="161"/>
      <c r="J576" s="161"/>
      <c r="K576" s="161"/>
      <c r="L576" s="166"/>
      <c r="M576" s="166"/>
      <c r="N576" s="166"/>
      <c r="O576" s="166"/>
      <c r="P576" s="166"/>
      <c r="Q576" s="166"/>
      <c r="R576" s="166"/>
      <c r="S576" s="149"/>
      <c r="T576" s="149"/>
      <c r="U576" s="149"/>
      <c r="V576" s="149"/>
      <c r="W576" s="149"/>
      <c r="X576" s="165"/>
      <c r="Y576" s="165"/>
      <c r="Z576" s="172"/>
      <c r="AA576" s="188"/>
      <c r="AB576" s="172"/>
      <c r="AC576" s="172"/>
      <c r="AD576" s="175"/>
      <c r="AE576" s="66" t="s">
        <v>154</v>
      </c>
      <c r="AF576" s="134"/>
      <c r="AG576" s="67"/>
      <c r="AH576" s="69"/>
      <c r="AI576" s="69"/>
      <c r="AJ576" s="69"/>
      <c r="AK576" s="69"/>
      <c r="AL576" s="69"/>
      <c r="AM576" s="81" t="str">
        <f>IFERROR((Tablas!$C$1*VLOOKUP(AH576, tipo_control, 2, 0)+Tablas!$E$1*VLOOKUP(AI576, nat_control, 2, 0)+Tablas!$G$1*VLOOKUP(AJ576, ev_control, 2, 0)+Tablas!$I$1*VLOOKUP(AK576, frec_control, 2, 0)+Tablas!$K$1*VLOOKUP(AL576, doc_control, 2, 0))*0.1*peso_dis, "")</f>
        <v/>
      </c>
      <c r="AN576" s="69"/>
      <c r="AO576" s="69"/>
      <c r="AP576" s="69"/>
      <c r="AQ576" s="81" t="str">
        <f>IFERROR((Tablas!$C$9*VLOOKUP(AN576, amb_control, 2, 0)+Tablas!$E$9*VLOOKUP(AO576, ejec_control, 2, 0)+Tablas!$G$9*VLOOKUP(AP576, cub_control, 2, 0))*0.1*peso_ejec, "")</f>
        <v/>
      </c>
      <c r="AR576" s="93" t="str">
        <f t="shared" si="966"/>
        <v/>
      </c>
      <c r="AS576" s="94" t="str">
        <f t="shared" si="911"/>
        <v/>
      </c>
      <c r="AT576" s="94" t="str">
        <f t="shared" si="912"/>
        <v/>
      </c>
      <c r="AU576" s="94" t="str">
        <f>IF(AR576&lt;Tablas!$G$19, 0, IF(AND(AR576&gt;=Tablas!$G$19, AR576&lt;Tablas!$G$20), 1,  IF(AND(AR576&gt;=Tablas!$G$20, AR576&lt;Tablas!$G$21), 2,  IF(AND(AR576&gt;=Tablas!$G$21, AR576&lt;=Tablas!$G$22), 3,  ""))))</f>
        <v/>
      </c>
      <c r="AV576" s="94" t="str">
        <f t="shared" si="967"/>
        <v/>
      </c>
      <c r="AW576" s="102" t="str">
        <f t="shared" si="968"/>
        <v/>
      </c>
      <c r="AX576" s="157"/>
      <c r="AY576" s="170"/>
      <c r="AZ576" s="179"/>
      <c r="BA576" s="170"/>
      <c r="BB576" s="182"/>
      <c r="BC576" s="182"/>
      <c r="BD576" s="185"/>
      <c r="BE576" s="185"/>
      <c r="BF576" s="159"/>
      <c r="BG576" s="191"/>
    </row>
    <row r="577" spans="1:59" x14ac:dyDescent="0.25">
      <c r="A577" s="167"/>
      <c r="B577" s="167"/>
      <c r="C577" s="161" t="s">
        <v>19</v>
      </c>
      <c r="D577" s="160" t="s">
        <v>158</v>
      </c>
      <c r="E577" s="162"/>
      <c r="F577" s="163" t="str">
        <f t="shared" si="900"/>
        <v/>
      </c>
      <c r="G577" s="149"/>
      <c r="H577" s="149"/>
      <c r="I577" s="149"/>
      <c r="J577" s="149"/>
      <c r="K577" s="149"/>
      <c r="L577" s="165" t="str">
        <f t="shared" ref="L577" si="989">IFERROR(VLOOKUP(G577, tabla02, 2, 0), "")</f>
        <v/>
      </c>
      <c r="M577" s="165" t="str">
        <f t="shared" ref="M577" si="990">IFERROR(VLOOKUP(H577, tabla02, 2, 0), "")</f>
        <v/>
      </c>
      <c r="N577" s="165" t="str">
        <f t="shared" ref="N577" si="991">IFERROR(VLOOKUP(I577, tabla02, 2, 0), "")</f>
        <v/>
      </c>
      <c r="O577" s="165" t="str">
        <f t="shared" ref="O577" si="992">IFERROR(VLOOKUP(J577, tabla02, 2, 0), "")</f>
        <v/>
      </c>
      <c r="P577" s="165" t="str">
        <f t="shared" ref="P577" si="993">IFERROR(VLOOKUP(K577, tabla02, 2, 0), "")</f>
        <v/>
      </c>
      <c r="Q577" s="165" t="str">
        <f t="shared" ref="Q577" si="994">IF(SUM(L577:O581)=0, "", MAX(L577:P577))</f>
        <v/>
      </c>
      <c r="R577" s="165" t="str">
        <f>IFERROR(VLOOKUP(Q577, tabla04, 3, 0), "")</f>
        <v/>
      </c>
      <c r="S577" s="148"/>
      <c r="T577" s="148"/>
      <c r="U577" s="148"/>
      <c r="V577" s="148"/>
      <c r="W577" s="148"/>
      <c r="X577" s="163" t="str">
        <f>IFERROR(VLOOKUP(CONCATENATE(F577, "-", Q577), cuadrante_sev, 3, 0), "")</f>
        <v/>
      </c>
      <c r="Y577" s="163" t="str">
        <f t="shared" ref="Y577" si="995">IFERROR(IF(X577="Baja", 1, IF(X577="Moderada", 2, IF(X577="Alta", 3, IF(X577="Extrema", 4, "")))), "")</f>
        <v/>
      </c>
      <c r="Z577" s="172"/>
      <c r="AA577" s="188"/>
      <c r="AB577" s="172"/>
      <c r="AC577" s="172"/>
      <c r="AD577" s="175"/>
      <c r="AE577" s="70" t="s">
        <v>113</v>
      </c>
      <c r="AF577" s="135"/>
      <c r="AG577" s="74"/>
      <c r="AH577" s="72"/>
      <c r="AI577" s="72"/>
      <c r="AJ577" s="72"/>
      <c r="AK577" s="72"/>
      <c r="AL577" s="72"/>
      <c r="AM577" s="82" t="str">
        <f>IFERROR((Tablas!$C$1*VLOOKUP(AH577, tipo_control, 2, 0)+Tablas!$E$1*VLOOKUP(AI577, nat_control, 2, 0)+Tablas!$G$1*VLOOKUP(AJ577, ev_control, 2, 0)+Tablas!$I$1*VLOOKUP(AK577, frec_control, 2, 0)+Tablas!$K$1*VLOOKUP(AL577, doc_control, 2, 0))*0.1*peso_dis, "")</f>
        <v/>
      </c>
      <c r="AN577" s="72"/>
      <c r="AO577" s="72"/>
      <c r="AP577" s="72"/>
      <c r="AQ577" s="82" t="str">
        <f>IFERROR((Tablas!$C$9*VLOOKUP(AN577, amb_control, 2, 0)+Tablas!$E$9*VLOOKUP(AO577, ejec_control, 2, 0)+Tablas!$G$9*VLOOKUP(AP577, cub_control, 2, 0))*0.1*peso_ejec, "")</f>
        <v/>
      </c>
      <c r="AR577" s="96" t="str">
        <f t="shared" si="966"/>
        <v/>
      </c>
      <c r="AS577" s="97" t="str">
        <f t="shared" si="911"/>
        <v/>
      </c>
      <c r="AT577" s="87" t="str">
        <f t="shared" si="912"/>
        <v/>
      </c>
      <c r="AU577" s="97" t="str">
        <f>IF(AR577&lt;Tablas!$G$19, 0, IF(AND(AR577&gt;=Tablas!$G$19, AR577&lt;Tablas!$G$20), 1,  IF(AND(AR577&gt;=Tablas!$G$20, AR577&lt;Tablas!$G$21), 2,  IF(AND(AR577&gt;=Tablas!$G$21, AR577&lt;=Tablas!$G$22), 3,  ""))))</f>
        <v/>
      </c>
      <c r="AV577" s="97" t="str">
        <f t="shared" si="967"/>
        <v/>
      </c>
      <c r="AW577" s="103" t="str">
        <f t="shared" si="968"/>
        <v/>
      </c>
      <c r="AX577" s="176" t="str">
        <f t="shared" ref="AX577" si="996">IFERROR(VLOOKUP(AY577, tabla04, 2, 0), "")</f>
        <v/>
      </c>
      <c r="AY577" s="168" t="str">
        <f>IF(F577="", "", IF((F577-MAX(AV577:AV581))&lt;=0, 1, F577-MAX(AV577:AV581)))</f>
        <v/>
      </c>
      <c r="AZ577" s="178" t="str">
        <f t="shared" ref="AZ577" si="997">IFERROR(VLOOKUP(BA577, tabla04, 3, 0), "")</f>
        <v/>
      </c>
      <c r="BA577" s="168" t="str">
        <f>IF(Q577="", "", IF((Q577-MAX(AW577:AW581))&lt;=0, 1, Q577-MAX(AW577:AW581)))</f>
        <v/>
      </c>
      <c r="BB577" s="182"/>
      <c r="BC577" s="182"/>
      <c r="BD577" s="185"/>
      <c r="BE577" s="185"/>
      <c r="BF577" s="158" t="str">
        <f t="shared" ref="BF577:BF579" si="998">IFERROR(VLOOKUP(CONCATENATE(AY577, "-", BA577), cuadrante_sev, 3, 0), "")</f>
        <v/>
      </c>
      <c r="BG577" s="191"/>
    </row>
    <row r="578" spans="1:59" x14ac:dyDescent="0.25">
      <c r="A578" s="167"/>
      <c r="B578" s="167"/>
      <c r="C578" s="161"/>
      <c r="D578" s="160"/>
      <c r="E578" s="162"/>
      <c r="F578" s="164"/>
      <c r="G578" s="161"/>
      <c r="H578" s="161"/>
      <c r="I578" s="161"/>
      <c r="J578" s="161"/>
      <c r="K578" s="161"/>
      <c r="L578" s="166"/>
      <c r="M578" s="166"/>
      <c r="N578" s="166"/>
      <c r="O578" s="166"/>
      <c r="P578" s="166"/>
      <c r="Q578" s="166"/>
      <c r="R578" s="166"/>
      <c r="S578" s="167"/>
      <c r="T578" s="167"/>
      <c r="U578" s="167"/>
      <c r="V578" s="167"/>
      <c r="W578" s="167"/>
      <c r="X578" s="164"/>
      <c r="Y578" s="164"/>
      <c r="Z578" s="172"/>
      <c r="AA578" s="188"/>
      <c r="AB578" s="172"/>
      <c r="AC578" s="172"/>
      <c r="AD578" s="175"/>
      <c r="AE578" s="62" t="s">
        <v>114</v>
      </c>
      <c r="AF578" s="133"/>
      <c r="AG578" s="65"/>
      <c r="AH578" s="64"/>
      <c r="AI578" s="64"/>
      <c r="AJ578" s="64"/>
      <c r="AK578" s="64"/>
      <c r="AL578" s="64"/>
      <c r="AM578" s="80" t="str">
        <f>IFERROR((Tablas!$C$1*VLOOKUP(AH578, tipo_control, 2, 0)+Tablas!$E$1*VLOOKUP(AI578, nat_control, 2, 0)+Tablas!$G$1*VLOOKUP(AJ578, ev_control, 2, 0)+Tablas!$I$1*VLOOKUP(AK578, frec_control, 2, 0)+Tablas!$K$1*VLOOKUP(AL578, doc_control, 2, 0))*0.1*peso_dis, "")</f>
        <v/>
      </c>
      <c r="AN578" s="64"/>
      <c r="AO578" s="64"/>
      <c r="AP578" s="64"/>
      <c r="AQ578" s="80" t="str">
        <f>IFERROR((Tablas!$C$9*VLOOKUP(AN578, amb_control, 2, 0)+Tablas!$E$9*VLOOKUP(AO578, ejec_control, 2, 0)+Tablas!$G$9*VLOOKUP(AP578, cub_control, 2, 0))*0.1*peso_ejec, "")</f>
        <v/>
      </c>
      <c r="AR578" s="91" t="str">
        <f t="shared" si="966"/>
        <v/>
      </c>
      <c r="AS578" s="85" t="str">
        <f t="shared" si="911"/>
        <v/>
      </c>
      <c r="AT578" s="85" t="str">
        <f t="shared" si="912"/>
        <v/>
      </c>
      <c r="AU578" s="85" t="str">
        <f>IF(AR578&lt;Tablas!$G$19, 0, IF(AND(AR578&gt;=Tablas!$G$19, AR578&lt;Tablas!$G$20), 1,  IF(AND(AR578&gt;=Tablas!$G$20, AR578&lt;Tablas!$G$21), 2,  IF(AND(AR578&gt;=Tablas!$G$21, AR578&lt;=Tablas!$G$22), 3,  ""))))</f>
        <v/>
      </c>
      <c r="AV578" s="85" t="str">
        <f t="shared" si="967"/>
        <v/>
      </c>
      <c r="AW578" s="101" t="str">
        <f t="shared" si="968"/>
        <v/>
      </c>
      <c r="AX578" s="177"/>
      <c r="AY578" s="169"/>
      <c r="AZ578" s="158"/>
      <c r="BA578" s="169"/>
      <c r="BB578" s="182"/>
      <c r="BC578" s="182"/>
      <c r="BD578" s="185"/>
      <c r="BE578" s="185"/>
      <c r="BF578" s="158" t="str">
        <f t="shared" si="998"/>
        <v/>
      </c>
      <c r="BG578" s="191"/>
    </row>
    <row r="579" spans="1:59" x14ac:dyDescent="0.25">
      <c r="A579" s="167"/>
      <c r="B579" s="167"/>
      <c r="C579" s="161"/>
      <c r="D579" s="160"/>
      <c r="E579" s="162"/>
      <c r="F579" s="164"/>
      <c r="G579" s="161"/>
      <c r="H579" s="161"/>
      <c r="I579" s="161"/>
      <c r="J579" s="161"/>
      <c r="K579" s="161"/>
      <c r="L579" s="166"/>
      <c r="M579" s="166"/>
      <c r="N579" s="166"/>
      <c r="O579" s="166"/>
      <c r="P579" s="166"/>
      <c r="Q579" s="166"/>
      <c r="R579" s="166"/>
      <c r="S579" s="167"/>
      <c r="T579" s="167"/>
      <c r="U579" s="167"/>
      <c r="V579" s="167"/>
      <c r="W579" s="167"/>
      <c r="X579" s="164"/>
      <c r="Y579" s="164"/>
      <c r="Z579" s="172"/>
      <c r="AA579" s="188"/>
      <c r="AB579" s="172"/>
      <c r="AC579" s="172"/>
      <c r="AD579" s="175"/>
      <c r="AE579" s="62" t="s">
        <v>115</v>
      </c>
      <c r="AF579" s="133"/>
      <c r="AG579" s="65"/>
      <c r="AH579" s="64"/>
      <c r="AI579" s="64"/>
      <c r="AJ579" s="64"/>
      <c r="AK579" s="64"/>
      <c r="AL579" s="64"/>
      <c r="AM579" s="80" t="str">
        <f>IFERROR((Tablas!$C$1*VLOOKUP(AH579, tipo_control, 2, 0)+Tablas!$E$1*VLOOKUP(AI579, nat_control, 2, 0)+Tablas!$G$1*VLOOKUP(AJ579, ev_control, 2, 0)+Tablas!$I$1*VLOOKUP(AK579, frec_control, 2, 0)+Tablas!$K$1*VLOOKUP(AL579, doc_control, 2, 0))*0.1*peso_dis, "")</f>
        <v/>
      </c>
      <c r="AN579" s="64"/>
      <c r="AO579" s="64"/>
      <c r="AP579" s="64"/>
      <c r="AQ579" s="80" t="str">
        <f>IFERROR((Tablas!$C$9*VLOOKUP(AN579, amb_control, 2, 0)+Tablas!$E$9*VLOOKUP(AO579, ejec_control, 2, 0)+Tablas!$G$9*VLOOKUP(AP579, cub_control, 2, 0))*0.1*peso_ejec, "")</f>
        <v/>
      </c>
      <c r="AR579" s="91" t="str">
        <f t="shared" si="966"/>
        <v/>
      </c>
      <c r="AS579" s="85" t="str">
        <f t="shared" si="911"/>
        <v/>
      </c>
      <c r="AT579" s="85" t="str">
        <f t="shared" si="912"/>
        <v/>
      </c>
      <c r="AU579" s="85" t="str">
        <f>IF(AR579&lt;Tablas!$G$19, 0, IF(AND(AR579&gt;=Tablas!$G$19, AR579&lt;Tablas!$G$20), 1,  IF(AND(AR579&gt;=Tablas!$G$20, AR579&lt;Tablas!$G$21), 2,  IF(AND(AR579&gt;=Tablas!$G$21, AR579&lt;=Tablas!$G$22), 3,  ""))))</f>
        <v/>
      </c>
      <c r="AV579" s="85" t="str">
        <f t="shared" si="967"/>
        <v/>
      </c>
      <c r="AW579" s="101" t="str">
        <f t="shared" si="968"/>
        <v/>
      </c>
      <c r="AX579" s="177"/>
      <c r="AY579" s="169"/>
      <c r="AZ579" s="158"/>
      <c r="BA579" s="169"/>
      <c r="BB579" s="182"/>
      <c r="BC579" s="182"/>
      <c r="BD579" s="185"/>
      <c r="BE579" s="185"/>
      <c r="BF579" s="158" t="str">
        <f t="shared" si="998"/>
        <v/>
      </c>
      <c r="BG579" s="191"/>
    </row>
    <row r="580" spans="1:59" x14ac:dyDescent="0.25">
      <c r="A580" s="167"/>
      <c r="B580" s="167"/>
      <c r="C580" s="161"/>
      <c r="D580" s="160"/>
      <c r="E580" s="162"/>
      <c r="F580" s="164"/>
      <c r="G580" s="161"/>
      <c r="H580" s="161"/>
      <c r="I580" s="161"/>
      <c r="J580" s="161"/>
      <c r="K580" s="161"/>
      <c r="L580" s="166"/>
      <c r="M580" s="166"/>
      <c r="N580" s="166"/>
      <c r="O580" s="166"/>
      <c r="P580" s="166"/>
      <c r="Q580" s="166"/>
      <c r="R580" s="166"/>
      <c r="S580" s="167"/>
      <c r="T580" s="167"/>
      <c r="U580" s="167"/>
      <c r="V580" s="167"/>
      <c r="W580" s="167"/>
      <c r="X580" s="164"/>
      <c r="Y580" s="164"/>
      <c r="Z580" s="172"/>
      <c r="AA580" s="188"/>
      <c r="AB580" s="172"/>
      <c r="AC580" s="172"/>
      <c r="AD580" s="175"/>
      <c r="AE580" s="62" t="s">
        <v>153</v>
      </c>
      <c r="AF580" s="133"/>
      <c r="AG580" s="65"/>
      <c r="AH580" s="64"/>
      <c r="AI580" s="64"/>
      <c r="AJ580" s="64"/>
      <c r="AK580" s="64"/>
      <c r="AL580" s="64"/>
      <c r="AM580" s="80" t="str">
        <f>IFERROR((Tablas!$C$1*VLOOKUP(AH580, tipo_control, 2, 0)+Tablas!$E$1*VLOOKUP(AI580, nat_control, 2, 0)+Tablas!$G$1*VLOOKUP(AJ580, ev_control, 2, 0)+Tablas!$I$1*VLOOKUP(AK580, frec_control, 2, 0)+Tablas!$K$1*VLOOKUP(AL580, doc_control, 2, 0))*0.1*peso_dis, "")</f>
        <v/>
      </c>
      <c r="AN580" s="64"/>
      <c r="AO580" s="64"/>
      <c r="AP580" s="64"/>
      <c r="AQ580" s="80" t="str">
        <f>IFERROR((Tablas!$C$9*VLOOKUP(AN580, amb_control, 2, 0)+Tablas!$E$9*VLOOKUP(AO580, ejec_control, 2, 0)+Tablas!$G$9*VLOOKUP(AP580, cub_control, 2, 0))*0.1*peso_ejec, "")</f>
        <v/>
      </c>
      <c r="AR580" s="91" t="str">
        <f t="shared" si="966"/>
        <v/>
      </c>
      <c r="AS580" s="85" t="str">
        <f t="shared" si="911"/>
        <v/>
      </c>
      <c r="AT580" s="85" t="str">
        <f t="shared" si="912"/>
        <v/>
      </c>
      <c r="AU580" s="85" t="str">
        <f>IF(AR580&lt;Tablas!$G$19, 0, IF(AND(AR580&gt;=Tablas!$G$19, AR580&lt;Tablas!$G$20), 1,  IF(AND(AR580&gt;=Tablas!$G$20, AR580&lt;Tablas!$G$21), 2,  IF(AND(AR580&gt;=Tablas!$G$21, AR580&lt;=Tablas!$G$22), 3,  ""))))</f>
        <v/>
      </c>
      <c r="AV580" s="85" t="str">
        <f t="shared" si="967"/>
        <v/>
      </c>
      <c r="AW580" s="101" t="str">
        <f t="shared" si="968"/>
        <v/>
      </c>
      <c r="AX580" s="177"/>
      <c r="AY580" s="169"/>
      <c r="AZ580" s="158"/>
      <c r="BA580" s="169"/>
      <c r="BB580" s="182"/>
      <c r="BC580" s="182"/>
      <c r="BD580" s="185"/>
      <c r="BE580" s="185"/>
      <c r="BF580" s="158"/>
      <c r="BG580" s="191"/>
    </row>
    <row r="581" spans="1:59" ht="15.75" thickBot="1" x14ac:dyDescent="0.3">
      <c r="A581" s="167"/>
      <c r="B581" s="167"/>
      <c r="C581" s="161"/>
      <c r="D581" s="160"/>
      <c r="E581" s="162"/>
      <c r="F581" s="165"/>
      <c r="G581" s="161"/>
      <c r="H581" s="161"/>
      <c r="I581" s="161"/>
      <c r="J581" s="161"/>
      <c r="K581" s="161"/>
      <c r="L581" s="166"/>
      <c r="M581" s="166"/>
      <c r="N581" s="166"/>
      <c r="O581" s="166"/>
      <c r="P581" s="166"/>
      <c r="Q581" s="166"/>
      <c r="R581" s="166"/>
      <c r="S581" s="149"/>
      <c r="T581" s="149"/>
      <c r="U581" s="149"/>
      <c r="V581" s="149"/>
      <c r="W581" s="149"/>
      <c r="X581" s="165"/>
      <c r="Y581" s="165"/>
      <c r="Z581" s="172"/>
      <c r="AA581" s="188"/>
      <c r="AB581" s="172"/>
      <c r="AC581" s="172"/>
      <c r="AD581" s="175"/>
      <c r="AE581" s="66" t="s">
        <v>154</v>
      </c>
      <c r="AF581" s="134"/>
      <c r="AG581" s="67"/>
      <c r="AH581" s="69"/>
      <c r="AI581" s="69"/>
      <c r="AJ581" s="69"/>
      <c r="AK581" s="69"/>
      <c r="AL581" s="69"/>
      <c r="AM581" s="81" t="str">
        <f>IFERROR((Tablas!$C$1*VLOOKUP(AH581, tipo_control, 2, 0)+Tablas!$E$1*VLOOKUP(AI581, nat_control, 2, 0)+Tablas!$G$1*VLOOKUP(AJ581, ev_control, 2, 0)+Tablas!$I$1*VLOOKUP(AK581, frec_control, 2, 0)+Tablas!$K$1*VLOOKUP(AL581, doc_control, 2, 0))*0.1*peso_dis, "")</f>
        <v/>
      </c>
      <c r="AN581" s="69"/>
      <c r="AO581" s="69"/>
      <c r="AP581" s="69"/>
      <c r="AQ581" s="81" t="str">
        <f>IFERROR((Tablas!$C$9*VLOOKUP(AN581, amb_control, 2, 0)+Tablas!$E$9*VLOOKUP(AO581, ejec_control, 2, 0)+Tablas!$G$9*VLOOKUP(AP581, cub_control, 2, 0))*0.1*peso_ejec, "")</f>
        <v/>
      </c>
      <c r="AR581" s="93" t="str">
        <f t="shared" si="966"/>
        <v/>
      </c>
      <c r="AS581" s="94" t="str">
        <f t="shared" si="911"/>
        <v/>
      </c>
      <c r="AT581" s="94" t="str">
        <f t="shared" si="912"/>
        <v/>
      </c>
      <c r="AU581" s="94" t="str">
        <f>IF(AR581&lt;Tablas!$G$19, 0, IF(AND(AR581&gt;=Tablas!$G$19, AR581&lt;Tablas!$G$20), 1,  IF(AND(AR581&gt;=Tablas!$G$20, AR581&lt;Tablas!$G$21), 2,  IF(AND(AR581&gt;=Tablas!$G$21, AR581&lt;=Tablas!$G$22), 3,  ""))))</f>
        <v/>
      </c>
      <c r="AV581" s="94" t="str">
        <f t="shared" si="967"/>
        <v/>
      </c>
      <c r="AW581" s="102" t="str">
        <f t="shared" si="968"/>
        <v/>
      </c>
      <c r="AX581" s="157"/>
      <c r="AY581" s="170"/>
      <c r="AZ581" s="179"/>
      <c r="BA581" s="170"/>
      <c r="BB581" s="182"/>
      <c r="BC581" s="182"/>
      <c r="BD581" s="185"/>
      <c r="BE581" s="185"/>
      <c r="BF581" s="159"/>
      <c r="BG581" s="191"/>
    </row>
    <row r="582" spans="1:59" x14ac:dyDescent="0.25">
      <c r="A582" s="167"/>
      <c r="B582" s="167"/>
      <c r="C582" s="161" t="s">
        <v>20</v>
      </c>
      <c r="D582" s="160" t="s">
        <v>158</v>
      </c>
      <c r="E582" s="162"/>
      <c r="F582" s="163" t="str">
        <f t="shared" si="900"/>
        <v/>
      </c>
      <c r="G582" s="149"/>
      <c r="H582" s="149"/>
      <c r="I582" s="149"/>
      <c r="J582" s="149"/>
      <c r="K582" s="149"/>
      <c r="L582" s="165" t="str">
        <f t="shared" ref="L582" si="999">IFERROR(VLOOKUP(G582, tabla02, 2, 0), "")</f>
        <v/>
      </c>
      <c r="M582" s="165" t="str">
        <f t="shared" ref="M582" si="1000">IFERROR(VLOOKUP(H582, tabla02, 2, 0), "")</f>
        <v/>
      </c>
      <c r="N582" s="165" t="str">
        <f t="shared" ref="N582" si="1001">IFERROR(VLOOKUP(I582, tabla02, 2, 0), "")</f>
        <v/>
      </c>
      <c r="O582" s="165" t="str">
        <f t="shared" ref="O582" si="1002">IFERROR(VLOOKUP(J582, tabla02, 2, 0), "")</f>
        <v/>
      </c>
      <c r="P582" s="165" t="str">
        <f t="shared" ref="P582" si="1003">IFERROR(VLOOKUP(K582, tabla02, 2, 0), "")</f>
        <v/>
      </c>
      <c r="Q582" s="165" t="str">
        <f t="shared" ref="Q582" si="1004">IF(SUM(L582:O586)=0, "", MAX(L582:P582))</f>
        <v/>
      </c>
      <c r="R582" s="165" t="str">
        <f>IFERROR(VLOOKUP(Q582, tabla04, 3, 0), "")</f>
        <v/>
      </c>
      <c r="S582" s="148"/>
      <c r="T582" s="148"/>
      <c r="U582" s="148"/>
      <c r="V582" s="148"/>
      <c r="W582" s="148"/>
      <c r="X582" s="163" t="str">
        <f>IFERROR(VLOOKUP(CONCATENATE(F582, "-", Q582), cuadrante_sev, 3, 0), "")</f>
        <v/>
      </c>
      <c r="Y582" s="163" t="str">
        <f t="shared" ref="Y582" si="1005">IFERROR(IF(X582="Baja", 1, IF(X582="Moderada", 2, IF(X582="Alta", 3, IF(X582="Extrema", 4, "")))), "")</f>
        <v/>
      </c>
      <c r="Z582" s="172"/>
      <c r="AA582" s="188"/>
      <c r="AB582" s="172"/>
      <c r="AC582" s="172"/>
      <c r="AD582" s="175"/>
      <c r="AE582" s="70" t="s">
        <v>113</v>
      </c>
      <c r="AF582" s="135"/>
      <c r="AG582" s="74"/>
      <c r="AH582" s="72"/>
      <c r="AI582" s="72"/>
      <c r="AJ582" s="72"/>
      <c r="AK582" s="72"/>
      <c r="AL582" s="72"/>
      <c r="AM582" s="82" t="str">
        <f>IFERROR((Tablas!$C$1*VLOOKUP(AH582, tipo_control, 2, 0)+Tablas!$E$1*VLOOKUP(AI582, nat_control, 2, 0)+Tablas!$G$1*VLOOKUP(AJ582, ev_control, 2, 0)+Tablas!$I$1*VLOOKUP(AK582, frec_control, 2, 0)+Tablas!$K$1*VLOOKUP(AL582, doc_control, 2, 0))*0.1*peso_dis, "")</f>
        <v/>
      </c>
      <c r="AN582" s="72"/>
      <c r="AO582" s="72"/>
      <c r="AP582" s="72"/>
      <c r="AQ582" s="82" t="str">
        <f>IFERROR((Tablas!$C$9*VLOOKUP(AN582, amb_control, 2, 0)+Tablas!$E$9*VLOOKUP(AO582, ejec_control, 2, 0)+Tablas!$G$9*VLOOKUP(AP582, cub_control, 2, 0))*0.1*peso_ejec, "")</f>
        <v/>
      </c>
      <c r="AR582" s="96" t="str">
        <f t="shared" si="966"/>
        <v/>
      </c>
      <c r="AS582" s="97" t="str">
        <f t="shared" si="911"/>
        <v/>
      </c>
      <c r="AT582" s="87" t="str">
        <f t="shared" si="912"/>
        <v/>
      </c>
      <c r="AU582" s="97" t="str">
        <f>IF(AR582&lt;Tablas!$G$19, 0, IF(AND(AR582&gt;=Tablas!$G$19, AR582&lt;Tablas!$G$20), 1,  IF(AND(AR582&gt;=Tablas!$G$20, AR582&lt;Tablas!$G$21), 2,  IF(AND(AR582&gt;=Tablas!$G$21, AR582&lt;=Tablas!$G$22), 3,  ""))))</f>
        <v/>
      </c>
      <c r="AV582" s="97" t="str">
        <f t="shared" si="967"/>
        <v/>
      </c>
      <c r="AW582" s="103" t="str">
        <f t="shared" si="968"/>
        <v/>
      </c>
      <c r="AX582" s="176" t="str">
        <f t="shared" ref="AX582" si="1006">IFERROR(VLOOKUP(AY582, tabla04, 2, 0), "")</f>
        <v/>
      </c>
      <c r="AY582" s="168" t="str">
        <f>IF(F582="", "", IF((F582-MAX(AV582:AV586))&lt;=0, 1, F582-MAX(AV582:AV586)))</f>
        <v/>
      </c>
      <c r="AZ582" s="178" t="str">
        <f t="shared" ref="AZ582" si="1007">IFERROR(VLOOKUP(BA582, tabla04, 3, 0), "")</f>
        <v/>
      </c>
      <c r="BA582" s="168" t="str">
        <f>IF(Q582="", "", IF((Q582-MAX(AW582:AW586))&lt;=0, 1, Q582-MAX(AW582:AW586)))</f>
        <v/>
      </c>
      <c r="BB582" s="182"/>
      <c r="BC582" s="182"/>
      <c r="BD582" s="185"/>
      <c r="BE582" s="185"/>
      <c r="BF582" s="158" t="str">
        <f t="shared" ref="BF582:BF584" si="1008">IFERROR(VLOOKUP(CONCATENATE(AY582, "-", BA582), cuadrante_sev, 3, 0), "")</f>
        <v/>
      </c>
      <c r="BG582" s="191"/>
    </row>
    <row r="583" spans="1:59" x14ac:dyDescent="0.25">
      <c r="A583" s="167"/>
      <c r="B583" s="167"/>
      <c r="C583" s="161"/>
      <c r="D583" s="160"/>
      <c r="E583" s="162"/>
      <c r="F583" s="164"/>
      <c r="G583" s="161"/>
      <c r="H583" s="161"/>
      <c r="I583" s="161"/>
      <c r="J583" s="161"/>
      <c r="K583" s="161"/>
      <c r="L583" s="166"/>
      <c r="M583" s="166"/>
      <c r="N583" s="166"/>
      <c r="O583" s="166"/>
      <c r="P583" s="166"/>
      <c r="Q583" s="166"/>
      <c r="R583" s="166"/>
      <c r="S583" s="167"/>
      <c r="T583" s="167"/>
      <c r="U583" s="167"/>
      <c r="V583" s="167"/>
      <c r="W583" s="167"/>
      <c r="X583" s="164"/>
      <c r="Y583" s="164"/>
      <c r="Z583" s="172"/>
      <c r="AA583" s="188"/>
      <c r="AB583" s="172"/>
      <c r="AC583" s="172"/>
      <c r="AD583" s="175"/>
      <c r="AE583" s="62" t="s">
        <v>114</v>
      </c>
      <c r="AF583" s="133"/>
      <c r="AG583" s="65"/>
      <c r="AH583" s="64"/>
      <c r="AI583" s="64"/>
      <c r="AJ583" s="64"/>
      <c r="AK583" s="64"/>
      <c r="AL583" s="64"/>
      <c r="AM583" s="80" t="str">
        <f>IFERROR((Tablas!$C$1*VLOOKUP(AH583, tipo_control, 2, 0)+Tablas!$E$1*VLOOKUP(AI583, nat_control, 2, 0)+Tablas!$G$1*VLOOKUP(AJ583, ev_control, 2, 0)+Tablas!$I$1*VLOOKUP(AK583, frec_control, 2, 0)+Tablas!$K$1*VLOOKUP(AL583, doc_control, 2, 0))*0.1*peso_dis, "")</f>
        <v/>
      </c>
      <c r="AN583" s="64"/>
      <c r="AO583" s="64"/>
      <c r="AP583" s="64"/>
      <c r="AQ583" s="80" t="str">
        <f>IFERROR((Tablas!$C$9*VLOOKUP(AN583, amb_control, 2, 0)+Tablas!$E$9*VLOOKUP(AO583, ejec_control, 2, 0)+Tablas!$G$9*VLOOKUP(AP583, cub_control, 2, 0))*0.1*peso_ejec, "")</f>
        <v/>
      </c>
      <c r="AR583" s="91" t="str">
        <f t="shared" si="966"/>
        <v/>
      </c>
      <c r="AS583" s="85" t="str">
        <f t="shared" si="911"/>
        <v/>
      </c>
      <c r="AT583" s="85" t="str">
        <f t="shared" si="912"/>
        <v/>
      </c>
      <c r="AU583" s="85" t="str">
        <f>IF(AR583&lt;Tablas!$G$19, 0, IF(AND(AR583&gt;=Tablas!$G$19, AR583&lt;Tablas!$G$20), 1,  IF(AND(AR583&gt;=Tablas!$G$20, AR583&lt;Tablas!$G$21), 2,  IF(AND(AR583&gt;=Tablas!$G$21, AR583&lt;=Tablas!$G$22), 3,  ""))))</f>
        <v/>
      </c>
      <c r="AV583" s="85" t="str">
        <f t="shared" si="967"/>
        <v/>
      </c>
      <c r="AW583" s="101" t="str">
        <f t="shared" si="968"/>
        <v/>
      </c>
      <c r="AX583" s="177"/>
      <c r="AY583" s="169"/>
      <c r="AZ583" s="158"/>
      <c r="BA583" s="169"/>
      <c r="BB583" s="182"/>
      <c r="BC583" s="182"/>
      <c r="BD583" s="185"/>
      <c r="BE583" s="185"/>
      <c r="BF583" s="158" t="str">
        <f t="shared" si="1008"/>
        <v/>
      </c>
      <c r="BG583" s="191"/>
    </row>
    <row r="584" spans="1:59" x14ac:dyDescent="0.25">
      <c r="A584" s="167"/>
      <c r="B584" s="167"/>
      <c r="C584" s="161"/>
      <c r="D584" s="160"/>
      <c r="E584" s="162"/>
      <c r="F584" s="164"/>
      <c r="G584" s="161"/>
      <c r="H584" s="161"/>
      <c r="I584" s="161"/>
      <c r="J584" s="161"/>
      <c r="K584" s="161"/>
      <c r="L584" s="166"/>
      <c r="M584" s="166"/>
      <c r="N584" s="166"/>
      <c r="O584" s="166"/>
      <c r="P584" s="166"/>
      <c r="Q584" s="166"/>
      <c r="R584" s="166"/>
      <c r="S584" s="167"/>
      <c r="T584" s="167"/>
      <c r="U584" s="167"/>
      <c r="V584" s="167"/>
      <c r="W584" s="167"/>
      <c r="X584" s="164"/>
      <c r="Y584" s="164"/>
      <c r="Z584" s="172"/>
      <c r="AA584" s="188"/>
      <c r="AB584" s="172"/>
      <c r="AC584" s="172"/>
      <c r="AD584" s="175"/>
      <c r="AE584" s="62" t="s">
        <v>115</v>
      </c>
      <c r="AF584" s="133"/>
      <c r="AG584" s="65"/>
      <c r="AH584" s="64"/>
      <c r="AI584" s="64"/>
      <c r="AJ584" s="64"/>
      <c r="AK584" s="64"/>
      <c r="AL584" s="64"/>
      <c r="AM584" s="80" t="str">
        <f>IFERROR((Tablas!$C$1*VLOOKUP(AH584, tipo_control, 2, 0)+Tablas!$E$1*VLOOKUP(AI584, nat_control, 2, 0)+Tablas!$G$1*VLOOKUP(AJ584, ev_control, 2, 0)+Tablas!$I$1*VLOOKUP(AK584, frec_control, 2, 0)+Tablas!$K$1*VLOOKUP(AL584, doc_control, 2, 0))*0.1*peso_dis, "")</f>
        <v/>
      </c>
      <c r="AN584" s="64"/>
      <c r="AO584" s="64"/>
      <c r="AP584" s="64"/>
      <c r="AQ584" s="80" t="str">
        <f>IFERROR((Tablas!$C$9*VLOOKUP(AN584, amb_control, 2, 0)+Tablas!$E$9*VLOOKUP(AO584, ejec_control, 2, 0)+Tablas!$G$9*VLOOKUP(AP584, cub_control, 2, 0))*0.1*peso_ejec, "")</f>
        <v/>
      </c>
      <c r="AR584" s="91" t="str">
        <f t="shared" si="966"/>
        <v/>
      </c>
      <c r="AS584" s="85" t="str">
        <f t="shared" si="911"/>
        <v/>
      </c>
      <c r="AT584" s="85" t="str">
        <f t="shared" si="912"/>
        <v/>
      </c>
      <c r="AU584" s="85" t="str">
        <f>IF(AR584&lt;Tablas!$G$19, 0, IF(AND(AR584&gt;=Tablas!$G$19, AR584&lt;Tablas!$G$20), 1,  IF(AND(AR584&gt;=Tablas!$G$20, AR584&lt;Tablas!$G$21), 2,  IF(AND(AR584&gt;=Tablas!$G$21, AR584&lt;=Tablas!$G$22), 3,  ""))))</f>
        <v/>
      </c>
      <c r="AV584" s="85" t="str">
        <f t="shared" si="967"/>
        <v/>
      </c>
      <c r="AW584" s="101" t="str">
        <f t="shared" si="968"/>
        <v/>
      </c>
      <c r="AX584" s="177"/>
      <c r="AY584" s="169"/>
      <c r="AZ584" s="158"/>
      <c r="BA584" s="169"/>
      <c r="BB584" s="182"/>
      <c r="BC584" s="182"/>
      <c r="BD584" s="185"/>
      <c r="BE584" s="185"/>
      <c r="BF584" s="158" t="str">
        <f t="shared" si="1008"/>
        <v/>
      </c>
      <c r="BG584" s="191"/>
    </row>
    <row r="585" spans="1:59" x14ac:dyDescent="0.25">
      <c r="A585" s="167"/>
      <c r="B585" s="167"/>
      <c r="C585" s="161"/>
      <c r="D585" s="160"/>
      <c r="E585" s="162"/>
      <c r="F585" s="164"/>
      <c r="G585" s="161"/>
      <c r="H585" s="161"/>
      <c r="I585" s="161"/>
      <c r="J585" s="161"/>
      <c r="K585" s="161"/>
      <c r="L585" s="166"/>
      <c r="M585" s="166"/>
      <c r="N585" s="166"/>
      <c r="O585" s="166"/>
      <c r="P585" s="166"/>
      <c r="Q585" s="166"/>
      <c r="R585" s="166"/>
      <c r="S585" s="167"/>
      <c r="T585" s="167"/>
      <c r="U585" s="167"/>
      <c r="V585" s="167"/>
      <c r="W585" s="167"/>
      <c r="X585" s="164"/>
      <c r="Y585" s="164"/>
      <c r="Z585" s="172"/>
      <c r="AA585" s="188"/>
      <c r="AB585" s="172"/>
      <c r="AC585" s="172"/>
      <c r="AD585" s="175"/>
      <c r="AE585" s="62" t="s">
        <v>153</v>
      </c>
      <c r="AF585" s="133"/>
      <c r="AG585" s="65"/>
      <c r="AH585" s="64"/>
      <c r="AI585" s="64"/>
      <c r="AJ585" s="64"/>
      <c r="AK585" s="64"/>
      <c r="AL585" s="64"/>
      <c r="AM585" s="80" t="str">
        <f>IFERROR((Tablas!$C$1*VLOOKUP(AH585, tipo_control, 2, 0)+Tablas!$E$1*VLOOKUP(AI585, nat_control, 2, 0)+Tablas!$G$1*VLOOKUP(AJ585, ev_control, 2, 0)+Tablas!$I$1*VLOOKUP(AK585, frec_control, 2, 0)+Tablas!$K$1*VLOOKUP(AL585, doc_control, 2, 0))*0.1*peso_dis, "")</f>
        <v/>
      </c>
      <c r="AN585" s="64"/>
      <c r="AO585" s="64"/>
      <c r="AP585" s="64"/>
      <c r="AQ585" s="80" t="str">
        <f>IFERROR((Tablas!$C$9*VLOOKUP(AN585, amb_control, 2, 0)+Tablas!$E$9*VLOOKUP(AO585, ejec_control, 2, 0)+Tablas!$G$9*VLOOKUP(AP585, cub_control, 2, 0))*0.1*peso_ejec, "")</f>
        <v/>
      </c>
      <c r="AR585" s="91" t="str">
        <f t="shared" si="966"/>
        <v/>
      </c>
      <c r="AS585" s="85" t="str">
        <f t="shared" si="911"/>
        <v/>
      </c>
      <c r="AT585" s="85" t="str">
        <f t="shared" si="912"/>
        <v/>
      </c>
      <c r="AU585" s="85" t="str">
        <f>IF(AR585&lt;Tablas!$G$19, 0, IF(AND(AR585&gt;=Tablas!$G$19, AR585&lt;Tablas!$G$20), 1,  IF(AND(AR585&gt;=Tablas!$G$20, AR585&lt;Tablas!$G$21), 2,  IF(AND(AR585&gt;=Tablas!$G$21, AR585&lt;=Tablas!$G$22), 3,  ""))))</f>
        <v/>
      </c>
      <c r="AV585" s="85" t="str">
        <f t="shared" si="967"/>
        <v/>
      </c>
      <c r="AW585" s="101" t="str">
        <f t="shared" si="968"/>
        <v/>
      </c>
      <c r="AX585" s="177"/>
      <c r="AY585" s="169"/>
      <c r="AZ585" s="158"/>
      <c r="BA585" s="169"/>
      <c r="BB585" s="182"/>
      <c r="BC585" s="182"/>
      <c r="BD585" s="185"/>
      <c r="BE585" s="185"/>
      <c r="BF585" s="158"/>
      <c r="BG585" s="191"/>
    </row>
    <row r="586" spans="1:59" ht="15.75" thickBot="1" x14ac:dyDescent="0.3">
      <c r="A586" s="167"/>
      <c r="B586" s="167"/>
      <c r="C586" s="161"/>
      <c r="D586" s="160"/>
      <c r="E586" s="162"/>
      <c r="F586" s="165"/>
      <c r="G586" s="161"/>
      <c r="H586" s="161"/>
      <c r="I586" s="161"/>
      <c r="J586" s="161"/>
      <c r="K586" s="161"/>
      <c r="L586" s="166"/>
      <c r="M586" s="166"/>
      <c r="N586" s="166"/>
      <c r="O586" s="166"/>
      <c r="P586" s="166"/>
      <c r="Q586" s="166"/>
      <c r="R586" s="166"/>
      <c r="S586" s="149"/>
      <c r="T586" s="149"/>
      <c r="U586" s="149"/>
      <c r="V586" s="149"/>
      <c r="W586" s="149"/>
      <c r="X586" s="165"/>
      <c r="Y586" s="165"/>
      <c r="Z586" s="172"/>
      <c r="AA586" s="188"/>
      <c r="AB586" s="172"/>
      <c r="AC586" s="172"/>
      <c r="AD586" s="175"/>
      <c r="AE586" s="66" t="s">
        <v>154</v>
      </c>
      <c r="AF586" s="134"/>
      <c r="AG586" s="67"/>
      <c r="AH586" s="69"/>
      <c r="AI586" s="69"/>
      <c r="AJ586" s="69"/>
      <c r="AK586" s="69"/>
      <c r="AL586" s="69"/>
      <c r="AM586" s="81" t="str">
        <f>IFERROR((Tablas!$C$1*VLOOKUP(AH586, tipo_control, 2, 0)+Tablas!$E$1*VLOOKUP(AI586, nat_control, 2, 0)+Tablas!$G$1*VLOOKUP(AJ586, ev_control, 2, 0)+Tablas!$I$1*VLOOKUP(AK586, frec_control, 2, 0)+Tablas!$K$1*VLOOKUP(AL586, doc_control, 2, 0))*0.1*peso_dis, "")</f>
        <v/>
      </c>
      <c r="AN586" s="69"/>
      <c r="AO586" s="69"/>
      <c r="AP586" s="69"/>
      <c r="AQ586" s="81" t="str">
        <f>IFERROR((Tablas!$C$9*VLOOKUP(AN586, amb_control, 2, 0)+Tablas!$E$9*VLOOKUP(AO586, ejec_control, 2, 0)+Tablas!$G$9*VLOOKUP(AP586, cub_control, 2, 0))*0.1*peso_ejec, "")</f>
        <v/>
      </c>
      <c r="AR586" s="93" t="str">
        <f t="shared" si="966"/>
        <v/>
      </c>
      <c r="AS586" s="94" t="str">
        <f t="shared" si="911"/>
        <v/>
      </c>
      <c r="AT586" s="94" t="str">
        <f t="shared" si="912"/>
        <v/>
      </c>
      <c r="AU586" s="94" t="str">
        <f>IF(AR586&lt;Tablas!$G$19, 0, IF(AND(AR586&gt;=Tablas!$G$19, AR586&lt;Tablas!$G$20), 1,  IF(AND(AR586&gt;=Tablas!$G$20, AR586&lt;Tablas!$G$21), 2,  IF(AND(AR586&gt;=Tablas!$G$21, AR586&lt;=Tablas!$G$22), 3,  ""))))</f>
        <v/>
      </c>
      <c r="AV586" s="94" t="str">
        <f t="shared" si="967"/>
        <v/>
      </c>
      <c r="AW586" s="102" t="str">
        <f t="shared" si="968"/>
        <v/>
      </c>
      <c r="AX586" s="157"/>
      <c r="AY586" s="170"/>
      <c r="AZ586" s="179"/>
      <c r="BA586" s="170"/>
      <c r="BB586" s="182"/>
      <c r="BC586" s="182"/>
      <c r="BD586" s="185"/>
      <c r="BE586" s="185"/>
      <c r="BF586" s="159"/>
      <c r="BG586" s="191"/>
    </row>
    <row r="587" spans="1:59" x14ac:dyDescent="0.25">
      <c r="A587" s="167"/>
      <c r="B587" s="167"/>
      <c r="C587" s="161" t="s">
        <v>180</v>
      </c>
      <c r="D587" s="160" t="s">
        <v>158</v>
      </c>
      <c r="E587" s="162"/>
      <c r="F587" s="163" t="str">
        <f t="shared" si="900"/>
        <v/>
      </c>
      <c r="G587" s="149"/>
      <c r="H587" s="149"/>
      <c r="I587" s="149"/>
      <c r="J587" s="149"/>
      <c r="K587" s="149"/>
      <c r="L587" s="165" t="str">
        <f t="shared" ref="L587" si="1009">IFERROR(VLOOKUP(G587, tabla02, 2, 0), "")</f>
        <v/>
      </c>
      <c r="M587" s="165" t="str">
        <f t="shared" ref="M587" si="1010">IFERROR(VLOOKUP(H587, tabla02, 2, 0), "")</f>
        <v/>
      </c>
      <c r="N587" s="165" t="str">
        <f t="shared" ref="N587" si="1011">IFERROR(VLOOKUP(I587, tabla02, 2, 0), "")</f>
        <v/>
      </c>
      <c r="O587" s="165" t="str">
        <f t="shared" ref="O587" si="1012">IFERROR(VLOOKUP(J587, tabla02, 2, 0), "")</f>
        <v/>
      </c>
      <c r="P587" s="165" t="str">
        <f t="shared" ref="P587" si="1013">IFERROR(VLOOKUP(K587, tabla02, 2, 0), "")</f>
        <v/>
      </c>
      <c r="Q587" s="165" t="str">
        <f t="shared" ref="Q587" si="1014">IF(SUM(L587:O591)=0, "", MAX(L587:P587))</f>
        <v/>
      </c>
      <c r="R587" s="165" t="str">
        <f>IFERROR(VLOOKUP(Q587, tabla04, 3, 0), "")</f>
        <v/>
      </c>
      <c r="S587" s="148"/>
      <c r="T587" s="148"/>
      <c r="U587" s="148"/>
      <c r="V587" s="148"/>
      <c r="W587" s="148"/>
      <c r="X587" s="163" t="str">
        <f>IFERROR(VLOOKUP(CONCATENATE(F587, "-", Q587), cuadrante_sev, 3, 0), "")</f>
        <v/>
      </c>
      <c r="Y587" s="163" t="str">
        <f t="shared" ref="Y587" si="1015">IFERROR(IF(X587="Baja", 1, IF(X587="Moderada", 2, IF(X587="Alta", 3, IF(X587="Extrema", 4, "")))), "")</f>
        <v/>
      </c>
      <c r="Z587" s="172"/>
      <c r="AA587" s="188"/>
      <c r="AB587" s="172"/>
      <c r="AC587" s="172"/>
      <c r="AD587" s="175"/>
      <c r="AE587" s="70" t="s">
        <v>113</v>
      </c>
      <c r="AF587" s="135"/>
      <c r="AG587" s="74"/>
      <c r="AH587" s="72"/>
      <c r="AI587" s="72"/>
      <c r="AJ587" s="72"/>
      <c r="AK587" s="72"/>
      <c r="AL587" s="72"/>
      <c r="AM587" s="82" t="str">
        <f>IFERROR((Tablas!$C$1*VLOOKUP(AH587, tipo_control, 2, 0)+Tablas!$E$1*VLOOKUP(AI587, nat_control, 2, 0)+Tablas!$G$1*VLOOKUP(AJ587, ev_control, 2, 0)+Tablas!$I$1*VLOOKUP(AK587, frec_control, 2, 0)+Tablas!$K$1*VLOOKUP(AL587, doc_control, 2, 0))*0.1*peso_dis, "")</f>
        <v/>
      </c>
      <c r="AN587" s="72"/>
      <c r="AO587" s="72"/>
      <c r="AP587" s="72"/>
      <c r="AQ587" s="82" t="str">
        <f>IFERROR((Tablas!$C$9*VLOOKUP(AN587, amb_control, 2, 0)+Tablas!$E$9*VLOOKUP(AO587, ejec_control, 2, 0)+Tablas!$G$9*VLOOKUP(AP587, cub_control, 2, 0))*0.1*peso_ejec, "")</f>
        <v/>
      </c>
      <c r="AR587" s="96" t="str">
        <f t="shared" si="966"/>
        <v/>
      </c>
      <c r="AS587" s="97" t="str">
        <f t="shared" si="911"/>
        <v/>
      </c>
      <c r="AT587" s="87" t="str">
        <f t="shared" si="912"/>
        <v/>
      </c>
      <c r="AU587" s="97" t="str">
        <f>IF(AR587&lt;Tablas!$G$19, 0, IF(AND(AR587&gt;=Tablas!$G$19, AR587&lt;Tablas!$G$20), 1,  IF(AND(AR587&gt;=Tablas!$G$20, AR587&lt;Tablas!$G$21), 2,  IF(AND(AR587&gt;=Tablas!$G$21, AR587&lt;=Tablas!$G$22), 3,  ""))))</f>
        <v/>
      </c>
      <c r="AV587" s="97" t="str">
        <f t="shared" si="967"/>
        <v/>
      </c>
      <c r="AW587" s="103" t="str">
        <f t="shared" si="968"/>
        <v/>
      </c>
      <c r="AX587" s="176" t="str">
        <f t="shared" ref="AX587" si="1016">IFERROR(VLOOKUP(AY587, tabla04, 2, 0), "")</f>
        <v/>
      </c>
      <c r="AY587" s="168" t="str">
        <f>IF(F587="", "", IF((F587-MAX(AV587:AV591))&lt;=0, 1, F587-MAX(AV587:AV591)))</f>
        <v/>
      </c>
      <c r="AZ587" s="178" t="str">
        <f t="shared" ref="AZ587" si="1017">IFERROR(VLOOKUP(BA587, tabla04, 3, 0), "")</f>
        <v/>
      </c>
      <c r="BA587" s="168" t="str">
        <f>IF(Q587="", "", IF((Q587-MAX(AW587:AW591))&lt;=0, 1, Q587-MAX(AW587:AW591)))</f>
        <v/>
      </c>
      <c r="BB587" s="182"/>
      <c r="BC587" s="182"/>
      <c r="BD587" s="185"/>
      <c r="BE587" s="185"/>
      <c r="BF587" s="158" t="str">
        <f t="shared" ref="BF587:BF589" si="1018">IFERROR(VLOOKUP(CONCATENATE(AY587, "-", BA587), cuadrante_sev, 3, 0), "")</f>
        <v/>
      </c>
      <c r="BG587" s="191"/>
    </row>
    <row r="588" spans="1:59" x14ac:dyDescent="0.25">
      <c r="A588" s="167"/>
      <c r="B588" s="167"/>
      <c r="C588" s="161"/>
      <c r="D588" s="160"/>
      <c r="E588" s="162"/>
      <c r="F588" s="164"/>
      <c r="G588" s="161"/>
      <c r="H588" s="161"/>
      <c r="I588" s="161"/>
      <c r="J588" s="161"/>
      <c r="K588" s="161"/>
      <c r="L588" s="166"/>
      <c r="M588" s="166"/>
      <c r="N588" s="166"/>
      <c r="O588" s="166"/>
      <c r="P588" s="166"/>
      <c r="Q588" s="166"/>
      <c r="R588" s="166"/>
      <c r="S588" s="167"/>
      <c r="T588" s="167"/>
      <c r="U588" s="167"/>
      <c r="V588" s="167"/>
      <c r="W588" s="167"/>
      <c r="X588" s="164"/>
      <c r="Y588" s="164"/>
      <c r="Z588" s="172"/>
      <c r="AA588" s="188"/>
      <c r="AB588" s="172"/>
      <c r="AC588" s="172"/>
      <c r="AD588" s="175"/>
      <c r="AE588" s="62" t="s">
        <v>114</v>
      </c>
      <c r="AF588" s="133"/>
      <c r="AG588" s="65"/>
      <c r="AH588" s="64"/>
      <c r="AI588" s="64"/>
      <c r="AJ588" s="64"/>
      <c r="AK588" s="64"/>
      <c r="AL588" s="64"/>
      <c r="AM588" s="80" t="str">
        <f>IFERROR((Tablas!$C$1*VLOOKUP(AH588, tipo_control, 2, 0)+Tablas!$E$1*VLOOKUP(AI588, nat_control, 2, 0)+Tablas!$G$1*VLOOKUP(AJ588, ev_control, 2, 0)+Tablas!$I$1*VLOOKUP(AK588, frec_control, 2, 0)+Tablas!$K$1*VLOOKUP(AL588, doc_control, 2, 0))*0.1*peso_dis, "")</f>
        <v/>
      </c>
      <c r="AN588" s="64"/>
      <c r="AO588" s="64"/>
      <c r="AP588" s="64"/>
      <c r="AQ588" s="80" t="str">
        <f>IFERROR((Tablas!$C$9*VLOOKUP(AN588, amb_control, 2, 0)+Tablas!$E$9*VLOOKUP(AO588, ejec_control, 2, 0)+Tablas!$G$9*VLOOKUP(AP588, cub_control, 2, 0))*0.1*peso_ejec, "")</f>
        <v/>
      </c>
      <c r="AR588" s="91" t="str">
        <f t="shared" si="966"/>
        <v/>
      </c>
      <c r="AS588" s="85" t="str">
        <f t="shared" si="911"/>
        <v/>
      </c>
      <c r="AT588" s="85" t="str">
        <f t="shared" si="912"/>
        <v/>
      </c>
      <c r="AU588" s="85" t="str">
        <f>IF(AR588&lt;Tablas!$G$19, 0, IF(AND(AR588&gt;=Tablas!$G$19, AR588&lt;Tablas!$G$20), 1,  IF(AND(AR588&gt;=Tablas!$G$20, AR588&lt;Tablas!$G$21), 2,  IF(AND(AR588&gt;=Tablas!$G$21, AR588&lt;=Tablas!$G$22), 3,  ""))))</f>
        <v/>
      </c>
      <c r="AV588" s="85" t="str">
        <f t="shared" si="967"/>
        <v/>
      </c>
      <c r="AW588" s="101" t="str">
        <f t="shared" si="968"/>
        <v/>
      </c>
      <c r="AX588" s="177"/>
      <c r="AY588" s="169"/>
      <c r="AZ588" s="158"/>
      <c r="BA588" s="169"/>
      <c r="BB588" s="182"/>
      <c r="BC588" s="182"/>
      <c r="BD588" s="185"/>
      <c r="BE588" s="185"/>
      <c r="BF588" s="158" t="str">
        <f t="shared" si="1018"/>
        <v/>
      </c>
      <c r="BG588" s="191"/>
    </row>
    <row r="589" spans="1:59" x14ac:dyDescent="0.25">
      <c r="A589" s="167"/>
      <c r="B589" s="167"/>
      <c r="C589" s="161"/>
      <c r="D589" s="160"/>
      <c r="E589" s="162"/>
      <c r="F589" s="164"/>
      <c r="G589" s="161"/>
      <c r="H589" s="161"/>
      <c r="I589" s="161"/>
      <c r="J589" s="161"/>
      <c r="K589" s="161"/>
      <c r="L589" s="166"/>
      <c r="M589" s="166"/>
      <c r="N589" s="166"/>
      <c r="O589" s="166"/>
      <c r="P589" s="166"/>
      <c r="Q589" s="166"/>
      <c r="R589" s="166"/>
      <c r="S589" s="167"/>
      <c r="T589" s="167"/>
      <c r="U589" s="167"/>
      <c r="V589" s="167"/>
      <c r="W589" s="167"/>
      <c r="X589" s="164"/>
      <c r="Y589" s="164"/>
      <c r="Z589" s="172"/>
      <c r="AA589" s="188"/>
      <c r="AB589" s="172"/>
      <c r="AC589" s="172"/>
      <c r="AD589" s="175"/>
      <c r="AE589" s="62" t="s">
        <v>115</v>
      </c>
      <c r="AF589" s="133"/>
      <c r="AG589" s="65"/>
      <c r="AH589" s="64"/>
      <c r="AI589" s="64"/>
      <c r="AJ589" s="64"/>
      <c r="AK589" s="64"/>
      <c r="AL589" s="64"/>
      <c r="AM589" s="80" t="str">
        <f>IFERROR((Tablas!$C$1*VLOOKUP(AH589, tipo_control, 2, 0)+Tablas!$E$1*VLOOKUP(AI589, nat_control, 2, 0)+Tablas!$G$1*VLOOKUP(AJ589, ev_control, 2, 0)+Tablas!$I$1*VLOOKUP(AK589, frec_control, 2, 0)+Tablas!$K$1*VLOOKUP(AL589, doc_control, 2, 0))*0.1*peso_dis, "")</f>
        <v/>
      </c>
      <c r="AN589" s="64"/>
      <c r="AO589" s="64"/>
      <c r="AP589" s="64"/>
      <c r="AQ589" s="80" t="str">
        <f>IFERROR((Tablas!$C$9*VLOOKUP(AN589, amb_control, 2, 0)+Tablas!$E$9*VLOOKUP(AO589, ejec_control, 2, 0)+Tablas!$G$9*VLOOKUP(AP589, cub_control, 2, 0))*0.1*peso_ejec, "")</f>
        <v/>
      </c>
      <c r="AR589" s="91" t="str">
        <f t="shared" si="966"/>
        <v/>
      </c>
      <c r="AS589" s="85" t="str">
        <f t="shared" si="911"/>
        <v/>
      </c>
      <c r="AT589" s="85" t="str">
        <f t="shared" si="912"/>
        <v/>
      </c>
      <c r="AU589" s="85" t="str">
        <f>IF(AR589&lt;Tablas!$G$19, 0, IF(AND(AR589&gt;=Tablas!$G$19, AR589&lt;Tablas!$G$20), 1,  IF(AND(AR589&gt;=Tablas!$G$20, AR589&lt;Tablas!$G$21), 2,  IF(AND(AR589&gt;=Tablas!$G$21, AR589&lt;=Tablas!$G$22), 3,  ""))))</f>
        <v/>
      </c>
      <c r="AV589" s="85" t="str">
        <f t="shared" si="967"/>
        <v/>
      </c>
      <c r="AW589" s="101" t="str">
        <f t="shared" si="968"/>
        <v/>
      </c>
      <c r="AX589" s="177"/>
      <c r="AY589" s="169"/>
      <c r="AZ589" s="158"/>
      <c r="BA589" s="169"/>
      <c r="BB589" s="182"/>
      <c r="BC589" s="182"/>
      <c r="BD589" s="185"/>
      <c r="BE589" s="185"/>
      <c r="BF589" s="158" t="str">
        <f t="shared" si="1018"/>
        <v/>
      </c>
      <c r="BG589" s="191"/>
    </row>
    <row r="590" spans="1:59" x14ac:dyDescent="0.25">
      <c r="A590" s="167"/>
      <c r="B590" s="167"/>
      <c r="C590" s="161"/>
      <c r="D590" s="160"/>
      <c r="E590" s="162"/>
      <c r="F590" s="164"/>
      <c r="G590" s="161"/>
      <c r="H590" s="161"/>
      <c r="I590" s="161"/>
      <c r="J590" s="161"/>
      <c r="K590" s="161"/>
      <c r="L590" s="166"/>
      <c r="M590" s="166"/>
      <c r="N590" s="166"/>
      <c r="O590" s="166"/>
      <c r="P590" s="166"/>
      <c r="Q590" s="166"/>
      <c r="R590" s="166"/>
      <c r="S590" s="167"/>
      <c r="T590" s="167"/>
      <c r="U590" s="167"/>
      <c r="V590" s="167"/>
      <c r="W590" s="167"/>
      <c r="X590" s="164"/>
      <c r="Y590" s="164"/>
      <c r="Z590" s="172"/>
      <c r="AA590" s="188"/>
      <c r="AB590" s="172"/>
      <c r="AC590" s="172"/>
      <c r="AD590" s="175"/>
      <c r="AE590" s="62" t="s">
        <v>153</v>
      </c>
      <c r="AF590" s="133"/>
      <c r="AG590" s="65"/>
      <c r="AH590" s="64"/>
      <c r="AI590" s="64"/>
      <c r="AJ590" s="64"/>
      <c r="AK590" s="64"/>
      <c r="AL590" s="64"/>
      <c r="AM590" s="80" t="str">
        <f>IFERROR((Tablas!$C$1*VLOOKUP(AH590, tipo_control, 2, 0)+Tablas!$E$1*VLOOKUP(AI590, nat_control, 2, 0)+Tablas!$G$1*VLOOKUP(AJ590, ev_control, 2, 0)+Tablas!$I$1*VLOOKUP(AK590, frec_control, 2, 0)+Tablas!$K$1*VLOOKUP(AL590, doc_control, 2, 0))*0.1*peso_dis, "")</f>
        <v/>
      </c>
      <c r="AN590" s="64"/>
      <c r="AO590" s="64"/>
      <c r="AP590" s="64"/>
      <c r="AQ590" s="80" t="str">
        <f>IFERROR((Tablas!$C$9*VLOOKUP(AN590, amb_control, 2, 0)+Tablas!$E$9*VLOOKUP(AO590, ejec_control, 2, 0)+Tablas!$G$9*VLOOKUP(AP590, cub_control, 2, 0))*0.1*peso_ejec, "")</f>
        <v/>
      </c>
      <c r="AR590" s="91" t="str">
        <f t="shared" si="966"/>
        <v/>
      </c>
      <c r="AS590" s="85" t="str">
        <f t="shared" si="911"/>
        <v/>
      </c>
      <c r="AT590" s="85" t="str">
        <f t="shared" si="912"/>
        <v/>
      </c>
      <c r="AU590" s="85" t="str">
        <f>IF(AR590&lt;Tablas!$G$19, 0, IF(AND(AR590&gt;=Tablas!$G$19, AR590&lt;Tablas!$G$20), 1,  IF(AND(AR590&gt;=Tablas!$G$20, AR590&lt;Tablas!$G$21), 2,  IF(AND(AR590&gt;=Tablas!$G$21, AR590&lt;=Tablas!$G$22), 3,  ""))))</f>
        <v/>
      </c>
      <c r="AV590" s="85" t="str">
        <f t="shared" si="967"/>
        <v/>
      </c>
      <c r="AW590" s="101" t="str">
        <f t="shared" si="968"/>
        <v/>
      </c>
      <c r="AX590" s="177"/>
      <c r="AY590" s="169"/>
      <c r="AZ590" s="158"/>
      <c r="BA590" s="169"/>
      <c r="BB590" s="182"/>
      <c r="BC590" s="182"/>
      <c r="BD590" s="185"/>
      <c r="BE590" s="185"/>
      <c r="BF590" s="158"/>
      <c r="BG590" s="191"/>
    </row>
    <row r="591" spans="1:59" ht="15.75" thickBot="1" x14ac:dyDescent="0.3">
      <c r="A591" s="167"/>
      <c r="B591" s="167"/>
      <c r="C591" s="161"/>
      <c r="D591" s="160"/>
      <c r="E591" s="162"/>
      <c r="F591" s="165"/>
      <c r="G591" s="161"/>
      <c r="H591" s="161"/>
      <c r="I591" s="161"/>
      <c r="J591" s="161"/>
      <c r="K591" s="161"/>
      <c r="L591" s="166"/>
      <c r="M591" s="166"/>
      <c r="N591" s="166"/>
      <c r="O591" s="166"/>
      <c r="P591" s="166"/>
      <c r="Q591" s="166"/>
      <c r="R591" s="166"/>
      <c r="S591" s="149"/>
      <c r="T591" s="149"/>
      <c r="U591" s="149"/>
      <c r="V591" s="149"/>
      <c r="W591" s="149"/>
      <c r="X591" s="165"/>
      <c r="Y591" s="165"/>
      <c r="Z591" s="172"/>
      <c r="AA591" s="188"/>
      <c r="AB591" s="172"/>
      <c r="AC591" s="172"/>
      <c r="AD591" s="175"/>
      <c r="AE591" s="66" t="s">
        <v>154</v>
      </c>
      <c r="AF591" s="134"/>
      <c r="AG591" s="67"/>
      <c r="AH591" s="69"/>
      <c r="AI591" s="69"/>
      <c r="AJ591" s="69"/>
      <c r="AK591" s="69"/>
      <c r="AL591" s="69"/>
      <c r="AM591" s="81" t="str">
        <f>IFERROR((Tablas!$C$1*VLOOKUP(AH591, tipo_control, 2, 0)+Tablas!$E$1*VLOOKUP(AI591, nat_control, 2, 0)+Tablas!$G$1*VLOOKUP(AJ591, ev_control, 2, 0)+Tablas!$I$1*VLOOKUP(AK591, frec_control, 2, 0)+Tablas!$K$1*VLOOKUP(AL591, doc_control, 2, 0))*0.1*peso_dis, "")</f>
        <v/>
      </c>
      <c r="AN591" s="69"/>
      <c r="AO591" s="69"/>
      <c r="AP591" s="69"/>
      <c r="AQ591" s="81" t="str">
        <f>IFERROR((Tablas!$C$9*VLOOKUP(AN591, amb_control, 2, 0)+Tablas!$E$9*VLOOKUP(AO591, ejec_control, 2, 0)+Tablas!$G$9*VLOOKUP(AP591, cub_control, 2, 0))*0.1*peso_ejec, "")</f>
        <v/>
      </c>
      <c r="AR591" s="93" t="str">
        <f t="shared" si="966"/>
        <v/>
      </c>
      <c r="AS591" s="94" t="str">
        <f t="shared" si="911"/>
        <v/>
      </c>
      <c r="AT591" s="94" t="str">
        <f t="shared" si="912"/>
        <v/>
      </c>
      <c r="AU591" s="94" t="str">
        <f>IF(AR591&lt;Tablas!$G$19, 0, IF(AND(AR591&gt;=Tablas!$G$19, AR591&lt;Tablas!$G$20), 1,  IF(AND(AR591&gt;=Tablas!$G$20, AR591&lt;Tablas!$G$21), 2,  IF(AND(AR591&gt;=Tablas!$G$21, AR591&lt;=Tablas!$G$22), 3,  ""))))</f>
        <v/>
      </c>
      <c r="AV591" s="94" t="str">
        <f t="shared" si="967"/>
        <v/>
      </c>
      <c r="AW591" s="102" t="str">
        <f t="shared" si="968"/>
        <v/>
      </c>
      <c r="AX591" s="157"/>
      <c r="AY591" s="170"/>
      <c r="AZ591" s="179"/>
      <c r="BA591" s="170"/>
      <c r="BB591" s="182"/>
      <c r="BC591" s="182"/>
      <c r="BD591" s="185"/>
      <c r="BE591" s="185"/>
      <c r="BF591" s="159"/>
      <c r="BG591" s="191"/>
    </row>
    <row r="592" spans="1:59" x14ac:dyDescent="0.25">
      <c r="A592" s="167"/>
      <c r="B592" s="167"/>
      <c r="C592" s="161" t="s">
        <v>181</v>
      </c>
      <c r="D592" s="160" t="s">
        <v>158</v>
      </c>
      <c r="E592" s="162"/>
      <c r="F592" s="163" t="str">
        <f t="shared" ref="F592:F652" si="1019">IFERROR(VLOOKUP(E592, tabla01, 3, 0), "")</f>
        <v/>
      </c>
      <c r="G592" s="149"/>
      <c r="H592" s="149"/>
      <c r="I592" s="149"/>
      <c r="J592" s="149"/>
      <c r="K592" s="149"/>
      <c r="L592" s="165" t="str">
        <f t="shared" ref="L592" si="1020">IFERROR(VLOOKUP(G592, tabla02, 2, 0), "")</f>
        <v/>
      </c>
      <c r="M592" s="165" t="str">
        <f t="shared" ref="M592" si="1021">IFERROR(VLOOKUP(H592, tabla02, 2, 0), "")</f>
        <v/>
      </c>
      <c r="N592" s="165" t="str">
        <f t="shared" ref="N592" si="1022">IFERROR(VLOOKUP(I592, tabla02, 2, 0), "")</f>
        <v/>
      </c>
      <c r="O592" s="165" t="str">
        <f t="shared" ref="O592" si="1023">IFERROR(VLOOKUP(J592, tabla02, 2, 0), "")</f>
        <v/>
      </c>
      <c r="P592" s="165" t="str">
        <f t="shared" ref="P592" si="1024">IFERROR(VLOOKUP(K592, tabla02, 2, 0), "")</f>
        <v/>
      </c>
      <c r="Q592" s="165" t="str">
        <f t="shared" ref="Q592" si="1025">IF(SUM(L592:O596)=0, "", MAX(L592:P592))</f>
        <v/>
      </c>
      <c r="R592" s="165" t="str">
        <f>IFERROR(VLOOKUP(Q592, tabla04, 3, 0), "")</f>
        <v/>
      </c>
      <c r="S592" s="148"/>
      <c r="T592" s="148"/>
      <c r="U592" s="148"/>
      <c r="V592" s="148"/>
      <c r="W592" s="148"/>
      <c r="X592" s="163" t="str">
        <f>IFERROR(VLOOKUP(CONCATENATE(F592, "-", Q592), cuadrante_sev, 3, 0), "")</f>
        <v/>
      </c>
      <c r="Y592" s="163" t="str">
        <f t="shared" ref="Y592" si="1026">IFERROR(IF(X592="Baja", 1, IF(X592="Moderada", 2, IF(X592="Alta", 3, IF(X592="Extrema", 4, "")))), "")</f>
        <v/>
      </c>
      <c r="Z592" s="172"/>
      <c r="AA592" s="188"/>
      <c r="AB592" s="172"/>
      <c r="AC592" s="172"/>
      <c r="AD592" s="175"/>
      <c r="AE592" s="70" t="s">
        <v>113</v>
      </c>
      <c r="AF592" s="135"/>
      <c r="AG592" s="74"/>
      <c r="AH592" s="72"/>
      <c r="AI592" s="72"/>
      <c r="AJ592" s="72"/>
      <c r="AK592" s="72"/>
      <c r="AL592" s="72"/>
      <c r="AM592" s="82" t="str">
        <f>IFERROR((Tablas!$C$1*VLOOKUP(AH592, tipo_control, 2, 0)+Tablas!$E$1*VLOOKUP(AI592, nat_control, 2, 0)+Tablas!$G$1*VLOOKUP(AJ592, ev_control, 2, 0)+Tablas!$I$1*VLOOKUP(AK592, frec_control, 2, 0)+Tablas!$K$1*VLOOKUP(AL592, doc_control, 2, 0))*0.1*peso_dis, "")</f>
        <v/>
      </c>
      <c r="AN592" s="72"/>
      <c r="AO592" s="72"/>
      <c r="AP592" s="72"/>
      <c r="AQ592" s="82" t="str">
        <f>IFERROR((Tablas!$C$9*VLOOKUP(AN592, amb_control, 2, 0)+Tablas!$E$9*VLOOKUP(AO592, ejec_control, 2, 0)+Tablas!$G$9*VLOOKUP(AP592, cub_control, 2, 0))*0.1*peso_ejec, "")</f>
        <v/>
      </c>
      <c r="AR592" s="96" t="str">
        <f t="shared" si="966"/>
        <v/>
      </c>
      <c r="AS592" s="97" t="str">
        <f t="shared" si="911"/>
        <v/>
      </c>
      <c r="AT592" s="87" t="str">
        <f t="shared" si="912"/>
        <v/>
      </c>
      <c r="AU592" s="97" t="str">
        <f>IF(AR592&lt;Tablas!$G$19, 0, IF(AND(AR592&gt;=Tablas!$G$19, AR592&lt;Tablas!$G$20), 1,  IF(AND(AR592&gt;=Tablas!$G$20, AR592&lt;Tablas!$G$21), 2,  IF(AND(AR592&gt;=Tablas!$G$21, AR592&lt;=Tablas!$G$22), 3,  ""))))</f>
        <v/>
      </c>
      <c r="AV592" s="97" t="str">
        <f t="shared" si="967"/>
        <v/>
      </c>
      <c r="AW592" s="103" t="str">
        <f t="shared" si="968"/>
        <v/>
      </c>
      <c r="AX592" s="176" t="str">
        <f t="shared" ref="AX592" si="1027">IFERROR(VLOOKUP(AY592, tabla04, 2, 0), "")</f>
        <v/>
      </c>
      <c r="AY592" s="168" t="str">
        <f>IF(F592="", "", IF((F592-MAX(AV592:AV596))&lt;=0, 1, F592-MAX(AV592:AV596)))</f>
        <v/>
      </c>
      <c r="AZ592" s="178" t="str">
        <f t="shared" ref="AZ592" si="1028">IFERROR(VLOOKUP(BA592, tabla04, 3, 0), "")</f>
        <v/>
      </c>
      <c r="BA592" s="168" t="str">
        <f>IF(Q592="", "", IF((Q592-MAX(AW592:AW596))&lt;=0, 1, Q592-MAX(AW592:AW596)))</f>
        <v/>
      </c>
      <c r="BB592" s="182"/>
      <c r="BC592" s="182"/>
      <c r="BD592" s="185"/>
      <c r="BE592" s="185"/>
      <c r="BF592" s="158" t="str">
        <f t="shared" ref="BF592:BF594" si="1029">IFERROR(VLOOKUP(CONCATENATE(AY592, "-", BA592), cuadrante_sev, 3, 0), "")</f>
        <v/>
      </c>
      <c r="BG592" s="191"/>
    </row>
    <row r="593" spans="1:59" x14ac:dyDescent="0.25">
      <c r="A593" s="167"/>
      <c r="B593" s="167"/>
      <c r="C593" s="161"/>
      <c r="D593" s="160"/>
      <c r="E593" s="162"/>
      <c r="F593" s="164"/>
      <c r="G593" s="161"/>
      <c r="H593" s="161"/>
      <c r="I593" s="161"/>
      <c r="J593" s="161"/>
      <c r="K593" s="161"/>
      <c r="L593" s="166"/>
      <c r="M593" s="166"/>
      <c r="N593" s="166"/>
      <c r="O593" s="166"/>
      <c r="P593" s="166"/>
      <c r="Q593" s="166"/>
      <c r="R593" s="166"/>
      <c r="S593" s="167"/>
      <c r="T593" s="167"/>
      <c r="U593" s="167"/>
      <c r="V593" s="167"/>
      <c r="W593" s="167"/>
      <c r="X593" s="164"/>
      <c r="Y593" s="164"/>
      <c r="Z593" s="172"/>
      <c r="AA593" s="188"/>
      <c r="AB593" s="172"/>
      <c r="AC593" s="172"/>
      <c r="AD593" s="175"/>
      <c r="AE593" s="62" t="s">
        <v>114</v>
      </c>
      <c r="AF593" s="133"/>
      <c r="AG593" s="65"/>
      <c r="AH593" s="64"/>
      <c r="AI593" s="64"/>
      <c r="AJ593" s="64"/>
      <c r="AK593" s="64"/>
      <c r="AL593" s="64"/>
      <c r="AM593" s="80" t="str">
        <f>IFERROR((Tablas!$C$1*VLOOKUP(AH593, tipo_control, 2, 0)+Tablas!$E$1*VLOOKUP(AI593, nat_control, 2, 0)+Tablas!$G$1*VLOOKUP(AJ593, ev_control, 2, 0)+Tablas!$I$1*VLOOKUP(AK593, frec_control, 2, 0)+Tablas!$K$1*VLOOKUP(AL593, doc_control, 2, 0))*0.1*peso_dis, "")</f>
        <v/>
      </c>
      <c r="AN593" s="64"/>
      <c r="AO593" s="64"/>
      <c r="AP593" s="64"/>
      <c r="AQ593" s="80" t="str">
        <f>IFERROR((Tablas!$C$9*VLOOKUP(AN593, amb_control, 2, 0)+Tablas!$E$9*VLOOKUP(AO593, ejec_control, 2, 0)+Tablas!$G$9*VLOOKUP(AP593, cub_control, 2, 0))*0.1*peso_ejec, "")</f>
        <v/>
      </c>
      <c r="AR593" s="91" t="str">
        <f t="shared" si="966"/>
        <v/>
      </c>
      <c r="AS593" s="85" t="str">
        <f t="shared" si="911"/>
        <v/>
      </c>
      <c r="AT593" s="85" t="str">
        <f t="shared" si="912"/>
        <v/>
      </c>
      <c r="AU593" s="85" t="str">
        <f>IF(AR593&lt;Tablas!$G$19, 0, IF(AND(AR593&gt;=Tablas!$G$19, AR593&lt;Tablas!$G$20), 1,  IF(AND(AR593&gt;=Tablas!$G$20, AR593&lt;Tablas!$G$21), 2,  IF(AND(AR593&gt;=Tablas!$G$21, AR593&lt;=Tablas!$G$22), 3,  ""))))</f>
        <v/>
      </c>
      <c r="AV593" s="85" t="str">
        <f t="shared" si="967"/>
        <v/>
      </c>
      <c r="AW593" s="101" t="str">
        <f t="shared" si="968"/>
        <v/>
      </c>
      <c r="AX593" s="177"/>
      <c r="AY593" s="169"/>
      <c r="AZ593" s="158"/>
      <c r="BA593" s="169"/>
      <c r="BB593" s="182"/>
      <c r="BC593" s="182"/>
      <c r="BD593" s="185"/>
      <c r="BE593" s="185"/>
      <c r="BF593" s="158" t="str">
        <f t="shared" si="1029"/>
        <v/>
      </c>
      <c r="BG593" s="191"/>
    </row>
    <row r="594" spans="1:59" x14ac:dyDescent="0.25">
      <c r="A594" s="167"/>
      <c r="B594" s="167"/>
      <c r="C594" s="161"/>
      <c r="D594" s="160"/>
      <c r="E594" s="162"/>
      <c r="F594" s="164"/>
      <c r="G594" s="161"/>
      <c r="H594" s="161"/>
      <c r="I594" s="161"/>
      <c r="J594" s="161"/>
      <c r="K594" s="161"/>
      <c r="L594" s="166"/>
      <c r="M594" s="166"/>
      <c r="N594" s="166"/>
      <c r="O594" s="166"/>
      <c r="P594" s="166"/>
      <c r="Q594" s="166"/>
      <c r="R594" s="166"/>
      <c r="S594" s="167"/>
      <c r="T594" s="167"/>
      <c r="U594" s="167"/>
      <c r="V594" s="167"/>
      <c r="W594" s="167"/>
      <c r="X594" s="164"/>
      <c r="Y594" s="164"/>
      <c r="Z594" s="172"/>
      <c r="AA594" s="188"/>
      <c r="AB594" s="172"/>
      <c r="AC594" s="172"/>
      <c r="AD594" s="175"/>
      <c r="AE594" s="62" t="s">
        <v>115</v>
      </c>
      <c r="AF594" s="133"/>
      <c r="AG594" s="65"/>
      <c r="AH594" s="64"/>
      <c r="AI594" s="64"/>
      <c r="AJ594" s="64"/>
      <c r="AK594" s="64"/>
      <c r="AL594" s="64"/>
      <c r="AM594" s="80" t="str">
        <f>IFERROR((Tablas!$C$1*VLOOKUP(AH594, tipo_control, 2, 0)+Tablas!$E$1*VLOOKUP(AI594, nat_control, 2, 0)+Tablas!$G$1*VLOOKUP(AJ594, ev_control, 2, 0)+Tablas!$I$1*VLOOKUP(AK594, frec_control, 2, 0)+Tablas!$K$1*VLOOKUP(AL594, doc_control, 2, 0))*0.1*peso_dis, "")</f>
        <v/>
      </c>
      <c r="AN594" s="64"/>
      <c r="AO594" s="64"/>
      <c r="AP594" s="64"/>
      <c r="AQ594" s="80" t="str">
        <f>IFERROR((Tablas!$C$9*VLOOKUP(AN594, amb_control, 2, 0)+Tablas!$E$9*VLOOKUP(AO594, ejec_control, 2, 0)+Tablas!$G$9*VLOOKUP(AP594, cub_control, 2, 0))*0.1*peso_ejec, "")</f>
        <v/>
      </c>
      <c r="AR594" s="91" t="str">
        <f t="shared" si="966"/>
        <v/>
      </c>
      <c r="AS594" s="85" t="str">
        <f t="shared" ref="AS594:AS657" si="1030">IFERROR(VLOOKUP(AH594, tabla03, 12, 0), "")</f>
        <v/>
      </c>
      <c r="AT594" s="85" t="str">
        <f t="shared" ref="AT594:AT657" si="1031">IFERROR(VLOOKUP(AH594, tabla03, 13, 0), "")</f>
        <v/>
      </c>
      <c r="AU594" s="85" t="str">
        <f>IF(AR594&lt;Tablas!$G$19, 0, IF(AND(AR594&gt;=Tablas!$G$19, AR594&lt;Tablas!$G$20), 1,  IF(AND(AR594&gt;=Tablas!$G$20, AR594&lt;Tablas!$G$21), 2,  IF(AND(AR594&gt;=Tablas!$G$21, AR594&lt;=Tablas!$G$22), 3,  ""))))</f>
        <v/>
      </c>
      <c r="AV594" s="85" t="str">
        <f t="shared" si="967"/>
        <v/>
      </c>
      <c r="AW594" s="101" t="str">
        <f t="shared" si="968"/>
        <v/>
      </c>
      <c r="AX594" s="177"/>
      <c r="AY594" s="169"/>
      <c r="AZ594" s="158"/>
      <c r="BA594" s="169"/>
      <c r="BB594" s="182"/>
      <c r="BC594" s="182"/>
      <c r="BD594" s="185"/>
      <c r="BE594" s="185"/>
      <c r="BF594" s="158" t="str">
        <f t="shared" si="1029"/>
        <v/>
      </c>
      <c r="BG594" s="191"/>
    </row>
    <row r="595" spans="1:59" x14ac:dyDescent="0.25">
      <c r="A595" s="167"/>
      <c r="B595" s="167"/>
      <c r="C595" s="161"/>
      <c r="D595" s="160"/>
      <c r="E595" s="162"/>
      <c r="F595" s="164"/>
      <c r="G595" s="161"/>
      <c r="H595" s="161"/>
      <c r="I595" s="161"/>
      <c r="J595" s="161"/>
      <c r="K595" s="161"/>
      <c r="L595" s="166"/>
      <c r="M595" s="166"/>
      <c r="N595" s="166"/>
      <c r="O595" s="166"/>
      <c r="P595" s="166"/>
      <c r="Q595" s="166"/>
      <c r="R595" s="166"/>
      <c r="S595" s="167"/>
      <c r="T595" s="167"/>
      <c r="U595" s="167"/>
      <c r="V595" s="167"/>
      <c r="W595" s="167"/>
      <c r="X595" s="164"/>
      <c r="Y595" s="164"/>
      <c r="Z595" s="172"/>
      <c r="AA595" s="188"/>
      <c r="AB595" s="172"/>
      <c r="AC595" s="172"/>
      <c r="AD595" s="175"/>
      <c r="AE595" s="62" t="s">
        <v>153</v>
      </c>
      <c r="AF595" s="133"/>
      <c r="AG595" s="65"/>
      <c r="AH595" s="64"/>
      <c r="AI595" s="64"/>
      <c r="AJ595" s="64"/>
      <c r="AK595" s="64"/>
      <c r="AL595" s="64"/>
      <c r="AM595" s="80" t="str">
        <f>IFERROR((Tablas!$C$1*VLOOKUP(AH595, tipo_control, 2, 0)+Tablas!$E$1*VLOOKUP(AI595, nat_control, 2, 0)+Tablas!$G$1*VLOOKUP(AJ595, ev_control, 2, 0)+Tablas!$I$1*VLOOKUP(AK595, frec_control, 2, 0)+Tablas!$K$1*VLOOKUP(AL595, doc_control, 2, 0))*0.1*peso_dis, "")</f>
        <v/>
      </c>
      <c r="AN595" s="64"/>
      <c r="AO595" s="64"/>
      <c r="AP595" s="64"/>
      <c r="AQ595" s="80" t="str">
        <f>IFERROR((Tablas!$C$9*VLOOKUP(AN595, amb_control, 2, 0)+Tablas!$E$9*VLOOKUP(AO595, ejec_control, 2, 0)+Tablas!$G$9*VLOOKUP(AP595, cub_control, 2, 0))*0.1*peso_ejec, "")</f>
        <v/>
      </c>
      <c r="AR595" s="91" t="str">
        <f t="shared" si="966"/>
        <v/>
      </c>
      <c r="AS595" s="85" t="str">
        <f t="shared" si="1030"/>
        <v/>
      </c>
      <c r="AT595" s="85" t="str">
        <f t="shared" si="1031"/>
        <v/>
      </c>
      <c r="AU595" s="85" t="str">
        <f>IF(AR595&lt;Tablas!$G$19, 0, IF(AND(AR595&gt;=Tablas!$G$19, AR595&lt;Tablas!$G$20), 1,  IF(AND(AR595&gt;=Tablas!$G$20, AR595&lt;Tablas!$G$21), 2,  IF(AND(AR595&gt;=Tablas!$G$21, AR595&lt;=Tablas!$G$22), 3,  ""))))</f>
        <v/>
      </c>
      <c r="AV595" s="85" t="str">
        <f t="shared" si="967"/>
        <v/>
      </c>
      <c r="AW595" s="101" t="str">
        <f t="shared" si="968"/>
        <v/>
      </c>
      <c r="AX595" s="177"/>
      <c r="AY595" s="169"/>
      <c r="AZ595" s="158"/>
      <c r="BA595" s="169"/>
      <c r="BB595" s="182"/>
      <c r="BC595" s="182"/>
      <c r="BD595" s="185"/>
      <c r="BE595" s="185"/>
      <c r="BF595" s="158"/>
      <c r="BG595" s="191"/>
    </row>
    <row r="596" spans="1:59" ht="15.75" thickBot="1" x14ac:dyDescent="0.3">
      <c r="A596" s="167"/>
      <c r="B596" s="167"/>
      <c r="C596" s="161"/>
      <c r="D596" s="160"/>
      <c r="E596" s="162"/>
      <c r="F596" s="165"/>
      <c r="G596" s="161"/>
      <c r="H596" s="161"/>
      <c r="I596" s="161"/>
      <c r="J596" s="161"/>
      <c r="K596" s="161"/>
      <c r="L596" s="166"/>
      <c r="M596" s="166"/>
      <c r="N596" s="166"/>
      <c r="O596" s="166"/>
      <c r="P596" s="166"/>
      <c r="Q596" s="166"/>
      <c r="R596" s="166"/>
      <c r="S596" s="149"/>
      <c r="T596" s="149"/>
      <c r="U596" s="149"/>
      <c r="V596" s="149"/>
      <c r="W596" s="149"/>
      <c r="X596" s="165"/>
      <c r="Y596" s="165"/>
      <c r="Z596" s="172"/>
      <c r="AA596" s="188"/>
      <c r="AB596" s="172"/>
      <c r="AC596" s="172"/>
      <c r="AD596" s="175"/>
      <c r="AE596" s="66" t="s">
        <v>154</v>
      </c>
      <c r="AF596" s="134"/>
      <c r="AG596" s="67"/>
      <c r="AH596" s="69"/>
      <c r="AI596" s="69"/>
      <c r="AJ596" s="69"/>
      <c r="AK596" s="69"/>
      <c r="AL596" s="69"/>
      <c r="AM596" s="81" t="str">
        <f>IFERROR((Tablas!$C$1*VLOOKUP(AH596, tipo_control, 2, 0)+Tablas!$E$1*VLOOKUP(AI596, nat_control, 2, 0)+Tablas!$G$1*VLOOKUP(AJ596, ev_control, 2, 0)+Tablas!$I$1*VLOOKUP(AK596, frec_control, 2, 0)+Tablas!$K$1*VLOOKUP(AL596, doc_control, 2, 0))*0.1*peso_dis, "")</f>
        <v/>
      </c>
      <c r="AN596" s="69"/>
      <c r="AO596" s="69"/>
      <c r="AP596" s="69"/>
      <c r="AQ596" s="81" t="str">
        <f>IFERROR((Tablas!$C$9*VLOOKUP(AN596, amb_control, 2, 0)+Tablas!$E$9*VLOOKUP(AO596, ejec_control, 2, 0)+Tablas!$G$9*VLOOKUP(AP596, cub_control, 2, 0))*0.1*peso_ejec, "")</f>
        <v/>
      </c>
      <c r="AR596" s="93" t="str">
        <f t="shared" si="966"/>
        <v/>
      </c>
      <c r="AS596" s="94" t="str">
        <f t="shared" si="1030"/>
        <v/>
      </c>
      <c r="AT596" s="94" t="str">
        <f t="shared" si="1031"/>
        <v/>
      </c>
      <c r="AU596" s="94" t="str">
        <f>IF(AR596&lt;Tablas!$G$19, 0, IF(AND(AR596&gt;=Tablas!$G$19, AR596&lt;Tablas!$G$20), 1,  IF(AND(AR596&gt;=Tablas!$G$20, AR596&lt;Tablas!$G$21), 2,  IF(AND(AR596&gt;=Tablas!$G$21, AR596&lt;=Tablas!$G$22), 3,  ""))))</f>
        <v/>
      </c>
      <c r="AV596" s="94" t="str">
        <f t="shared" si="967"/>
        <v/>
      </c>
      <c r="AW596" s="102" t="str">
        <f t="shared" si="968"/>
        <v/>
      </c>
      <c r="AX596" s="157"/>
      <c r="AY596" s="170"/>
      <c r="AZ596" s="179"/>
      <c r="BA596" s="170"/>
      <c r="BB596" s="182"/>
      <c r="BC596" s="182"/>
      <c r="BD596" s="185"/>
      <c r="BE596" s="185"/>
      <c r="BF596" s="159"/>
      <c r="BG596" s="191"/>
    </row>
    <row r="597" spans="1:59" x14ac:dyDescent="0.25">
      <c r="A597" s="167"/>
      <c r="B597" s="167"/>
      <c r="C597" s="161" t="s">
        <v>182</v>
      </c>
      <c r="D597" s="160" t="s">
        <v>158</v>
      </c>
      <c r="E597" s="162"/>
      <c r="F597" s="163" t="str">
        <f t="shared" si="1019"/>
        <v/>
      </c>
      <c r="G597" s="149"/>
      <c r="H597" s="149"/>
      <c r="I597" s="149"/>
      <c r="J597" s="149"/>
      <c r="K597" s="149"/>
      <c r="L597" s="165" t="str">
        <f t="shared" ref="L597" si="1032">IFERROR(VLOOKUP(G597, tabla02, 2, 0), "")</f>
        <v/>
      </c>
      <c r="M597" s="165" t="str">
        <f t="shared" ref="M597" si="1033">IFERROR(VLOOKUP(H597, tabla02, 2, 0), "")</f>
        <v/>
      </c>
      <c r="N597" s="165" t="str">
        <f t="shared" ref="N597" si="1034">IFERROR(VLOOKUP(I597, tabla02, 2, 0), "")</f>
        <v/>
      </c>
      <c r="O597" s="165" t="str">
        <f t="shared" ref="O597" si="1035">IFERROR(VLOOKUP(J597, tabla02, 2, 0), "")</f>
        <v/>
      </c>
      <c r="P597" s="165" t="str">
        <f t="shared" ref="P597" si="1036">IFERROR(VLOOKUP(K597, tabla02, 2, 0), "")</f>
        <v/>
      </c>
      <c r="Q597" s="165" t="str">
        <f t="shared" ref="Q597" si="1037">IF(SUM(L597:O601)=0, "", MAX(L597:P597))</f>
        <v/>
      </c>
      <c r="R597" s="165" t="str">
        <f>IFERROR(VLOOKUP(Q597, tabla04, 3, 0), "")</f>
        <v/>
      </c>
      <c r="S597" s="148"/>
      <c r="T597" s="148"/>
      <c r="U597" s="148"/>
      <c r="V597" s="148"/>
      <c r="W597" s="148"/>
      <c r="X597" s="163" t="str">
        <f>IFERROR(VLOOKUP(CONCATENATE(F597, "-", Q597), cuadrante_sev, 3, 0), "")</f>
        <v/>
      </c>
      <c r="Y597" s="163" t="str">
        <f t="shared" ref="Y597" si="1038">IFERROR(IF(X597="Baja", 1, IF(X597="Moderada", 2, IF(X597="Alta", 3, IF(X597="Extrema", 4, "")))), "")</f>
        <v/>
      </c>
      <c r="Z597" s="172"/>
      <c r="AA597" s="188"/>
      <c r="AB597" s="172"/>
      <c r="AC597" s="172"/>
      <c r="AD597" s="175"/>
      <c r="AE597" s="70" t="s">
        <v>113</v>
      </c>
      <c r="AF597" s="135"/>
      <c r="AG597" s="74"/>
      <c r="AH597" s="72"/>
      <c r="AI597" s="72"/>
      <c r="AJ597" s="72"/>
      <c r="AK597" s="72"/>
      <c r="AL597" s="72"/>
      <c r="AM597" s="82" t="str">
        <f>IFERROR((Tablas!$C$1*VLOOKUP(AH597, tipo_control, 2, 0)+Tablas!$E$1*VLOOKUP(AI597, nat_control, 2, 0)+Tablas!$G$1*VLOOKUP(AJ597, ev_control, 2, 0)+Tablas!$I$1*VLOOKUP(AK597, frec_control, 2, 0)+Tablas!$K$1*VLOOKUP(AL597, doc_control, 2, 0))*0.1*peso_dis, "")</f>
        <v/>
      </c>
      <c r="AN597" s="72"/>
      <c r="AO597" s="72"/>
      <c r="AP597" s="72"/>
      <c r="AQ597" s="82" t="str">
        <f>IFERROR((Tablas!$C$9*VLOOKUP(AN597, amb_control, 2, 0)+Tablas!$E$9*VLOOKUP(AO597, ejec_control, 2, 0)+Tablas!$G$9*VLOOKUP(AP597, cub_control, 2, 0))*0.1*peso_ejec, "")</f>
        <v/>
      </c>
      <c r="AR597" s="96" t="str">
        <f t="shared" si="966"/>
        <v/>
      </c>
      <c r="AS597" s="97" t="str">
        <f t="shared" si="1030"/>
        <v/>
      </c>
      <c r="AT597" s="87" t="str">
        <f t="shared" si="1031"/>
        <v/>
      </c>
      <c r="AU597" s="97" t="str">
        <f>IF(AR597&lt;Tablas!$G$19, 0, IF(AND(AR597&gt;=Tablas!$G$19, AR597&lt;Tablas!$G$20), 1,  IF(AND(AR597&gt;=Tablas!$G$20, AR597&lt;Tablas!$G$21), 2,  IF(AND(AR597&gt;=Tablas!$G$21, AR597&lt;=Tablas!$G$22), 3,  ""))))</f>
        <v/>
      </c>
      <c r="AV597" s="97" t="str">
        <f t="shared" si="967"/>
        <v/>
      </c>
      <c r="AW597" s="103" t="str">
        <f t="shared" si="968"/>
        <v/>
      </c>
      <c r="AX597" s="176" t="str">
        <f t="shared" ref="AX597" si="1039">IFERROR(VLOOKUP(AY597, tabla04, 2, 0), "")</f>
        <v/>
      </c>
      <c r="AY597" s="168" t="str">
        <f>IF(F597="", "", IF((F597-MAX(AV597:AV601))&lt;=0, 1, F597-MAX(AV597:AV601)))</f>
        <v/>
      </c>
      <c r="AZ597" s="178" t="str">
        <f t="shared" ref="AZ597" si="1040">IFERROR(VLOOKUP(BA597, tabla04, 3, 0), "")</f>
        <v/>
      </c>
      <c r="BA597" s="168" t="str">
        <f>IF(Q597="", "", IF((Q597-MAX(AW597:AW601))&lt;=0, 1, Q597-MAX(AW597:AW601)))</f>
        <v/>
      </c>
      <c r="BB597" s="182"/>
      <c r="BC597" s="182"/>
      <c r="BD597" s="185"/>
      <c r="BE597" s="185"/>
      <c r="BF597" s="158" t="str">
        <f t="shared" ref="BF597:BF599" si="1041">IFERROR(VLOOKUP(CONCATENATE(AY597, "-", BA597), cuadrante_sev, 3, 0), "")</f>
        <v/>
      </c>
      <c r="BG597" s="191"/>
    </row>
    <row r="598" spans="1:59" x14ac:dyDescent="0.25">
      <c r="A598" s="167"/>
      <c r="B598" s="167"/>
      <c r="C598" s="161"/>
      <c r="D598" s="160"/>
      <c r="E598" s="162"/>
      <c r="F598" s="164"/>
      <c r="G598" s="161"/>
      <c r="H598" s="161"/>
      <c r="I598" s="161"/>
      <c r="J598" s="161"/>
      <c r="K598" s="161"/>
      <c r="L598" s="166"/>
      <c r="M598" s="166"/>
      <c r="N598" s="166"/>
      <c r="O598" s="166"/>
      <c r="P598" s="166"/>
      <c r="Q598" s="166"/>
      <c r="R598" s="166"/>
      <c r="S598" s="167"/>
      <c r="T598" s="167"/>
      <c r="U598" s="167"/>
      <c r="V598" s="167"/>
      <c r="W598" s="167"/>
      <c r="X598" s="164"/>
      <c r="Y598" s="164"/>
      <c r="Z598" s="172"/>
      <c r="AA598" s="188"/>
      <c r="AB598" s="172"/>
      <c r="AC598" s="172"/>
      <c r="AD598" s="175"/>
      <c r="AE598" s="62" t="s">
        <v>114</v>
      </c>
      <c r="AF598" s="133"/>
      <c r="AG598" s="65"/>
      <c r="AH598" s="64"/>
      <c r="AI598" s="64"/>
      <c r="AJ598" s="64"/>
      <c r="AK598" s="64"/>
      <c r="AL598" s="64"/>
      <c r="AM598" s="80" t="str">
        <f>IFERROR((Tablas!$C$1*VLOOKUP(AH598, tipo_control, 2, 0)+Tablas!$E$1*VLOOKUP(AI598, nat_control, 2, 0)+Tablas!$G$1*VLOOKUP(AJ598, ev_control, 2, 0)+Tablas!$I$1*VLOOKUP(AK598, frec_control, 2, 0)+Tablas!$K$1*VLOOKUP(AL598, doc_control, 2, 0))*0.1*peso_dis, "")</f>
        <v/>
      </c>
      <c r="AN598" s="64"/>
      <c r="AO598" s="64"/>
      <c r="AP598" s="64"/>
      <c r="AQ598" s="80" t="str">
        <f>IFERROR((Tablas!$C$9*VLOOKUP(AN598, amb_control, 2, 0)+Tablas!$E$9*VLOOKUP(AO598, ejec_control, 2, 0)+Tablas!$G$9*VLOOKUP(AP598, cub_control, 2, 0))*0.1*peso_ejec, "")</f>
        <v/>
      </c>
      <c r="AR598" s="91" t="str">
        <f t="shared" si="966"/>
        <v/>
      </c>
      <c r="AS598" s="85" t="str">
        <f t="shared" si="1030"/>
        <v/>
      </c>
      <c r="AT598" s="85" t="str">
        <f t="shared" si="1031"/>
        <v/>
      </c>
      <c r="AU598" s="85" t="str">
        <f>IF(AR598&lt;Tablas!$G$19, 0, IF(AND(AR598&gt;=Tablas!$G$19, AR598&lt;Tablas!$G$20), 1,  IF(AND(AR598&gt;=Tablas!$G$20, AR598&lt;Tablas!$G$21), 2,  IF(AND(AR598&gt;=Tablas!$G$21, AR598&lt;=Tablas!$G$22), 3,  ""))))</f>
        <v/>
      </c>
      <c r="AV598" s="85" t="str">
        <f t="shared" si="967"/>
        <v/>
      </c>
      <c r="AW598" s="101" t="str">
        <f t="shared" si="968"/>
        <v/>
      </c>
      <c r="AX598" s="177"/>
      <c r="AY598" s="169"/>
      <c r="AZ598" s="158"/>
      <c r="BA598" s="169"/>
      <c r="BB598" s="182"/>
      <c r="BC598" s="182"/>
      <c r="BD598" s="185"/>
      <c r="BE598" s="185"/>
      <c r="BF598" s="158" t="str">
        <f t="shared" si="1041"/>
        <v/>
      </c>
      <c r="BG598" s="191"/>
    </row>
    <row r="599" spans="1:59" x14ac:dyDescent="0.25">
      <c r="A599" s="167"/>
      <c r="B599" s="167"/>
      <c r="C599" s="161"/>
      <c r="D599" s="160"/>
      <c r="E599" s="162"/>
      <c r="F599" s="164"/>
      <c r="G599" s="161"/>
      <c r="H599" s="161"/>
      <c r="I599" s="161"/>
      <c r="J599" s="161"/>
      <c r="K599" s="161"/>
      <c r="L599" s="166"/>
      <c r="M599" s="166"/>
      <c r="N599" s="166"/>
      <c r="O599" s="166"/>
      <c r="P599" s="166"/>
      <c r="Q599" s="166"/>
      <c r="R599" s="166"/>
      <c r="S599" s="167"/>
      <c r="T599" s="167"/>
      <c r="U599" s="167"/>
      <c r="V599" s="167"/>
      <c r="W599" s="167"/>
      <c r="X599" s="164"/>
      <c r="Y599" s="164"/>
      <c r="Z599" s="172"/>
      <c r="AA599" s="188"/>
      <c r="AB599" s="172"/>
      <c r="AC599" s="172"/>
      <c r="AD599" s="175"/>
      <c r="AE599" s="62" t="s">
        <v>115</v>
      </c>
      <c r="AF599" s="133"/>
      <c r="AG599" s="65"/>
      <c r="AH599" s="64"/>
      <c r="AI599" s="64"/>
      <c r="AJ599" s="64"/>
      <c r="AK599" s="64"/>
      <c r="AL599" s="64"/>
      <c r="AM599" s="80" t="str">
        <f>IFERROR((Tablas!$C$1*VLOOKUP(AH599, tipo_control, 2, 0)+Tablas!$E$1*VLOOKUP(AI599, nat_control, 2, 0)+Tablas!$G$1*VLOOKUP(AJ599, ev_control, 2, 0)+Tablas!$I$1*VLOOKUP(AK599, frec_control, 2, 0)+Tablas!$K$1*VLOOKUP(AL599, doc_control, 2, 0))*0.1*peso_dis, "")</f>
        <v/>
      </c>
      <c r="AN599" s="64"/>
      <c r="AO599" s="64"/>
      <c r="AP599" s="64"/>
      <c r="AQ599" s="80" t="str">
        <f>IFERROR((Tablas!$C$9*VLOOKUP(AN599, amb_control, 2, 0)+Tablas!$E$9*VLOOKUP(AO599, ejec_control, 2, 0)+Tablas!$G$9*VLOOKUP(AP599, cub_control, 2, 0))*0.1*peso_ejec, "")</f>
        <v/>
      </c>
      <c r="AR599" s="91" t="str">
        <f t="shared" si="966"/>
        <v/>
      </c>
      <c r="AS599" s="85" t="str">
        <f t="shared" si="1030"/>
        <v/>
      </c>
      <c r="AT599" s="85" t="str">
        <f t="shared" si="1031"/>
        <v/>
      </c>
      <c r="AU599" s="85" t="str">
        <f>IF(AR599&lt;Tablas!$G$19, 0, IF(AND(AR599&gt;=Tablas!$G$19, AR599&lt;Tablas!$G$20), 1,  IF(AND(AR599&gt;=Tablas!$G$20, AR599&lt;Tablas!$G$21), 2,  IF(AND(AR599&gt;=Tablas!$G$21, AR599&lt;=Tablas!$G$22), 3,  ""))))</f>
        <v/>
      </c>
      <c r="AV599" s="85" t="str">
        <f t="shared" si="967"/>
        <v/>
      </c>
      <c r="AW599" s="101" t="str">
        <f t="shared" si="968"/>
        <v/>
      </c>
      <c r="AX599" s="177"/>
      <c r="AY599" s="169"/>
      <c r="AZ599" s="158"/>
      <c r="BA599" s="169"/>
      <c r="BB599" s="182"/>
      <c r="BC599" s="182"/>
      <c r="BD599" s="185"/>
      <c r="BE599" s="185"/>
      <c r="BF599" s="158" t="str">
        <f t="shared" si="1041"/>
        <v/>
      </c>
      <c r="BG599" s="191"/>
    </row>
    <row r="600" spans="1:59" x14ac:dyDescent="0.25">
      <c r="A600" s="167"/>
      <c r="B600" s="167"/>
      <c r="C600" s="161"/>
      <c r="D600" s="160"/>
      <c r="E600" s="162"/>
      <c r="F600" s="164"/>
      <c r="G600" s="161"/>
      <c r="H600" s="161"/>
      <c r="I600" s="161"/>
      <c r="J600" s="161"/>
      <c r="K600" s="161"/>
      <c r="L600" s="166"/>
      <c r="M600" s="166"/>
      <c r="N600" s="166"/>
      <c r="O600" s="166"/>
      <c r="P600" s="166"/>
      <c r="Q600" s="166"/>
      <c r="R600" s="166"/>
      <c r="S600" s="167"/>
      <c r="T600" s="167"/>
      <c r="U600" s="167"/>
      <c r="V600" s="167"/>
      <c r="W600" s="167"/>
      <c r="X600" s="164"/>
      <c r="Y600" s="164"/>
      <c r="Z600" s="172"/>
      <c r="AA600" s="188"/>
      <c r="AB600" s="172"/>
      <c r="AC600" s="172"/>
      <c r="AD600" s="175"/>
      <c r="AE600" s="62" t="s">
        <v>153</v>
      </c>
      <c r="AF600" s="133"/>
      <c r="AG600" s="65"/>
      <c r="AH600" s="64"/>
      <c r="AI600" s="64"/>
      <c r="AJ600" s="64"/>
      <c r="AK600" s="64"/>
      <c r="AL600" s="64"/>
      <c r="AM600" s="80" t="str">
        <f>IFERROR((Tablas!$C$1*VLOOKUP(AH600, tipo_control, 2, 0)+Tablas!$E$1*VLOOKUP(AI600, nat_control, 2, 0)+Tablas!$G$1*VLOOKUP(AJ600, ev_control, 2, 0)+Tablas!$I$1*VLOOKUP(AK600, frec_control, 2, 0)+Tablas!$K$1*VLOOKUP(AL600, doc_control, 2, 0))*0.1*peso_dis, "")</f>
        <v/>
      </c>
      <c r="AN600" s="64"/>
      <c r="AO600" s="64"/>
      <c r="AP600" s="64"/>
      <c r="AQ600" s="80" t="str">
        <f>IFERROR((Tablas!$C$9*VLOOKUP(AN600, amb_control, 2, 0)+Tablas!$E$9*VLOOKUP(AO600, ejec_control, 2, 0)+Tablas!$G$9*VLOOKUP(AP600, cub_control, 2, 0))*0.1*peso_ejec, "")</f>
        <v/>
      </c>
      <c r="AR600" s="91" t="str">
        <f t="shared" si="966"/>
        <v/>
      </c>
      <c r="AS600" s="85" t="str">
        <f t="shared" si="1030"/>
        <v/>
      </c>
      <c r="AT600" s="85" t="str">
        <f t="shared" si="1031"/>
        <v/>
      </c>
      <c r="AU600" s="85" t="str">
        <f>IF(AR600&lt;Tablas!$G$19, 0, IF(AND(AR600&gt;=Tablas!$G$19, AR600&lt;Tablas!$G$20), 1,  IF(AND(AR600&gt;=Tablas!$G$20, AR600&lt;Tablas!$G$21), 2,  IF(AND(AR600&gt;=Tablas!$G$21, AR600&lt;=Tablas!$G$22), 3,  ""))))</f>
        <v/>
      </c>
      <c r="AV600" s="85" t="str">
        <f t="shared" si="967"/>
        <v/>
      </c>
      <c r="AW600" s="101" t="str">
        <f t="shared" si="968"/>
        <v/>
      </c>
      <c r="AX600" s="177"/>
      <c r="AY600" s="169"/>
      <c r="AZ600" s="158"/>
      <c r="BA600" s="169"/>
      <c r="BB600" s="182"/>
      <c r="BC600" s="182"/>
      <c r="BD600" s="185"/>
      <c r="BE600" s="185"/>
      <c r="BF600" s="158"/>
      <c r="BG600" s="191"/>
    </row>
    <row r="601" spans="1:59" ht="15.75" thickBot="1" x14ac:dyDescent="0.3">
      <c r="A601" s="167"/>
      <c r="B601" s="167"/>
      <c r="C601" s="161"/>
      <c r="D601" s="160"/>
      <c r="E601" s="162"/>
      <c r="F601" s="165"/>
      <c r="G601" s="161"/>
      <c r="H601" s="161"/>
      <c r="I601" s="161"/>
      <c r="J601" s="161"/>
      <c r="K601" s="161"/>
      <c r="L601" s="166"/>
      <c r="M601" s="166"/>
      <c r="N601" s="166"/>
      <c r="O601" s="166"/>
      <c r="P601" s="166"/>
      <c r="Q601" s="166"/>
      <c r="R601" s="166"/>
      <c r="S601" s="149"/>
      <c r="T601" s="149"/>
      <c r="U601" s="149"/>
      <c r="V601" s="149"/>
      <c r="W601" s="149"/>
      <c r="X601" s="165"/>
      <c r="Y601" s="165"/>
      <c r="Z601" s="172"/>
      <c r="AA601" s="188"/>
      <c r="AB601" s="172"/>
      <c r="AC601" s="172"/>
      <c r="AD601" s="175"/>
      <c r="AE601" s="66" t="s">
        <v>154</v>
      </c>
      <c r="AF601" s="134"/>
      <c r="AG601" s="67"/>
      <c r="AH601" s="69"/>
      <c r="AI601" s="69"/>
      <c r="AJ601" s="69"/>
      <c r="AK601" s="69"/>
      <c r="AL601" s="69"/>
      <c r="AM601" s="81" t="str">
        <f>IFERROR((Tablas!$C$1*VLOOKUP(AH601, tipo_control, 2, 0)+Tablas!$E$1*VLOOKUP(AI601, nat_control, 2, 0)+Tablas!$G$1*VLOOKUP(AJ601, ev_control, 2, 0)+Tablas!$I$1*VLOOKUP(AK601, frec_control, 2, 0)+Tablas!$K$1*VLOOKUP(AL601, doc_control, 2, 0))*0.1*peso_dis, "")</f>
        <v/>
      </c>
      <c r="AN601" s="69"/>
      <c r="AO601" s="69"/>
      <c r="AP601" s="69"/>
      <c r="AQ601" s="81" t="str">
        <f>IFERROR((Tablas!$C$9*VLOOKUP(AN601, amb_control, 2, 0)+Tablas!$E$9*VLOOKUP(AO601, ejec_control, 2, 0)+Tablas!$G$9*VLOOKUP(AP601, cub_control, 2, 0))*0.1*peso_ejec, "")</f>
        <v/>
      </c>
      <c r="AR601" s="93" t="str">
        <f t="shared" si="966"/>
        <v/>
      </c>
      <c r="AS601" s="94" t="str">
        <f t="shared" si="1030"/>
        <v/>
      </c>
      <c r="AT601" s="94" t="str">
        <f t="shared" si="1031"/>
        <v/>
      </c>
      <c r="AU601" s="94" t="str">
        <f>IF(AR601&lt;Tablas!$G$19, 0, IF(AND(AR601&gt;=Tablas!$G$19, AR601&lt;Tablas!$G$20), 1,  IF(AND(AR601&gt;=Tablas!$G$20, AR601&lt;Tablas!$G$21), 2,  IF(AND(AR601&gt;=Tablas!$G$21, AR601&lt;=Tablas!$G$22), 3,  ""))))</f>
        <v/>
      </c>
      <c r="AV601" s="94" t="str">
        <f t="shared" si="967"/>
        <v/>
      </c>
      <c r="AW601" s="102" t="str">
        <f t="shared" si="968"/>
        <v/>
      </c>
      <c r="AX601" s="157"/>
      <c r="AY601" s="170"/>
      <c r="AZ601" s="179"/>
      <c r="BA601" s="170"/>
      <c r="BB601" s="182"/>
      <c r="BC601" s="182"/>
      <c r="BD601" s="185"/>
      <c r="BE601" s="185"/>
      <c r="BF601" s="159"/>
      <c r="BG601" s="191"/>
    </row>
    <row r="602" spans="1:59" x14ac:dyDescent="0.25">
      <c r="A602" s="167"/>
      <c r="B602" s="167"/>
      <c r="C602" s="161" t="s">
        <v>183</v>
      </c>
      <c r="D602" s="160" t="s">
        <v>158</v>
      </c>
      <c r="E602" s="162"/>
      <c r="F602" s="163" t="str">
        <f t="shared" si="1019"/>
        <v/>
      </c>
      <c r="G602" s="149"/>
      <c r="H602" s="149"/>
      <c r="I602" s="149"/>
      <c r="J602" s="149"/>
      <c r="K602" s="149"/>
      <c r="L602" s="165" t="str">
        <f t="shared" ref="L602" si="1042">IFERROR(VLOOKUP(G602, tabla02, 2, 0), "")</f>
        <v/>
      </c>
      <c r="M602" s="165" t="str">
        <f t="shared" ref="M602" si="1043">IFERROR(VLOOKUP(H602, tabla02, 2, 0), "")</f>
        <v/>
      </c>
      <c r="N602" s="165" t="str">
        <f t="shared" ref="N602" si="1044">IFERROR(VLOOKUP(I602, tabla02, 2, 0), "")</f>
        <v/>
      </c>
      <c r="O602" s="165" t="str">
        <f t="shared" ref="O602" si="1045">IFERROR(VLOOKUP(J602, tabla02, 2, 0), "")</f>
        <v/>
      </c>
      <c r="P602" s="165" t="str">
        <f t="shared" ref="P602" si="1046">IFERROR(VLOOKUP(K602, tabla02, 2, 0), "")</f>
        <v/>
      </c>
      <c r="Q602" s="165" t="str">
        <f t="shared" ref="Q602" si="1047">IF(SUM(L602:O606)=0, "", MAX(L602:P602))</f>
        <v/>
      </c>
      <c r="R602" s="165" t="str">
        <f>IFERROR(VLOOKUP(Q602, tabla04, 3, 0), "")</f>
        <v/>
      </c>
      <c r="S602" s="148"/>
      <c r="T602" s="148"/>
      <c r="U602" s="148"/>
      <c r="V602" s="148"/>
      <c r="W602" s="148"/>
      <c r="X602" s="163" t="str">
        <f>IFERROR(VLOOKUP(CONCATENATE(F602, "-", Q602), cuadrante_sev, 3, 0), "")</f>
        <v/>
      </c>
      <c r="Y602" s="163" t="str">
        <f t="shared" ref="Y602" si="1048">IFERROR(IF(X602="Baja", 1, IF(X602="Moderada", 2, IF(X602="Alta", 3, IF(X602="Extrema", 4, "")))), "")</f>
        <v/>
      </c>
      <c r="Z602" s="172"/>
      <c r="AA602" s="188"/>
      <c r="AB602" s="172"/>
      <c r="AC602" s="172"/>
      <c r="AD602" s="175"/>
      <c r="AE602" s="70" t="s">
        <v>113</v>
      </c>
      <c r="AF602" s="135"/>
      <c r="AG602" s="74"/>
      <c r="AH602" s="72"/>
      <c r="AI602" s="72"/>
      <c r="AJ602" s="72"/>
      <c r="AK602" s="72"/>
      <c r="AL602" s="72"/>
      <c r="AM602" s="82" t="str">
        <f>IFERROR((Tablas!$C$1*VLOOKUP(AH602, tipo_control, 2, 0)+Tablas!$E$1*VLOOKUP(AI602, nat_control, 2, 0)+Tablas!$G$1*VLOOKUP(AJ602, ev_control, 2, 0)+Tablas!$I$1*VLOOKUP(AK602, frec_control, 2, 0)+Tablas!$K$1*VLOOKUP(AL602, doc_control, 2, 0))*0.1*peso_dis, "")</f>
        <v/>
      </c>
      <c r="AN602" s="72"/>
      <c r="AO602" s="72"/>
      <c r="AP602" s="72"/>
      <c r="AQ602" s="82" t="str">
        <f>IFERROR((Tablas!$C$9*VLOOKUP(AN602, amb_control, 2, 0)+Tablas!$E$9*VLOOKUP(AO602, ejec_control, 2, 0)+Tablas!$G$9*VLOOKUP(AP602, cub_control, 2, 0))*0.1*peso_ejec, "")</f>
        <v/>
      </c>
      <c r="AR602" s="96" t="str">
        <f t="shared" si="966"/>
        <v/>
      </c>
      <c r="AS602" s="97" t="str">
        <f t="shared" si="1030"/>
        <v/>
      </c>
      <c r="AT602" s="87" t="str">
        <f t="shared" si="1031"/>
        <v/>
      </c>
      <c r="AU602" s="97" t="str">
        <f>IF(AR602&lt;Tablas!$G$19, 0, IF(AND(AR602&gt;=Tablas!$G$19, AR602&lt;Tablas!$G$20), 1,  IF(AND(AR602&gt;=Tablas!$G$20, AR602&lt;Tablas!$G$21), 2,  IF(AND(AR602&gt;=Tablas!$G$21, AR602&lt;=Tablas!$G$22), 3,  ""))))</f>
        <v/>
      </c>
      <c r="AV602" s="97" t="str">
        <f t="shared" si="967"/>
        <v/>
      </c>
      <c r="AW602" s="103" t="str">
        <f t="shared" si="968"/>
        <v/>
      </c>
      <c r="AX602" s="176" t="str">
        <f t="shared" ref="AX602" si="1049">IFERROR(VLOOKUP(AY602, tabla04, 2, 0), "")</f>
        <v/>
      </c>
      <c r="AY602" s="168" t="str">
        <f>IF(F602="", "", IF((F602-MAX(AV602:AV606))&lt;=0, 1, F602-MAX(AV602:AV606)))</f>
        <v/>
      </c>
      <c r="AZ602" s="178" t="str">
        <f t="shared" ref="AZ602" si="1050">IFERROR(VLOOKUP(BA602, tabla04, 3, 0), "")</f>
        <v/>
      </c>
      <c r="BA602" s="168" t="str">
        <f>IF(Q602="", "", IF((Q602-MAX(AW602:AW606))&lt;=0, 1, Q602-MAX(AW602:AW606)))</f>
        <v/>
      </c>
      <c r="BB602" s="182"/>
      <c r="BC602" s="182"/>
      <c r="BD602" s="185"/>
      <c r="BE602" s="185"/>
      <c r="BF602" s="158" t="str">
        <f t="shared" ref="BF602:BF604" si="1051">IFERROR(VLOOKUP(CONCATENATE(AY602, "-", BA602), cuadrante_sev, 3, 0), "")</f>
        <v/>
      </c>
      <c r="BG602" s="191"/>
    </row>
    <row r="603" spans="1:59" x14ac:dyDescent="0.25">
      <c r="A603" s="167"/>
      <c r="B603" s="167"/>
      <c r="C603" s="161"/>
      <c r="D603" s="160"/>
      <c r="E603" s="162"/>
      <c r="F603" s="164"/>
      <c r="G603" s="161"/>
      <c r="H603" s="161"/>
      <c r="I603" s="161"/>
      <c r="J603" s="161"/>
      <c r="K603" s="161"/>
      <c r="L603" s="166"/>
      <c r="M603" s="166"/>
      <c r="N603" s="166"/>
      <c r="O603" s="166"/>
      <c r="P603" s="166"/>
      <c r="Q603" s="166"/>
      <c r="R603" s="166"/>
      <c r="S603" s="167"/>
      <c r="T603" s="167"/>
      <c r="U603" s="167"/>
      <c r="V603" s="167"/>
      <c r="W603" s="167"/>
      <c r="X603" s="164"/>
      <c r="Y603" s="164"/>
      <c r="Z603" s="172"/>
      <c r="AA603" s="188"/>
      <c r="AB603" s="172"/>
      <c r="AC603" s="172"/>
      <c r="AD603" s="175"/>
      <c r="AE603" s="62" t="s">
        <v>114</v>
      </c>
      <c r="AF603" s="133"/>
      <c r="AG603" s="65"/>
      <c r="AH603" s="64"/>
      <c r="AI603" s="64"/>
      <c r="AJ603" s="64"/>
      <c r="AK603" s="64"/>
      <c r="AL603" s="64"/>
      <c r="AM603" s="80" t="str">
        <f>IFERROR((Tablas!$C$1*VLOOKUP(AH603, tipo_control, 2, 0)+Tablas!$E$1*VLOOKUP(AI603, nat_control, 2, 0)+Tablas!$G$1*VLOOKUP(AJ603, ev_control, 2, 0)+Tablas!$I$1*VLOOKUP(AK603, frec_control, 2, 0)+Tablas!$K$1*VLOOKUP(AL603, doc_control, 2, 0))*0.1*peso_dis, "")</f>
        <v/>
      </c>
      <c r="AN603" s="64"/>
      <c r="AO603" s="64"/>
      <c r="AP603" s="64"/>
      <c r="AQ603" s="80" t="str">
        <f>IFERROR((Tablas!$C$9*VLOOKUP(AN603, amb_control, 2, 0)+Tablas!$E$9*VLOOKUP(AO603, ejec_control, 2, 0)+Tablas!$G$9*VLOOKUP(AP603, cub_control, 2, 0))*0.1*peso_ejec, "")</f>
        <v/>
      </c>
      <c r="AR603" s="91" t="str">
        <f t="shared" si="966"/>
        <v/>
      </c>
      <c r="AS603" s="85" t="str">
        <f t="shared" si="1030"/>
        <v/>
      </c>
      <c r="AT603" s="85" t="str">
        <f t="shared" si="1031"/>
        <v/>
      </c>
      <c r="AU603" s="85" t="str">
        <f>IF(AR603&lt;Tablas!$G$19, 0, IF(AND(AR603&gt;=Tablas!$G$19, AR603&lt;Tablas!$G$20), 1,  IF(AND(AR603&gt;=Tablas!$G$20, AR603&lt;Tablas!$G$21), 2,  IF(AND(AR603&gt;=Tablas!$G$21, AR603&lt;=Tablas!$G$22), 3,  ""))))</f>
        <v/>
      </c>
      <c r="AV603" s="85" t="str">
        <f t="shared" si="967"/>
        <v/>
      </c>
      <c r="AW603" s="101" t="str">
        <f t="shared" si="968"/>
        <v/>
      </c>
      <c r="AX603" s="177"/>
      <c r="AY603" s="169"/>
      <c r="AZ603" s="158"/>
      <c r="BA603" s="169"/>
      <c r="BB603" s="182"/>
      <c r="BC603" s="182"/>
      <c r="BD603" s="185"/>
      <c r="BE603" s="185"/>
      <c r="BF603" s="158" t="str">
        <f t="shared" si="1051"/>
        <v/>
      </c>
      <c r="BG603" s="191"/>
    </row>
    <row r="604" spans="1:59" x14ac:dyDescent="0.25">
      <c r="A604" s="167"/>
      <c r="B604" s="167"/>
      <c r="C604" s="161"/>
      <c r="D604" s="160"/>
      <c r="E604" s="162"/>
      <c r="F604" s="164"/>
      <c r="G604" s="161"/>
      <c r="H604" s="161"/>
      <c r="I604" s="161"/>
      <c r="J604" s="161"/>
      <c r="K604" s="161"/>
      <c r="L604" s="166"/>
      <c r="M604" s="166"/>
      <c r="N604" s="166"/>
      <c r="O604" s="166"/>
      <c r="P604" s="166"/>
      <c r="Q604" s="166"/>
      <c r="R604" s="166"/>
      <c r="S604" s="167"/>
      <c r="T604" s="167"/>
      <c r="U604" s="167"/>
      <c r="V604" s="167"/>
      <c r="W604" s="167"/>
      <c r="X604" s="164"/>
      <c r="Y604" s="164"/>
      <c r="Z604" s="172"/>
      <c r="AA604" s="188"/>
      <c r="AB604" s="172"/>
      <c r="AC604" s="172"/>
      <c r="AD604" s="175"/>
      <c r="AE604" s="62" t="s">
        <v>115</v>
      </c>
      <c r="AF604" s="133"/>
      <c r="AG604" s="65"/>
      <c r="AH604" s="64"/>
      <c r="AI604" s="64"/>
      <c r="AJ604" s="64"/>
      <c r="AK604" s="64"/>
      <c r="AL604" s="64"/>
      <c r="AM604" s="80" t="str">
        <f>IFERROR((Tablas!$C$1*VLOOKUP(AH604, tipo_control, 2, 0)+Tablas!$E$1*VLOOKUP(AI604, nat_control, 2, 0)+Tablas!$G$1*VLOOKUP(AJ604, ev_control, 2, 0)+Tablas!$I$1*VLOOKUP(AK604, frec_control, 2, 0)+Tablas!$K$1*VLOOKUP(AL604, doc_control, 2, 0))*0.1*peso_dis, "")</f>
        <v/>
      </c>
      <c r="AN604" s="64"/>
      <c r="AO604" s="64"/>
      <c r="AP604" s="64"/>
      <c r="AQ604" s="80" t="str">
        <f>IFERROR((Tablas!$C$9*VLOOKUP(AN604, amb_control, 2, 0)+Tablas!$E$9*VLOOKUP(AO604, ejec_control, 2, 0)+Tablas!$G$9*VLOOKUP(AP604, cub_control, 2, 0))*0.1*peso_ejec, "")</f>
        <v/>
      </c>
      <c r="AR604" s="91" t="str">
        <f t="shared" si="966"/>
        <v/>
      </c>
      <c r="AS604" s="85" t="str">
        <f t="shared" si="1030"/>
        <v/>
      </c>
      <c r="AT604" s="85" t="str">
        <f t="shared" si="1031"/>
        <v/>
      </c>
      <c r="AU604" s="85" t="str">
        <f>IF(AR604&lt;Tablas!$G$19, 0, IF(AND(AR604&gt;=Tablas!$G$19, AR604&lt;Tablas!$G$20), 1,  IF(AND(AR604&gt;=Tablas!$G$20, AR604&lt;Tablas!$G$21), 2,  IF(AND(AR604&gt;=Tablas!$G$21, AR604&lt;=Tablas!$G$22), 3,  ""))))</f>
        <v/>
      </c>
      <c r="AV604" s="85" t="str">
        <f t="shared" si="967"/>
        <v/>
      </c>
      <c r="AW604" s="101" t="str">
        <f t="shared" si="968"/>
        <v/>
      </c>
      <c r="AX604" s="177"/>
      <c r="AY604" s="169"/>
      <c r="AZ604" s="158"/>
      <c r="BA604" s="169"/>
      <c r="BB604" s="182"/>
      <c r="BC604" s="182"/>
      <c r="BD604" s="185"/>
      <c r="BE604" s="185"/>
      <c r="BF604" s="158" t="str">
        <f t="shared" si="1051"/>
        <v/>
      </c>
      <c r="BG604" s="191"/>
    </row>
    <row r="605" spans="1:59" x14ac:dyDescent="0.25">
      <c r="A605" s="167"/>
      <c r="B605" s="167"/>
      <c r="C605" s="161"/>
      <c r="D605" s="160"/>
      <c r="E605" s="162"/>
      <c r="F605" s="164"/>
      <c r="G605" s="161"/>
      <c r="H605" s="161"/>
      <c r="I605" s="161"/>
      <c r="J605" s="161"/>
      <c r="K605" s="161"/>
      <c r="L605" s="166"/>
      <c r="M605" s="166"/>
      <c r="N605" s="166"/>
      <c r="O605" s="166"/>
      <c r="P605" s="166"/>
      <c r="Q605" s="166"/>
      <c r="R605" s="166"/>
      <c r="S605" s="167"/>
      <c r="T605" s="167"/>
      <c r="U605" s="167"/>
      <c r="V605" s="167"/>
      <c r="W605" s="167"/>
      <c r="X605" s="164"/>
      <c r="Y605" s="164"/>
      <c r="Z605" s="172"/>
      <c r="AA605" s="188"/>
      <c r="AB605" s="172"/>
      <c r="AC605" s="172"/>
      <c r="AD605" s="175"/>
      <c r="AE605" s="62" t="s">
        <v>153</v>
      </c>
      <c r="AF605" s="133"/>
      <c r="AG605" s="65"/>
      <c r="AH605" s="64"/>
      <c r="AI605" s="64"/>
      <c r="AJ605" s="64"/>
      <c r="AK605" s="64"/>
      <c r="AL605" s="64"/>
      <c r="AM605" s="80" t="str">
        <f>IFERROR((Tablas!$C$1*VLOOKUP(AH605, tipo_control, 2, 0)+Tablas!$E$1*VLOOKUP(AI605, nat_control, 2, 0)+Tablas!$G$1*VLOOKUP(AJ605, ev_control, 2, 0)+Tablas!$I$1*VLOOKUP(AK605, frec_control, 2, 0)+Tablas!$K$1*VLOOKUP(AL605, doc_control, 2, 0))*0.1*peso_dis, "")</f>
        <v/>
      </c>
      <c r="AN605" s="64"/>
      <c r="AO605" s="64"/>
      <c r="AP605" s="64"/>
      <c r="AQ605" s="80" t="str">
        <f>IFERROR((Tablas!$C$9*VLOOKUP(AN605, amb_control, 2, 0)+Tablas!$E$9*VLOOKUP(AO605, ejec_control, 2, 0)+Tablas!$G$9*VLOOKUP(AP605, cub_control, 2, 0))*0.1*peso_ejec, "")</f>
        <v/>
      </c>
      <c r="AR605" s="91" t="str">
        <f t="shared" si="966"/>
        <v/>
      </c>
      <c r="AS605" s="85" t="str">
        <f t="shared" si="1030"/>
        <v/>
      </c>
      <c r="AT605" s="85" t="str">
        <f t="shared" si="1031"/>
        <v/>
      </c>
      <c r="AU605" s="85" t="str">
        <f>IF(AR605&lt;Tablas!$G$19, 0, IF(AND(AR605&gt;=Tablas!$G$19, AR605&lt;Tablas!$G$20), 1,  IF(AND(AR605&gt;=Tablas!$G$20, AR605&lt;Tablas!$G$21), 2,  IF(AND(AR605&gt;=Tablas!$G$21, AR605&lt;=Tablas!$G$22), 3,  ""))))</f>
        <v/>
      </c>
      <c r="AV605" s="85" t="str">
        <f t="shared" si="967"/>
        <v/>
      </c>
      <c r="AW605" s="101" t="str">
        <f t="shared" si="968"/>
        <v/>
      </c>
      <c r="AX605" s="177"/>
      <c r="AY605" s="169"/>
      <c r="AZ605" s="158"/>
      <c r="BA605" s="169"/>
      <c r="BB605" s="182"/>
      <c r="BC605" s="182"/>
      <c r="BD605" s="185"/>
      <c r="BE605" s="185"/>
      <c r="BF605" s="158"/>
      <c r="BG605" s="191"/>
    </row>
    <row r="606" spans="1:59" ht="15.75" thickBot="1" x14ac:dyDescent="0.3">
      <c r="A606" s="149"/>
      <c r="B606" s="149"/>
      <c r="C606" s="161"/>
      <c r="D606" s="160"/>
      <c r="E606" s="162"/>
      <c r="F606" s="165"/>
      <c r="G606" s="161"/>
      <c r="H606" s="161"/>
      <c r="I606" s="161"/>
      <c r="J606" s="161"/>
      <c r="K606" s="161"/>
      <c r="L606" s="166"/>
      <c r="M606" s="166"/>
      <c r="N606" s="166"/>
      <c r="O606" s="166"/>
      <c r="P606" s="166"/>
      <c r="Q606" s="166"/>
      <c r="R606" s="166"/>
      <c r="S606" s="149"/>
      <c r="T606" s="149"/>
      <c r="U606" s="149"/>
      <c r="V606" s="149"/>
      <c r="W606" s="149"/>
      <c r="X606" s="165"/>
      <c r="Y606" s="165"/>
      <c r="Z606" s="173"/>
      <c r="AA606" s="189"/>
      <c r="AB606" s="173"/>
      <c r="AC606" s="173"/>
      <c r="AD606" s="175"/>
      <c r="AE606" s="75" t="s">
        <v>154</v>
      </c>
      <c r="AF606" s="136"/>
      <c r="AG606" s="68"/>
      <c r="AH606" s="76"/>
      <c r="AI606" s="76"/>
      <c r="AJ606" s="76"/>
      <c r="AK606" s="76"/>
      <c r="AL606" s="76"/>
      <c r="AM606" s="83" t="str">
        <f>IFERROR((Tablas!$C$1*VLOOKUP(AH606, tipo_control, 2, 0)+Tablas!$E$1*VLOOKUP(AI606, nat_control, 2, 0)+Tablas!$G$1*VLOOKUP(AJ606, ev_control, 2, 0)+Tablas!$I$1*VLOOKUP(AK606, frec_control, 2, 0)+Tablas!$K$1*VLOOKUP(AL606, doc_control, 2, 0))*0.1*peso_dis, "")</f>
        <v/>
      </c>
      <c r="AN606" s="76"/>
      <c r="AO606" s="76"/>
      <c r="AP606" s="76"/>
      <c r="AQ606" s="83" t="str">
        <f>IFERROR((Tablas!$C$9*VLOOKUP(AN606, amb_control, 2, 0)+Tablas!$E$9*VLOOKUP(AO606, ejec_control, 2, 0)+Tablas!$G$9*VLOOKUP(AP606, cub_control, 2, 0))*0.1*peso_ejec, "")</f>
        <v/>
      </c>
      <c r="AR606" s="99" t="str">
        <f t="shared" si="966"/>
        <v/>
      </c>
      <c r="AS606" s="86" t="str">
        <f t="shared" si="1030"/>
        <v/>
      </c>
      <c r="AT606" s="86" t="str">
        <f t="shared" si="1031"/>
        <v/>
      </c>
      <c r="AU606" s="86" t="str">
        <f>IF(AR606&lt;Tablas!$G$19, 0, IF(AND(AR606&gt;=Tablas!$G$19, AR606&lt;Tablas!$G$20), 1,  IF(AND(AR606&gt;=Tablas!$G$20, AR606&lt;Tablas!$G$21), 2,  IF(AND(AR606&gt;=Tablas!$G$21, AR606&lt;=Tablas!$G$22), 3,  ""))))</f>
        <v/>
      </c>
      <c r="AV606" s="86" t="str">
        <f t="shared" si="967"/>
        <v/>
      </c>
      <c r="AW606" s="84" t="str">
        <f t="shared" si="968"/>
        <v/>
      </c>
      <c r="AX606" s="157"/>
      <c r="AY606" s="170"/>
      <c r="AZ606" s="179"/>
      <c r="BA606" s="170"/>
      <c r="BB606" s="183"/>
      <c r="BC606" s="183"/>
      <c r="BD606" s="186"/>
      <c r="BE606" s="186"/>
      <c r="BF606" s="159"/>
      <c r="BG606" s="191"/>
    </row>
    <row r="607" spans="1:59" x14ac:dyDescent="0.25">
      <c r="A607" s="148" t="s">
        <v>199</v>
      </c>
      <c r="B607" s="148" t="s">
        <v>200</v>
      </c>
      <c r="C607" s="161" t="s">
        <v>14</v>
      </c>
      <c r="D607" s="160" t="s">
        <v>158</v>
      </c>
      <c r="E607" s="193"/>
      <c r="F607" s="163" t="str">
        <f t="shared" si="1019"/>
        <v/>
      </c>
      <c r="G607" s="149"/>
      <c r="H607" s="149"/>
      <c r="I607" s="149"/>
      <c r="J607" s="149"/>
      <c r="K607" s="149"/>
      <c r="L607" s="165" t="str">
        <f>IFERROR(VLOOKUP(G607, tabla02, 2, 0), "")</f>
        <v/>
      </c>
      <c r="M607" s="165" t="str">
        <f>IFERROR(VLOOKUP(H607, tabla02, 2, 0), "")</f>
        <v/>
      </c>
      <c r="N607" s="165" t="str">
        <f>IFERROR(VLOOKUP(I607, tabla02, 2, 0), "")</f>
        <v/>
      </c>
      <c r="O607" s="165" t="str">
        <f>IFERROR(VLOOKUP(J607, tabla02, 2, 0), "")</f>
        <v/>
      </c>
      <c r="P607" s="165" t="str">
        <f>IFERROR(VLOOKUP(K607, tabla02, 2, 0), "")</f>
        <v/>
      </c>
      <c r="Q607" s="165" t="str">
        <f t="shared" ref="Q607" si="1052">IF(SUM(L607:O611)=0, "", MAX(L607:P607))</f>
        <v/>
      </c>
      <c r="R607" s="165" t="str">
        <f>IFERROR(VLOOKUP(Q607, tabla04, 3, 0), "")</f>
        <v/>
      </c>
      <c r="S607" s="148"/>
      <c r="T607" s="148"/>
      <c r="U607" s="148"/>
      <c r="V607" s="148"/>
      <c r="W607" s="148"/>
      <c r="X607" s="164" t="str">
        <f>IFERROR(VLOOKUP(CONCATENATE(F607, "-", Q607), cuadrante_sev, 3, 0), "")</f>
        <v/>
      </c>
      <c r="Y607" s="163" t="str">
        <f>IFERROR(IF(X607="Baja", 1, IF(X607="Moderada", 2, IF(X607="Alta", 3, IF(X607="Extrema", 4, "")))), "")</f>
        <v/>
      </c>
      <c r="Z607" s="171">
        <f t="shared" ref="Z607" si="1053">MAX(F607:F656)</f>
        <v>0</v>
      </c>
      <c r="AA607" s="187">
        <f t="shared" ref="AA607" si="1054">MAX(Q607:Q656)</f>
        <v>0</v>
      </c>
      <c r="AB607" s="171" t="str">
        <f>IFERROR(VLOOKUP(Z607, tabla04, 2, 0), "")</f>
        <v/>
      </c>
      <c r="AC607" s="171" t="str">
        <f>IFERROR(VLOOKUP(AA607, tabla04, 3, 0), "")</f>
        <v/>
      </c>
      <c r="AD607" s="174" t="str">
        <f>IFERROR(VLOOKUP(CONCATENATE(Z607, "-", AA607), cuadrante_sev, 3, 0), "")</f>
        <v/>
      </c>
      <c r="AE607" s="59" t="s">
        <v>113</v>
      </c>
      <c r="AF607" s="132"/>
      <c r="AG607" s="77"/>
      <c r="AH607" s="61"/>
      <c r="AI607" s="61"/>
      <c r="AJ607" s="61"/>
      <c r="AK607" s="61"/>
      <c r="AL607" s="61"/>
      <c r="AM607" s="79" t="str">
        <f>IFERROR((Tablas!$C$1*VLOOKUP(AH607, tipo_control, 2, 0)+Tablas!$E$1*VLOOKUP(AI607, nat_control, 2, 0)+Tablas!$G$1*VLOOKUP(AJ607, ev_control, 2, 0)+Tablas!$I$1*VLOOKUP(AK607, frec_control, 2, 0)+Tablas!$K$1*VLOOKUP(AL607, doc_control, 2, 0))*0.1*peso_dis, "")</f>
        <v/>
      </c>
      <c r="AN607" s="61"/>
      <c r="AO607" s="61"/>
      <c r="AP607" s="61"/>
      <c r="AQ607" s="79" t="str">
        <f>IFERROR((Tablas!$C$9*VLOOKUP(AN607, amb_control, 2, 0)+Tablas!$E$9*VLOOKUP(AO607, ejec_control, 2, 0)+Tablas!$G$9*VLOOKUP(AP607, cub_control, 2, 0))*0.1*peso_ejec, "")</f>
        <v/>
      </c>
      <c r="AR607" s="89" t="str">
        <f>IFERROR(AM607+AQ607, "")</f>
        <v/>
      </c>
      <c r="AS607" s="87" t="str">
        <f t="shared" si="1030"/>
        <v/>
      </c>
      <c r="AT607" s="87" t="str">
        <f t="shared" si="1031"/>
        <v/>
      </c>
      <c r="AU607" s="87" t="str">
        <f>IF(AR607&lt;Tablas!$G$19, 0, IF(AND(AR607&gt;=Tablas!$G$19, AR607&lt;Tablas!$G$20), 1,  IF(AND(AR607&gt;=Tablas!$G$20, AR607&lt;Tablas!$G$21), 2,  IF(AND(AR607&gt;=Tablas!$G$21, AR607&lt;=Tablas!$G$22), 3,  ""))))</f>
        <v/>
      </c>
      <c r="AV607" s="87" t="str">
        <f>IF(AS607="Sí",AU607,"")</f>
        <v/>
      </c>
      <c r="AW607" s="100" t="str">
        <f>IF(AT607="Sí",AU607,"")</f>
        <v/>
      </c>
      <c r="AX607" s="176" t="str">
        <f>IFERROR(VLOOKUP(AY607, tabla04, 2, 0), "")</f>
        <v/>
      </c>
      <c r="AY607" s="168" t="str">
        <f>IF(F607="", "", IF((F607-MAX(AV607:AV611))&lt;=0, 1, F607-MAX(AV607:AV611)))</f>
        <v/>
      </c>
      <c r="AZ607" s="178" t="str">
        <f>IFERROR(VLOOKUP(BA607, tabla04, 3, 0), "")</f>
        <v/>
      </c>
      <c r="BA607" s="168" t="str">
        <f>IF(Q607="", "", IF((Q607-MAX(AW607:AW611))&lt;=0, 1, Q607-MAX(AW607:AW611)))</f>
        <v/>
      </c>
      <c r="BB607" s="170">
        <f>IFERROR(MAX(AY607:AY656), "")</f>
        <v>0</v>
      </c>
      <c r="BC607" s="170">
        <f>IFERROR(MAX(BA607:BA656), "")</f>
        <v>0</v>
      </c>
      <c r="BD607" s="184" t="str">
        <f>IFERROR(VLOOKUP(BB607, tabla04, 2, 0), "")</f>
        <v/>
      </c>
      <c r="BE607" s="184" t="str">
        <f>IFERROR(VLOOKUP(BC607, tabla04, 3, 0), "")</f>
        <v/>
      </c>
      <c r="BF607" s="158" t="str">
        <f>IFERROR(VLOOKUP(CONCATENATE(AY607, "-", BA607), cuadrante_sev, 3, 0), "")</f>
        <v/>
      </c>
      <c r="BG607" s="190" t="str">
        <f>IFERROR(VLOOKUP(CONCATENATE(BB607, "-", BC607), cuadrante_sev, 3, 0), "")</f>
        <v/>
      </c>
    </row>
    <row r="608" spans="1:59" x14ac:dyDescent="0.25">
      <c r="A608" s="167"/>
      <c r="B608" s="167"/>
      <c r="C608" s="161"/>
      <c r="D608" s="160"/>
      <c r="E608" s="162"/>
      <c r="F608" s="164"/>
      <c r="G608" s="161"/>
      <c r="H608" s="161"/>
      <c r="I608" s="161"/>
      <c r="J608" s="161"/>
      <c r="K608" s="161"/>
      <c r="L608" s="166"/>
      <c r="M608" s="166"/>
      <c r="N608" s="166"/>
      <c r="O608" s="166"/>
      <c r="P608" s="166"/>
      <c r="Q608" s="166"/>
      <c r="R608" s="166"/>
      <c r="S608" s="167"/>
      <c r="T608" s="167"/>
      <c r="U608" s="167"/>
      <c r="V608" s="167"/>
      <c r="W608" s="167"/>
      <c r="X608" s="164"/>
      <c r="Y608" s="164"/>
      <c r="Z608" s="172"/>
      <c r="AA608" s="188"/>
      <c r="AB608" s="172"/>
      <c r="AC608" s="172"/>
      <c r="AD608" s="175"/>
      <c r="AE608" s="62" t="s">
        <v>114</v>
      </c>
      <c r="AF608" s="133"/>
      <c r="AG608" s="65"/>
      <c r="AH608" s="64"/>
      <c r="AI608" s="64"/>
      <c r="AJ608" s="64"/>
      <c r="AK608" s="64"/>
      <c r="AL608" s="64"/>
      <c r="AM608" s="80" t="str">
        <f>IFERROR((Tablas!$C$1*VLOOKUP(AH608, tipo_control, 2, 0)+Tablas!$E$1*VLOOKUP(AI608, nat_control, 2, 0)+Tablas!$G$1*VLOOKUP(AJ608, ev_control, 2, 0)+Tablas!$I$1*VLOOKUP(AK608, frec_control, 2, 0)+Tablas!$K$1*VLOOKUP(AL608, doc_control, 2, 0))*0.1*peso_dis, "")</f>
        <v/>
      </c>
      <c r="AN608" s="64"/>
      <c r="AO608" s="64"/>
      <c r="AP608" s="64"/>
      <c r="AQ608" s="80" t="str">
        <f>IFERROR((Tablas!$C$9*VLOOKUP(AN608, amb_control, 2, 0)+Tablas!$E$9*VLOOKUP(AO608, ejec_control, 2, 0)+Tablas!$G$9*VLOOKUP(AP608, cub_control, 2, 0))*0.1*peso_ejec, "")</f>
        <v/>
      </c>
      <c r="AR608" s="91" t="str">
        <f t="shared" ref="AR608:AR656" si="1055">IFERROR(AM608+AQ608, "")</f>
        <v/>
      </c>
      <c r="AS608" s="87" t="str">
        <f t="shared" si="1030"/>
        <v/>
      </c>
      <c r="AT608" s="85" t="str">
        <f t="shared" si="1031"/>
        <v/>
      </c>
      <c r="AU608" s="85" t="str">
        <f>IF(AR608&lt;Tablas!$G$19, 0, IF(AND(AR608&gt;=Tablas!$G$19, AR608&lt;Tablas!$G$20), 1,  IF(AND(AR608&gt;=Tablas!$G$20, AR608&lt;Tablas!$G$21), 2,  IF(AND(AR608&gt;=Tablas!$G$21, AR608&lt;=Tablas!$G$22), 3,  ""))))</f>
        <v/>
      </c>
      <c r="AV608" s="85" t="str">
        <f t="shared" ref="AV608:AV656" si="1056">IF(AS608="Sí",AU608,"")</f>
        <v/>
      </c>
      <c r="AW608" s="101" t="str">
        <f t="shared" ref="AW608:AW656" si="1057">IF(AT608="Sí",AU608,"")</f>
        <v/>
      </c>
      <c r="AX608" s="177"/>
      <c r="AY608" s="169"/>
      <c r="AZ608" s="158"/>
      <c r="BA608" s="169"/>
      <c r="BB608" s="182"/>
      <c r="BC608" s="182"/>
      <c r="BD608" s="185"/>
      <c r="BE608" s="185"/>
      <c r="BF608" s="158"/>
      <c r="BG608" s="191"/>
    </row>
    <row r="609" spans="1:59" x14ac:dyDescent="0.25">
      <c r="A609" s="167"/>
      <c r="B609" s="167"/>
      <c r="C609" s="161"/>
      <c r="D609" s="160"/>
      <c r="E609" s="162"/>
      <c r="F609" s="164"/>
      <c r="G609" s="161"/>
      <c r="H609" s="161"/>
      <c r="I609" s="161"/>
      <c r="J609" s="161"/>
      <c r="K609" s="161"/>
      <c r="L609" s="166"/>
      <c r="M609" s="166"/>
      <c r="N609" s="166"/>
      <c r="O609" s="166"/>
      <c r="P609" s="166"/>
      <c r="Q609" s="166"/>
      <c r="R609" s="166"/>
      <c r="S609" s="167"/>
      <c r="T609" s="167"/>
      <c r="U609" s="167"/>
      <c r="V609" s="167"/>
      <c r="W609" s="167"/>
      <c r="X609" s="164"/>
      <c r="Y609" s="164"/>
      <c r="Z609" s="172"/>
      <c r="AA609" s="188"/>
      <c r="AB609" s="172"/>
      <c r="AC609" s="172"/>
      <c r="AD609" s="175"/>
      <c r="AE609" s="62" t="s">
        <v>115</v>
      </c>
      <c r="AF609" s="133"/>
      <c r="AG609" s="65"/>
      <c r="AH609" s="64"/>
      <c r="AI609" s="64"/>
      <c r="AJ609" s="64"/>
      <c r="AK609" s="64"/>
      <c r="AL609" s="64"/>
      <c r="AM609" s="80" t="str">
        <f>IFERROR((Tablas!$C$1*VLOOKUP(AH609, tipo_control, 2, 0)+Tablas!$E$1*VLOOKUP(AI609, nat_control, 2, 0)+Tablas!$G$1*VLOOKUP(AJ609, ev_control, 2, 0)+Tablas!$I$1*VLOOKUP(AK609, frec_control, 2, 0)+Tablas!$K$1*VLOOKUP(AL609, doc_control, 2, 0))*0.1*peso_dis, "")</f>
        <v/>
      </c>
      <c r="AN609" s="64"/>
      <c r="AO609" s="64"/>
      <c r="AP609" s="64"/>
      <c r="AQ609" s="80" t="str">
        <f>IFERROR((Tablas!$C$9*VLOOKUP(AN609, amb_control, 2, 0)+Tablas!$E$9*VLOOKUP(AO609, ejec_control, 2, 0)+Tablas!$G$9*VLOOKUP(AP609, cub_control, 2, 0))*0.1*peso_ejec, "")</f>
        <v/>
      </c>
      <c r="AR609" s="91" t="str">
        <f t="shared" si="1055"/>
        <v/>
      </c>
      <c r="AS609" s="87" t="str">
        <f t="shared" si="1030"/>
        <v/>
      </c>
      <c r="AT609" s="85" t="str">
        <f t="shared" si="1031"/>
        <v/>
      </c>
      <c r="AU609" s="85" t="str">
        <f>IF(AR609&lt;Tablas!$G$19, 0, IF(AND(AR609&gt;=Tablas!$G$19, AR609&lt;Tablas!$G$20), 1,  IF(AND(AR609&gt;=Tablas!$G$20, AR609&lt;Tablas!$G$21), 2,  IF(AND(AR609&gt;=Tablas!$G$21, AR609&lt;=Tablas!$G$22), 3,  ""))))</f>
        <v/>
      </c>
      <c r="AV609" s="85" t="str">
        <f t="shared" si="1056"/>
        <v/>
      </c>
      <c r="AW609" s="101" t="str">
        <f t="shared" si="1057"/>
        <v/>
      </c>
      <c r="AX609" s="177"/>
      <c r="AY609" s="169"/>
      <c r="AZ609" s="158"/>
      <c r="BA609" s="169"/>
      <c r="BB609" s="182"/>
      <c r="BC609" s="182"/>
      <c r="BD609" s="185"/>
      <c r="BE609" s="185"/>
      <c r="BF609" s="158"/>
      <c r="BG609" s="191"/>
    </row>
    <row r="610" spans="1:59" x14ac:dyDescent="0.25">
      <c r="A610" s="167"/>
      <c r="B610" s="167"/>
      <c r="C610" s="161"/>
      <c r="D610" s="160"/>
      <c r="E610" s="162"/>
      <c r="F610" s="164"/>
      <c r="G610" s="161"/>
      <c r="H610" s="161"/>
      <c r="I610" s="161"/>
      <c r="J610" s="161"/>
      <c r="K610" s="161"/>
      <c r="L610" s="166"/>
      <c r="M610" s="166"/>
      <c r="N610" s="166"/>
      <c r="O610" s="166"/>
      <c r="P610" s="166"/>
      <c r="Q610" s="166"/>
      <c r="R610" s="166"/>
      <c r="S610" s="167"/>
      <c r="T610" s="167"/>
      <c r="U610" s="167"/>
      <c r="V610" s="167"/>
      <c r="W610" s="167"/>
      <c r="X610" s="164"/>
      <c r="Y610" s="164"/>
      <c r="Z610" s="172"/>
      <c r="AA610" s="188"/>
      <c r="AB610" s="172"/>
      <c r="AC610" s="172"/>
      <c r="AD610" s="175"/>
      <c r="AE610" s="62" t="s">
        <v>153</v>
      </c>
      <c r="AF610" s="133"/>
      <c r="AG610" s="65"/>
      <c r="AH610" s="64"/>
      <c r="AI610" s="64"/>
      <c r="AJ610" s="64"/>
      <c r="AK610" s="64"/>
      <c r="AL610" s="64"/>
      <c r="AM610" s="80" t="str">
        <f>IFERROR((Tablas!$C$1*VLOOKUP(AH610, tipo_control, 2, 0)+Tablas!$E$1*VLOOKUP(AI610, nat_control, 2, 0)+Tablas!$G$1*VLOOKUP(AJ610, ev_control, 2, 0)+Tablas!$I$1*VLOOKUP(AK610, frec_control, 2, 0)+Tablas!$K$1*VLOOKUP(AL610, doc_control, 2, 0))*0.1*peso_dis, "")</f>
        <v/>
      </c>
      <c r="AN610" s="64"/>
      <c r="AO610" s="64"/>
      <c r="AP610" s="64"/>
      <c r="AQ610" s="80" t="str">
        <f>IFERROR((Tablas!$C$9*VLOOKUP(AN610, amb_control, 2, 0)+Tablas!$E$9*VLOOKUP(AO610, ejec_control, 2, 0)+Tablas!$G$9*VLOOKUP(AP610, cub_control, 2, 0))*0.1*peso_ejec, "")</f>
        <v/>
      </c>
      <c r="AR610" s="91" t="str">
        <f t="shared" si="1055"/>
        <v/>
      </c>
      <c r="AS610" s="87" t="str">
        <f t="shared" si="1030"/>
        <v/>
      </c>
      <c r="AT610" s="85" t="str">
        <f t="shared" si="1031"/>
        <v/>
      </c>
      <c r="AU610" s="85" t="str">
        <f>IF(AR610&lt;Tablas!$G$19, 0, IF(AND(AR610&gt;=Tablas!$G$19, AR610&lt;Tablas!$G$20), 1,  IF(AND(AR610&gt;=Tablas!$G$20, AR610&lt;Tablas!$G$21), 2,  IF(AND(AR610&gt;=Tablas!$G$21, AR610&lt;=Tablas!$G$22), 3,  ""))))</f>
        <v/>
      </c>
      <c r="AV610" s="85" t="str">
        <f t="shared" si="1056"/>
        <v/>
      </c>
      <c r="AW610" s="101" t="str">
        <f t="shared" si="1057"/>
        <v/>
      </c>
      <c r="AX610" s="177"/>
      <c r="AY610" s="169"/>
      <c r="AZ610" s="158"/>
      <c r="BA610" s="169"/>
      <c r="BB610" s="182"/>
      <c r="BC610" s="182"/>
      <c r="BD610" s="185"/>
      <c r="BE610" s="185"/>
      <c r="BF610" s="158"/>
      <c r="BG610" s="191"/>
    </row>
    <row r="611" spans="1:59" ht="15.75" thickBot="1" x14ac:dyDescent="0.3">
      <c r="A611" s="167"/>
      <c r="B611" s="167"/>
      <c r="C611" s="161"/>
      <c r="D611" s="160"/>
      <c r="E611" s="162"/>
      <c r="F611" s="165"/>
      <c r="G611" s="161"/>
      <c r="H611" s="161"/>
      <c r="I611" s="161"/>
      <c r="J611" s="161"/>
      <c r="K611" s="161"/>
      <c r="L611" s="166"/>
      <c r="M611" s="166"/>
      <c r="N611" s="166"/>
      <c r="O611" s="166"/>
      <c r="P611" s="166"/>
      <c r="Q611" s="166"/>
      <c r="R611" s="166"/>
      <c r="S611" s="149"/>
      <c r="T611" s="149"/>
      <c r="U611" s="149"/>
      <c r="V611" s="149"/>
      <c r="W611" s="149"/>
      <c r="X611" s="165"/>
      <c r="Y611" s="165"/>
      <c r="Z611" s="172"/>
      <c r="AA611" s="188"/>
      <c r="AB611" s="172"/>
      <c r="AC611" s="172"/>
      <c r="AD611" s="175"/>
      <c r="AE611" s="66" t="s">
        <v>154</v>
      </c>
      <c r="AF611" s="134"/>
      <c r="AG611" s="67"/>
      <c r="AH611" s="69"/>
      <c r="AI611" s="69"/>
      <c r="AJ611" s="69"/>
      <c r="AK611" s="69"/>
      <c r="AL611" s="69"/>
      <c r="AM611" s="81" t="str">
        <f>IFERROR((Tablas!$C$1*VLOOKUP(AH611, tipo_control, 2, 0)+Tablas!$E$1*VLOOKUP(AI611, nat_control, 2, 0)+Tablas!$G$1*VLOOKUP(AJ611, ev_control, 2, 0)+Tablas!$I$1*VLOOKUP(AK611, frec_control, 2, 0)+Tablas!$K$1*VLOOKUP(AL611, doc_control, 2, 0))*0.1*peso_dis, "")</f>
        <v/>
      </c>
      <c r="AN611" s="69"/>
      <c r="AO611" s="69"/>
      <c r="AP611" s="69"/>
      <c r="AQ611" s="81" t="str">
        <f>IFERROR((Tablas!$C$9*VLOOKUP(AN611, amb_control, 2, 0)+Tablas!$E$9*VLOOKUP(AO611, ejec_control, 2, 0)+Tablas!$G$9*VLOOKUP(AP611, cub_control, 2, 0))*0.1*peso_ejec, "")</f>
        <v/>
      </c>
      <c r="AR611" s="93" t="str">
        <f t="shared" si="1055"/>
        <v/>
      </c>
      <c r="AS611" s="87" t="str">
        <f t="shared" si="1030"/>
        <v/>
      </c>
      <c r="AT611" s="94" t="str">
        <f t="shared" si="1031"/>
        <v/>
      </c>
      <c r="AU611" s="94" t="str">
        <f>IF(AR611&lt;Tablas!$G$19, 0, IF(AND(AR611&gt;=Tablas!$G$19, AR611&lt;Tablas!$G$20), 1,  IF(AND(AR611&gt;=Tablas!$G$20, AR611&lt;Tablas!$G$21), 2,  IF(AND(AR611&gt;=Tablas!$G$21, AR611&lt;=Tablas!$G$22), 3,  ""))))</f>
        <v/>
      </c>
      <c r="AV611" s="94" t="str">
        <f t="shared" si="1056"/>
        <v/>
      </c>
      <c r="AW611" s="102" t="str">
        <f t="shared" si="1057"/>
        <v/>
      </c>
      <c r="AX611" s="157"/>
      <c r="AY611" s="170"/>
      <c r="AZ611" s="179"/>
      <c r="BA611" s="170"/>
      <c r="BB611" s="182"/>
      <c r="BC611" s="182"/>
      <c r="BD611" s="185"/>
      <c r="BE611" s="185"/>
      <c r="BF611" s="159"/>
      <c r="BG611" s="191"/>
    </row>
    <row r="612" spans="1:59" x14ac:dyDescent="0.25">
      <c r="A612" s="167"/>
      <c r="B612" s="167"/>
      <c r="C612" s="161" t="s">
        <v>15</v>
      </c>
      <c r="D612" s="160" t="s">
        <v>158</v>
      </c>
      <c r="E612" s="162"/>
      <c r="F612" s="163" t="str">
        <f t="shared" si="1019"/>
        <v/>
      </c>
      <c r="G612" s="149"/>
      <c r="H612" s="149"/>
      <c r="I612" s="149"/>
      <c r="J612" s="149"/>
      <c r="K612" s="149"/>
      <c r="L612" s="165" t="str">
        <f>IFERROR(VLOOKUP(G612, tabla02, 2, 0), "")</f>
        <v/>
      </c>
      <c r="M612" s="165" t="str">
        <f>IFERROR(VLOOKUP(H612, tabla02, 2, 0), "")</f>
        <v/>
      </c>
      <c r="N612" s="165" t="str">
        <f>IFERROR(VLOOKUP(I612, tabla02, 2, 0), "")</f>
        <v/>
      </c>
      <c r="O612" s="165" t="str">
        <f>IFERROR(VLOOKUP(J612, tabla02, 2, 0), "")</f>
        <v/>
      </c>
      <c r="P612" s="165" t="str">
        <f>IFERROR(VLOOKUP(K612, tabla02, 2, 0), "")</f>
        <v/>
      </c>
      <c r="Q612" s="165" t="str">
        <f t="shared" ref="Q612" si="1058">IF(SUM(L612:O616)=0, "", MAX(L612:P612))</f>
        <v/>
      </c>
      <c r="R612" s="165" t="str">
        <f>IFERROR(VLOOKUP(Q612, tabla04, 3, 0), "")</f>
        <v/>
      </c>
      <c r="S612" s="148"/>
      <c r="T612" s="148"/>
      <c r="U612" s="148"/>
      <c r="V612" s="148"/>
      <c r="W612" s="148"/>
      <c r="X612" s="163" t="str">
        <f>IFERROR(VLOOKUP(CONCATENATE(F612, "-", Q612), cuadrante_sev, 3, 0), "")</f>
        <v/>
      </c>
      <c r="Y612" s="163" t="str">
        <f t="shared" ref="Y612" si="1059">IFERROR(IF(X612="Baja", 1, IF(X612="Moderada", 2, IF(X612="Alta", 3, IF(X612="Extrema", 4, "")))), "")</f>
        <v/>
      </c>
      <c r="Z612" s="172"/>
      <c r="AA612" s="188"/>
      <c r="AB612" s="172"/>
      <c r="AC612" s="172"/>
      <c r="AD612" s="175"/>
      <c r="AE612" s="70" t="s">
        <v>113</v>
      </c>
      <c r="AF612" s="135"/>
      <c r="AG612" s="74"/>
      <c r="AH612" s="72"/>
      <c r="AI612" s="72"/>
      <c r="AJ612" s="72"/>
      <c r="AK612" s="72"/>
      <c r="AL612" s="72"/>
      <c r="AM612" s="82" t="str">
        <f>IFERROR((Tablas!$C$1*VLOOKUP(AH612, tipo_control, 2, 0)+Tablas!$E$1*VLOOKUP(AI612, nat_control, 2, 0)+Tablas!$G$1*VLOOKUP(AJ612, ev_control, 2, 0)+Tablas!$I$1*VLOOKUP(AK612, frec_control, 2, 0)+Tablas!$K$1*VLOOKUP(AL612, doc_control, 2, 0))*0.1*peso_dis, "")</f>
        <v/>
      </c>
      <c r="AN612" s="72"/>
      <c r="AO612" s="72"/>
      <c r="AP612" s="72"/>
      <c r="AQ612" s="82" t="str">
        <f>IFERROR((Tablas!$C$9*VLOOKUP(AN612, amb_control, 2, 0)+Tablas!$E$9*VLOOKUP(AO612, ejec_control, 2, 0)+Tablas!$G$9*VLOOKUP(AP612, cub_control, 2, 0))*0.1*peso_ejec, "")</f>
        <v/>
      </c>
      <c r="AR612" s="96" t="str">
        <f t="shared" si="1055"/>
        <v/>
      </c>
      <c r="AS612" s="97" t="str">
        <f t="shared" si="1030"/>
        <v/>
      </c>
      <c r="AT612" s="87" t="str">
        <f t="shared" si="1031"/>
        <v/>
      </c>
      <c r="AU612" s="97" t="str">
        <f>IF(AR612&lt;Tablas!$G$19, 0, IF(AND(AR612&gt;=Tablas!$G$19, AR612&lt;Tablas!$G$20), 1,  IF(AND(AR612&gt;=Tablas!$G$20, AR612&lt;Tablas!$G$21), 2,  IF(AND(AR612&gt;=Tablas!$G$21, AR612&lt;=Tablas!$G$22), 3,  ""))))</f>
        <v/>
      </c>
      <c r="AV612" s="97" t="str">
        <f t="shared" si="1056"/>
        <v/>
      </c>
      <c r="AW612" s="103" t="str">
        <f t="shared" si="1057"/>
        <v/>
      </c>
      <c r="AX612" s="176" t="str">
        <f t="shared" ref="AX612" si="1060">IFERROR(VLOOKUP(AY612, tabla04, 2, 0), "")</f>
        <v/>
      </c>
      <c r="AY612" s="168" t="str">
        <f>IF(F612="", "", IF((F612-MAX(AV612:AV616))&lt;=0, 1, F612-MAX(AV612:AV616)))</f>
        <v/>
      </c>
      <c r="AZ612" s="178" t="str">
        <f t="shared" ref="AZ612" si="1061">IFERROR(VLOOKUP(BA612, tabla04, 3, 0), "")</f>
        <v/>
      </c>
      <c r="BA612" s="168" t="str">
        <f>IF(Q612="", "", IF((Q612-MAX(AW612:AW616))&lt;=0, 1, Q612-MAX(AW612:AW616)))</f>
        <v/>
      </c>
      <c r="BB612" s="182"/>
      <c r="BC612" s="182"/>
      <c r="BD612" s="185"/>
      <c r="BE612" s="185"/>
      <c r="BF612" s="158" t="str">
        <f t="shared" ref="BF612:BF614" si="1062">IFERROR(VLOOKUP(CONCATENATE(AY612, "-", BA612), cuadrante_sev, 3, 0), "")</f>
        <v/>
      </c>
      <c r="BG612" s="191"/>
    </row>
    <row r="613" spans="1:59" x14ac:dyDescent="0.25">
      <c r="A613" s="167"/>
      <c r="B613" s="167"/>
      <c r="C613" s="161"/>
      <c r="D613" s="160"/>
      <c r="E613" s="162"/>
      <c r="F613" s="164"/>
      <c r="G613" s="161"/>
      <c r="H613" s="161"/>
      <c r="I613" s="161"/>
      <c r="J613" s="161"/>
      <c r="K613" s="161"/>
      <c r="L613" s="166"/>
      <c r="M613" s="166"/>
      <c r="N613" s="166"/>
      <c r="O613" s="166"/>
      <c r="P613" s="166"/>
      <c r="Q613" s="166"/>
      <c r="R613" s="166"/>
      <c r="S613" s="167"/>
      <c r="T613" s="167"/>
      <c r="U613" s="167"/>
      <c r="V613" s="167"/>
      <c r="W613" s="167"/>
      <c r="X613" s="164"/>
      <c r="Y613" s="164"/>
      <c r="Z613" s="172"/>
      <c r="AA613" s="188"/>
      <c r="AB613" s="172"/>
      <c r="AC613" s="172"/>
      <c r="AD613" s="175"/>
      <c r="AE613" s="62" t="s">
        <v>114</v>
      </c>
      <c r="AF613" s="133"/>
      <c r="AG613" s="65"/>
      <c r="AH613" s="64"/>
      <c r="AI613" s="64"/>
      <c r="AJ613" s="64"/>
      <c r="AK613" s="64"/>
      <c r="AL613" s="64"/>
      <c r="AM613" s="80" t="str">
        <f>IFERROR((Tablas!$C$1*VLOOKUP(AH613, tipo_control, 2, 0)+Tablas!$E$1*VLOOKUP(AI613, nat_control, 2, 0)+Tablas!$G$1*VLOOKUP(AJ613, ev_control, 2, 0)+Tablas!$I$1*VLOOKUP(AK613, frec_control, 2, 0)+Tablas!$K$1*VLOOKUP(AL613, doc_control, 2, 0))*0.1*peso_dis, "")</f>
        <v/>
      </c>
      <c r="AN613" s="64"/>
      <c r="AO613" s="64"/>
      <c r="AP613" s="64"/>
      <c r="AQ613" s="80" t="str">
        <f>IFERROR((Tablas!$C$9*VLOOKUP(AN613, amb_control, 2, 0)+Tablas!$E$9*VLOOKUP(AO613, ejec_control, 2, 0)+Tablas!$G$9*VLOOKUP(AP613, cub_control, 2, 0))*0.1*peso_ejec, "")</f>
        <v/>
      </c>
      <c r="AR613" s="91" t="str">
        <f t="shared" si="1055"/>
        <v/>
      </c>
      <c r="AS613" s="85" t="str">
        <f t="shared" si="1030"/>
        <v/>
      </c>
      <c r="AT613" s="85" t="str">
        <f t="shared" si="1031"/>
        <v/>
      </c>
      <c r="AU613" s="85" t="str">
        <f>IF(AR613&lt;Tablas!$G$19, 0, IF(AND(AR613&gt;=Tablas!$G$19, AR613&lt;Tablas!$G$20), 1,  IF(AND(AR613&gt;=Tablas!$G$20, AR613&lt;Tablas!$G$21), 2,  IF(AND(AR613&gt;=Tablas!$G$21, AR613&lt;=Tablas!$G$22), 3,  ""))))</f>
        <v/>
      </c>
      <c r="AV613" s="85" t="str">
        <f t="shared" si="1056"/>
        <v/>
      </c>
      <c r="AW613" s="101" t="str">
        <f t="shared" si="1057"/>
        <v/>
      </c>
      <c r="AX613" s="177"/>
      <c r="AY613" s="169"/>
      <c r="AZ613" s="158"/>
      <c r="BA613" s="169"/>
      <c r="BB613" s="182"/>
      <c r="BC613" s="182"/>
      <c r="BD613" s="185"/>
      <c r="BE613" s="185"/>
      <c r="BF613" s="158" t="str">
        <f t="shared" si="1062"/>
        <v/>
      </c>
      <c r="BG613" s="191"/>
    </row>
    <row r="614" spans="1:59" x14ac:dyDescent="0.25">
      <c r="A614" s="167"/>
      <c r="B614" s="167"/>
      <c r="C614" s="161"/>
      <c r="D614" s="160"/>
      <c r="E614" s="162"/>
      <c r="F614" s="164"/>
      <c r="G614" s="161"/>
      <c r="H614" s="161"/>
      <c r="I614" s="161"/>
      <c r="J614" s="161"/>
      <c r="K614" s="161"/>
      <c r="L614" s="166"/>
      <c r="M614" s="166"/>
      <c r="N614" s="166"/>
      <c r="O614" s="166"/>
      <c r="P614" s="166"/>
      <c r="Q614" s="166"/>
      <c r="R614" s="166"/>
      <c r="S614" s="167"/>
      <c r="T614" s="167"/>
      <c r="U614" s="167"/>
      <c r="V614" s="167"/>
      <c r="W614" s="167"/>
      <c r="X614" s="164"/>
      <c r="Y614" s="164"/>
      <c r="Z614" s="172"/>
      <c r="AA614" s="188"/>
      <c r="AB614" s="172"/>
      <c r="AC614" s="172"/>
      <c r="AD614" s="175"/>
      <c r="AE614" s="62" t="s">
        <v>115</v>
      </c>
      <c r="AF614" s="133"/>
      <c r="AG614" s="65"/>
      <c r="AH614" s="64"/>
      <c r="AI614" s="64"/>
      <c r="AJ614" s="64"/>
      <c r="AK614" s="64"/>
      <c r="AL614" s="64"/>
      <c r="AM614" s="80" t="str">
        <f>IFERROR((Tablas!$C$1*VLOOKUP(AH614, tipo_control, 2, 0)+Tablas!$E$1*VLOOKUP(AI614, nat_control, 2, 0)+Tablas!$G$1*VLOOKUP(AJ614, ev_control, 2, 0)+Tablas!$I$1*VLOOKUP(AK614, frec_control, 2, 0)+Tablas!$K$1*VLOOKUP(AL614, doc_control, 2, 0))*0.1*peso_dis, "")</f>
        <v/>
      </c>
      <c r="AN614" s="64"/>
      <c r="AO614" s="64"/>
      <c r="AP614" s="64"/>
      <c r="AQ614" s="80" t="str">
        <f>IFERROR((Tablas!$C$9*VLOOKUP(AN614, amb_control, 2, 0)+Tablas!$E$9*VLOOKUP(AO614, ejec_control, 2, 0)+Tablas!$G$9*VLOOKUP(AP614, cub_control, 2, 0))*0.1*peso_ejec, "")</f>
        <v/>
      </c>
      <c r="AR614" s="91" t="str">
        <f t="shared" si="1055"/>
        <v/>
      </c>
      <c r="AS614" s="85" t="str">
        <f t="shared" si="1030"/>
        <v/>
      </c>
      <c r="AT614" s="85" t="str">
        <f t="shared" si="1031"/>
        <v/>
      </c>
      <c r="AU614" s="85" t="str">
        <f>IF(AR614&lt;Tablas!$G$19, 0, IF(AND(AR614&gt;=Tablas!$G$19, AR614&lt;Tablas!$G$20), 1,  IF(AND(AR614&gt;=Tablas!$G$20, AR614&lt;Tablas!$G$21), 2,  IF(AND(AR614&gt;=Tablas!$G$21, AR614&lt;=Tablas!$G$22), 3,  ""))))</f>
        <v/>
      </c>
      <c r="AV614" s="85" t="str">
        <f t="shared" si="1056"/>
        <v/>
      </c>
      <c r="AW614" s="101" t="str">
        <f t="shared" si="1057"/>
        <v/>
      </c>
      <c r="AX614" s="177"/>
      <c r="AY614" s="169"/>
      <c r="AZ614" s="158"/>
      <c r="BA614" s="169"/>
      <c r="BB614" s="182"/>
      <c r="BC614" s="182"/>
      <c r="BD614" s="185"/>
      <c r="BE614" s="185"/>
      <c r="BF614" s="158" t="str">
        <f t="shared" si="1062"/>
        <v/>
      </c>
      <c r="BG614" s="191"/>
    </row>
    <row r="615" spans="1:59" x14ac:dyDescent="0.25">
      <c r="A615" s="167"/>
      <c r="B615" s="167"/>
      <c r="C615" s="161"/>
      <c r="D615" s="160"/>
      <c r="E615" s="162"/>
      <c r="F615" s="164"/>
      <c r="G615" s="161"/>
      <c r="H615" s="161"/>
      <c r="I615" s="161"/>
      <c r="J615" s="161"/>
      <c r="K615" s="161"/>
      <c r="L615" s="166"/>
      <c r="M615" s="166"/>
      <c r="N615" s="166"/>
      <c r="O615" s="166"/>
      <c r="P615" s="166"/>
      <c r="Q615" s="166"/>
      <c r="R615" s="166"/>
      <c r="S615" s="167"/>
      <c r="T615" s="167"/>
      <c r="U615" s="167"/>
      <c r="V615" s="167"/>
      <c r="W615" s="167"/>
      <c r="X615" s="164"/>
      <c r="Y615" s="164"/>
      <c r="Z615" s="172"/>
      <c r="AA615" s="188"/>
      <c r="AB615" s="172"/>
      <c r="AC615" s="172"/>
      <c r="AD615" s="175"/>
      <c r="AE615" s="62" t="s">
        <v>153</v>
      </c>
      <c r="AF615" s="133"/>
      <c r="AG615" s="65"/>
      <c r="AH615" s="64"/>
      <c r="AI615" s="64"/>
      <c r="AJ615" s="64"/>
      <c r="AK615" s="64"/>
      <c r="AL615" s="64"/>
      <c r="AM615" s="80" t="str">
        <f>IFERROR((Tablas!$C$1*VLOOKUP(AH615, tipo_control, 2, 0)+Tablas!$E$1*VLOOKUP(AI615, nat_control, 2, 0)+Tablas!$G$1*VLOOKUP(AJ615, ev_control, 2, 0)+Tablas!$I$1*VLOOKUP(AK615, frec_control, 2, 0)+Tablas!$K$1*VLOOKUP(AL615, doc_control, 2, 0))*0.1*peso_dis, "")</f>
        <v/>
      </c>
      <c r="AN615" s="64"/>
      <c r="AO615" s="64"/>
      <c r="AP615" s="64"/>
      <c r="AQ615" s="80" t="str">
        <f>IFERROR((Tablas!$C$9*VLOOKUP(AN615, amb_control, 2, 0)+Tablas!$E$9*VLOOKUP(AO615, ejec_control, 2, 0)+Tablas!$G$9*VLOOKUP(AP615, cub_control, 2, 0))*0.1*peso_ejec, "")</f>
        <v/>
      </c>
      <c r="AR615" s="91" t="str">
        <f t="shared" si="1055"/>
        <v/>
      </c>
      <c r="AS615" s="85" t="str">
        <f t="shared" si="1030"/>
        <v/>
      </c>
      <c r="AT615" s="85" t="str">
        <f t="shared" si="1031"/>
        <v/>
      </c>
      <c r="AU615" s="85" t="str">
        <f>IF(AR615&lt;Tablas!$G$19, 0, IF(AND(AR615&gt;=Tablas!$G$19, AR615&lt;Tablas!$G$20), 1,  IF(AND(AR615&gt;=Tablas!$G$20, AR615&lt;Tablas!$G$21), 2,  IF(AND(AR615&gt;=Tablas!$G$21, AR615&lt;=Tablas!$G$22), 3,  ""))))</f>
        <v/>
      </c>
      <c r="AV615" s="85" t="str">
        <f t="shared" si="1056"/>
        <v/>
      </c>
      <c r="AW615" s="101" t="str">
        <f t="shared" si="1057"/>
        <v/>
      </c>
      <c r="AX615" s="177"/>
      <c r="AY615" s="169"/>
      <c r="AZ615" s="158"/>
      <c r="BA615" s="169"/>
      <c r="BB615" s="182"/>
      <c r="BC615" s="182"/>
      <c r="BD615" s="185"/>
      <c r="BE615" s="185"/>
      <c r="BF615" s="158"/>
      <c r="BG615" s="191"/>
    </row>
    <row r="616" spans="1:59" ht="15.75" thickBot="1" x14ac:dyDescent="0.3">
      <c r="A616" s="167"/>
      <c r="B616" s="167"/>
      <c r="C616" s="161"/>
      <c r="D616" s="160"/>
      <c r="E616" s="162"/>
      <c r="F616" s="165"/>
      <c r="G616" s="161"/>
      <c r="H616" s="161"/>
      <c r="I616" s="161"/>
      <c r="J616" s="161"/>
      <c r="K616" s="161"/>
      <c r="L616" s="166"/>
      <c r="M616" s="166"/>
      <c r="N616" s="166"/>
      <c r="O616" s="166"/>
      <c r="P616" s="166"/>
      <c r="Q616" s="166"/>
      <c r="R616" s="166"/>
      <c r="S616" s="149"/>
      <c r="T616" s="149"/>
      <c r="U616" s="149"/>
      <c r="V616" s="149"/>
      <c r="W616" s="149"/>
      <c r="X616" s="165"/>
      <c r="Y616" s="165"/>
      <c r="Z616" s="172"/>
      <c r="AA616" s="188"/>
      <c r="AB616" s="172"/>
      <c r="AC616" s="172"/>
      <c r="AD616" s="175"/>
      <c r="AE616" s="66" t="s">
        <v>154</v>
      </c>
      <c r="AF616" s="134"/>
      <c r="AG616" s="67"/>
      <c r="AH616" s="69"/>
      <c r="AI616" s="69"/>
      <c r="AJ616" s="69"/>
      <c r="AK616" s="69"/>
      <c r="AL616" s="69"/>
      <c r="AM616" s="81" t="str">
        <f>IFERROR((Tablas!$C$1*VLOOKUP(AH616, tipo_control, 2, 0)+Tablas!$E$1*VLOOKUP(AI616, nat_control, 2, 0)+Tablas!$G$1*VLOOKUP(AJ616, ev_control, 2, 0)+Tablas!$I$1*VLOOKUP(AK616, frec_control, 2, 0)+Tablas!$K$1*VLOOKUP(AL616, doc_control, 2, 0))*0.1*peso_dis, "")</f>
        <v/>
      </c>
      <c r="AN616" s="69"/>
      <c r="AO616" s="69"/>
      <c r="AP616" s="69"/>
      <c r="AQ616" s="81" t="str">
        <f>IFERROR((Tablas!$C$9*VLOOKUP(AN616, amb_control, 2, 0)+Tablas!$E$9*VLOOKUP(AO616, ejec_control, 2, 0)+Tablas!$G$9*VLOOKUP(AP616, cub_control, 2, 0))*0.1*peso_ejec, "")</f>
        <v/>
      </c>
      <c r="AR616" s="93" t="str">
        <f t="shared" si="1055"/>
        <v/>
      </c>
      <c r="AS616" s="94" t="str">
        <f t="shared" si="1030"/>
        <v/>
      </c>
      <c r="AT616" s="94" t="str">
        <f t="shared" si="1031"/>
        <v/>
      </c>
      <c r="AU616" s="94" t="str">
        <f>IF(AR616&lt;Tablas!$G$19, 0, IF(AND(AR616&gt;=Tablas!$G$19, AR616&lt;Tablas!$G$20), 1,  IF(AND(AR616&gt;=Tablas!$G$20, AR616&lt;Tablas!$G$21), 2,  IF(AND(AR616&gt;=Tablas!$G$21, AR616&lt;=Tablas!$G$22), 3,  ""))))</f>
        <v/>
      </c>
      <c r="AV616" s="94" t="str">
        <f t="shared" si="1056"/>
        <v/>
      </c>
      <c r="AW616" s="102" t="str">
        <f t="shared" si="1057"/>
        <v/>
      </c>
      <c r="AX616" s="157"/>
      <c r="AY616" s="170"/>
      <c r="AZ616" s="179"/>
      <c r="BA616" s="170"/>
      <c r="BB616" s="182"/>
      <c r="BC616" s="182"/>
      <c r="BD616" s="185"/>
      <c r="BE616" s="185"/>
      <c r="BF616" s="159"/>
      <c r="BG616" s="191"/>
    </row>
    <row r="617" spans="1:59" x14ac:dyDescent="0.25">
      <c r="A617" s="167"/>
      <c r="B617" s="167"/>
      <c r="C617" s="161" t="s">
        <v>16</v>
      </c>
      <c r="D617" s="160" t="s">
        <v>158</v>
      </c>
      <c r="E617" s="162"/>
      <c r="F617" s="163" t="str">
        <f t="shared" si="1019"/>
        <v/>
      </c>
      <c r="G617" s="149"/>
      <c r="H617" s="149"/>
      <c r="I617" s="149"/>
      <c r="J617" s="149"/>
      <c r="K617" s="149"/>
      <c r="L617" s="165" t="str">
        <f>IFERROR(VLOOKUP(G617, tabla02, 2, 0), "")</f>
        <v/>
      </c>
      <c r="M617" s="165" t="str">
        <f>IFERROR(VLOOKUP(H617, tabla02, 2, 0), "")</f>
        <v/>
      </c>
      <c r="N617" s="165" t="str">
        <f>IFERROR(VLOOKUP(I617, tabla02, 2, 0), "")</f>
        <v/>
      </c>
      <c r="O617" s="165" t="str">
        <f>IFERROR(VLOOKUP(J617, tabla02, 2, 0), "")</f>
        <v/>
      </c>
      <c r="P617" s="165" t="str">
        <f>IFERROR(VLOOKUP(K617, tabla02, 2, 0), "")</f>
        <v/>
      </c>
      <c r="Q617" s="165" t="str">
        <f t="shared" ref="Q617" si="1063">IF(SUM(L617:O621)=0, "", MAX(L617:P617))</f>
        <v/>
      </c>
      <c r="R617" s="165" t="str">
        <f>IFERROR(VLOOKUP(Q617, tabla04, 3, 0), "")</f>
        <v/>
      </c>
      <c r="S617" s="148"/>
      <c r="T617" s="148"/>
      <c r="U617" s="148"/>
      <c r="V617" s="148"/>
      <c r="W617" s="148"/>
      <c r="X617" s="163" t="str">
        <f>IFERROR(VLOOKUP(CONCATENATE(F617, "-", Q617), cuadrante_sev, 3, 0), "")</f>
        <v/>
      </c>
      <c r="Y617" s="163" t="str">
        <f t="shared" ref="Y617" si="1064">IFERROR(IF(X617="Baja", 1, IF(X617="Moderada", 2, IF(X617="Alta", 3, IF(X617="Extrema", 4, "")))), "")</f>
        <v/>
      </c>
      <c r="Z617" s="172"/>
      <c r="AA617" s="188"/>
      <c r="AB617" s="172"/>
      <c r="AC617" s="172"/>
      <c r="AD617" s="175"/>
      <c r="AE617" s="70" t="s">
        <v>113</v>
      </c>
      <c r="AF617" s="135"/>
      <c r="AG617" s="77"/>
      <c r="AH617" s="61"/>
      <c r="AI617" s="61"/>
      <c r="AJ617" s="61"/>
      <c r="AK617" s="61"/>
      <c r="AL617" s="61"/>
      <c r="AM617" s="82" t="str">
        <f>IFERROR((Tablas!$C$1*VLOOKUP(AH617, tipo_control, 2, 0)+Tablas!$E$1*VLOOKUP(AI617, nat_control, 2, 0)+Tablas!$G$1*VLOOKUP(AJ617, ev_control, 2, 0)+Tablas!$I$1*VLOOKUP(AK617, frec_control, 2, 0)+Tablas!$K$1*VLOOKUP(AL617, doc_control, 2, 0))*0.1*peso_dis, "")</f>
        <v/>
      </c>
      <c r="AN617" s="61"/>
      <c r="AO617" s="61"/>
      <c r="AP617" s="61"/>
      <c r="AQ617" s="82" t="str">
        <f>IFERROR((Tablas!$C$9*VLOOKUP(AN617, amb_control, 2, 0)+Tablas!$E$9*VLOOKUP(AO617, ejec_control, 2, 0)+Tablas!$G$9*VLOOKUP(AP617, cub_control, 2, 0))*0.1*peso_ejec, "")</f>
        <v/>
      </c>
      <c r="AR617" s="96" t="str">
        <f t="shared" si="1055"/>
        <v/>
      </c>
      <c r="AS617" s="97" t="str">
        <f t="shared" si="1030"/>
        <v/>
      </c>
      <c r="AT617" s="87" t="str">
        <f t="shared" si="1031"/>
        <v/>
      </c>
      <c r="AU617" s="97" t="str">
        <f>IF(AR617&lt;Tablas!$G$19, 0, IF(AND(AR617&gt;=Tablas!$G$19, AR617&lt;Tablas!$G$20), 1,  IF(AND(AR617&gt;=Tablas!$G$20, AR617&lt;Tablas!$G$21), 2,  IF(AND(AR617&gt;=Tablas!$G$21, AR617&lt;=Tablas!$G$22), 3,  ""))))</f>
        <v/>
      </c>
      <c r="AV617" s="97" t="str">
        <f t="shared" si="1056"/>
        <v/>
      </c>
      <c r="AW617" s="103" t="str">
        <f t="shared" si="1057"/>
        <v/>
      </c>
      <c r="AX617" s="176" t="str">
        <f t="shared" ref="AX617" si="1065">IFERROR(VLOOKUP(AY617, tabla04, 2, 0), "")</f>
        <v/>
      </c>
      <c r="AY617" s="168" t="str">
        <f>IF(F617="", "", IF((F617-MAX(AV617:AV621))&lt;=0, 1, F617-MAX(AV617:AV621)))</f>
        <v/>
      </c>
      <c r="AZ617" s="178" t="str">
        <f t="shared" ref="AZ617" si="1066">IFERROR(VLOOKUP(BA617, tabla04, 3, 0), "")</f>
        <v/>
      </c>
      <c r="BA617" s="168" t="str">
        <f>IF(Q617="", "", IF((Q617-MAX(AW617:AW621))&lt;=0, 1, Q617-MAX(AW617:AW621)))</f>
        <v/>
      </c>
      <c r="BB617" s="182"/>
      <c r="BC617" s="182"/>
      <c r="BD617" s="185"/>
      <c r="BE617" s="185"/>
      <c r="BF617" s="158" t="str">
        <f t="shared" ref="BF617:BF619" si="1067">IFERROR(VLOOKUP(CONCATENATE(AY617, "-", BA617), cuadrante_sev, 3, 0), "")</f>
        <v/>
      </c>
      <c r="BG617" s="191"/>
    </row>
    <row r="618" spans="1:59" x14ac:dyDescent="0.25">
      <c r="A618" s="167"/>
      <c r="B618" s="167"/>
      <c r="C618" s="161"/>
      <c r="D618" s="160"/>
      <c r="E618" s="162"/>
      <c r="F618" s="164"/>
      <c r="G618" s="161"/>
      <c r="H618" s="161"/>
      <c r="I618" s="161"/>
      <c r="J618" s="161"/>
      <c r="K618" s="161"/>
      <c r="L618" s="166"/>
      <c r="M618" s="166"/>
      <c r="N618" s="166"/>
      <c r="O618" s="166"/>
      <c r="P618" s="166"/>
      <c r="Q618" s="166"/>
      <c r="R618" s="166"/>
      <c r="S618" s="167"/>
      <c r="T618" s="167"/>
      <c r="U618" s="167"/>
      <c r="V618" s="167"/>
      <c r="W618" s="167"/>
      <c r="X618" s="164"/>
      <c r="Y618" s="164"/>
      <c r="Z618" s="172"/>
      <c r="AA618" s="188"/>
      <c r="AB618" s="172"/>
      <c r="AC618" s="172"/>
      <c r="AD618" s="175"/>
      <c r="AE618" s="62" t="s">
        <v>114</v>
      </c>
      <c r="AF618" s="133"/>
      <c r="AG618" s="65"/>
      <c r="AH618" s="64"/>
      <c r="AI618" s="64"/>
      <c r="AJ618" s="64"/>
      <c r="AK618" s="64"/>
      <c r="AL618" s="64"/>
      <c r="AM618" s="80" t="str">
        <f>IFERROR((Tablas!$C$1*VLOOKUP(AH618, tipo_control, 2, 0)+Tablas!$E$1*VLOOKUP(AI618, nat_control, 2, 0)+Tablas!$G$1*VLOOKUP(AJ618, ev_control, 2, 0)+Tablas!$I$1*VLOOKUP(AK618, frec_control, 2, 0)+Tablas!$K$1*VLOOKUP(AL618, doc_control, 2, 0))*0.1*peso_dis, "")</f>
        <v/>
      </c>
      <c r="AN618" s="64"/>
      <c r="AO618" s="64"/>
      <c r="AP618" s="64"/>
      <c r="AQ618" s="80" t="str">
        <f>IFERROR((Tablas!$C$9*VLOOKUP(AN618, amb_control, 2, 0)+Tablas!$E$9*VLOOKUP(AO618, ejec_control, 2, 0)+Tablas!$G$9*VLOOKUP(AP618, cub_control, 2, 0))*0.1*peso_ejec, "")</f>
        <v/>
      </c>
      <c r="AR618" s="91" t="str">
        <f t="shared" si="1055"/>
        <v/>
      </c>
      <c r="AS618" s="85" t="str">
        <f t="shared" si="1030"/>
        <v/>
      </c>
      <c r="AT618" s="85" t="str">
        <f t="shared" si="1031"/>
        <v/>
      </c>
      <c r="AU618" s="85" t="str">
        <f>IF(AR618&lt;Tablas!$G$19, 0, IF(AND(AR618&gt;=Tablas!$G$19, AR618&lt;Tablas!$G$20), 1,  IF(AND(AR618&gt;=Tablas!$G$20, AR618&lt;Tablas!$G$21), 2,  IF(AND(AR618&gt;=Tablas!$G$21, AR618&lt;=Tablas!$G$22), 3,  ""))))</f>
        <v/>
      </c>
      <c r="AV618" s="85" t="str">
        <f t="shared" si="1056"/>
        <v/>
      </c>
      <c r="AW618" s="101" t="str">
        <f t="shared" si="1057"/>
        <v/>
      </c>
      <c r="AX618" s="177"/>
      <c r="AY618" s="169"/>
      <c r="AZ618" s="158"/>
      <c r="BA618" s="169"/>
      <c r="BB618" s="182"/>
      <c r="BC618" s="182"/>
      <c r="BD618" s="185"/>
      <c r="BE618" s="185"/>
      <c r="BF618" s="158" t="str">
        <f t="shared" si="1067"/>
        <v/>
      </c>
      <c r="BG618" s="191"/>
    </row>
    <row r="619" spans="1:59" x14ac:dyDescent="0.25">
      <c r="A619" s="167"/>
      <c r="B619" s="167"/>
      <c r="C619" s="161"/>
      <c r="D619" s="160"/>
      <c r="E619" s="162"/>
      <c r="F619" s="164"/>
      <c r="G619" s="161"/>
      <c r="H619" s="161"/>
      <c r="I619" s="161"/>
      <c r="J619" s="161"/>
      <c r="K619" s="161"/>
      <c r="L619" s="166"/>
      <c r="M619" s="166"/>
      <c r="N619" s="166"/>
      <c r="O619" s="166"/>
      <c r="P619" s="166"/>
      <c r="Q619" s="166"/>
      <c r="R619" s="166"/>
      <c r="S619" s="167"/>
      <c r="T619" s="167"/>
      <c r="U619" s="167"/>
      <c r="V619" s="167"/>
      <c r="W619" s="167"/>
      <c r="X619" s="164"/>
      <c r="Y619" s="164"/>
      <c r="Z619" s="172"/>
      <c r="AA619" s="188"/>
      <c r="AB619" s="172"/>
      <c r="AC619" s="172"/>
      <c r="AD619" s="175"/>
      <c r="AE619" s="62" t="s">
        <v>115</v>
      </c>
      <c r="AF619" s="133"/>
      <c r="AG619" s="65"/>
      <c r="AH619" s="64"/>
      <c r="AI619" s="64"/>
      <c r="AJ619" s="64"/>
      <c r="AK619" s="64"/>
      <c r="AL619" s="64"/>
      <c r="AM619" s="80" t="str">
        <f>IFERROR((Tablas!$C$1*VLOOKUP(AH619, tipo_control, 2, 0)+Tablas!$E$1*VLOOKUP(AI619, nat_control, 2, 0)+Tablas!$G$1*VLOOKUP(AJ619, ev_control, 2, 0)+Tablas!$I$1*VLOOKUP(AK619, frec_control, 2, 0)+Tablas!$K$1*VLOOKUP(AL619, doc_control, 2, 0))*0.1*peso_dis, "")</f>
        <v/>
      </c>
      <c r="AN619" s="64"/>
      <c r="AO619" s="64"/>
      <c r="AP619" s="64"/>
      <c r="AQ619" s="80" t="str">
        <f>IFERROR((Tablas!$C$9*VLOOKUP(AN619, amb_control, 2, 0)+Tablas!$E$9*VLOOKUP(AO619, ejec_control, 2, 0)+Tablas!$G$9*VLOOKUP(AP619, cub_control, 2, 0))*0.1*peso_ejec, "")</f>
        <v/>
      </c>
      <c r="AR619" s="91" t="str">
        <f t="shared" si="1055"/>
        <v/>
      </c>
      <c r="AS619" s="85" t="str">
        <f t="shared" si="1030"/>
        <v/>
      </c>
      <c r="AT619" s="85" t="str">
        <f t="shared" si="1031"/>
        <v/>
      </c>
      <c r="AU619" s="85" t="str">
        <f>IF(AR619&lt;Tablas!$G$19, 0, IF(AND(AR619&gt;=Tablas!$G$19, AR619&lt;Tablas!$G$20), 1,  IF(AND(AR619&gt;=Tablas!$G$20, AR619&lt;Tablas!$G$21), 2,  IF(AND(AR619&gt;=Tablas!$G$21, AR619&lt;=Tablas!$G$22), 3,  ""))))</f>
        <v/>
      </c>
      <c r="AV619" s="85" t="str">
        <f t="shared" si="1056"/>
        <v/>
      </c>
      <c r="AW619" s="101" t="str">
        <f t="shared" si="1057"/>
        <v/>
      </c>
      <c r="AX619" s="177"/>
      <c r="AY619" s="169"/>
      <c r="AZ619" s="158"/>
      <c r="BA619" s="169"/>
      <c r="BB619" s="182"/>
      <c r="BC619" s="182"/>
      <c r="BD619" s="185"/>
      <c r="BE619" s="185"/>
      <c r="BF619" s="158" t="str">
        <f t="shared" si="1067"/>
        <v/>
      </c>
      <c r="BG619" s="191"/>
    </row>
    <row r="620" spans="1:59" x14ac:dyDescent="0.25">
      <c r="A620" s="167"/>
      <c r="B620" s="167"/>
      <c r="C620" s="161"/>
      <c r="D620" s="160"/>
      <c r="E620" s="162"/>
      <c r="F620" s="164"/>
      <c r="G620" s="161"/>
      <c r="H620" s="161"/>
      <c r="I620" s="161"/>
      <c r="J620" s="161"/>
      <c r="K620" s="161"/>
      <c r="L620" s="166"/>
      <c r="M620" s="166"/>
      <c r="N620" s="166"/>
      <c r="O620" s="166"/>
      <c r="P620" s="166"/>
      <c r="Q620" s="166"/>
      <c r="R620" s="166"/>
      <c r="S620" s="167"/>
      <c r="T620" s="167"/>
      <c r="U620" s="167"/>
      <c r="V620" s="167"/>
      <c r="W620" s="167"/>
      <c r="X620" s="164"/>
      <c r="Y620" s="164"/>
      <c r="Z620" s="172"/>
      <c r="AA620" s="188"/>
      <c r="AB620" s="172"/>
      <c r="AC620" s="172"/>
      <c r="AD620" s="175"/>
      <c r="AE620" s="62" t="s">
        <v>153</v>
      </c>
      <c r="AF620" s="133"/>
      <c r="AG620" s="65"/>
      <c r="AH620" s="64"/>
      <c r="AI620" s="64"/>
      <c r="AJ620" s="64"/>
      <c r="AK620" s="64"/>
      <c r="AL620" s="64"/>
      <c r="AM620" s="80" t="str">
        <f>IFERROR((Tablas!$C$1*VLOOKUP(AH620, tipo_control, 2, 0)+Tablas!$E$1*VLOOKUP(AI620, nat_control, 2, 0)+Tablas!$G$1*VLOOKUP(AJ620, ev_control, 2, 0)+Tablas!$I$1*VLOOKUP(AK620, frec_control, 2, 0)+Tablas!$K$1*VLOOKUP(AL620, doc_control, 2, 0))*0.1*peso_dis, "")</f>
        <v/>
      </c>
      <c r="AN620" s="64"/>
      <c r="AO620" s="64"/>
      <c r="AP620" s="64"/>
      <c r="AQ620" s="80" t="str">
        <f>IFERROR((Tablas!$C$9*VLOOKUP(AN620, amb_control, 2, 0)+Tablas!$E$9*VLOOKUP(AO620, ejec_control, 2, 0)+Tablas!$G$9*VLOOKUP(AP620, cub_control, 2, 0))*0.1*peso_ejec, "")</f>
        <v/>
      </c>
      <c r="AR620" s="91" t="str">
        <f t="shared" si="1055"/>
        <v/>
      </c>
      <c r="AS620" s="85" t="str">
        <f t="shared" si="1030"/>
        <v/>
      </c>
      <c r="AT620" s="85" t="str">
        <f t="shared" si="1031"/>
        <v/>
      </c>
      <c r="AU620" s="85" t="str">
        <f>IF(AR620&lt;Tablas!$G$19, 0, IF(AND(AR620&gt;=Tablas!$G$19, AR620&lt;Tablas!$G$20), 1,  IF(AND(AR620&gt;=Tablas!$G$20, AR620&lt;Tablas!$G$21), 2,  IF(AND(AR620&gt;=Tablas!$G$21, AR620&lt;=Tablas!$G$22), 3,  ""))))</f>
        <v/>
      </c>
      <c r="AV620" s="85" t="str">
        <f t="shared" si="1056"/>
        <v/>
      </c>
      <c r="AW620" s="101" t="str">
        <f t="shared" si="1057"/>
        <v/>
      </c>
      <c r="AX620" s="177"/>
      <c r="AY620" s="169"/>
      <c r="AZ620" s="158"/>
      <c r="BA620" s="169"/>
      <c r="BB620" s="182"/>
      <c r="BC620" s="182"/>
      <c r="BD620" s="185"/>
      <c r="BE620" s="185"/>
      <c r="BF620" s="158"/>
      <c r="BG620" s="191"/>
    </row>
    <row r="621" spans="1:59" ht="15.75" thickBot="1" x14ac:dyDescent="0.3">
      <c r="A621" s="167"/>
      <c r="B621" s="167"/>
      <c r="C621" s="161"/>
      <c r="D621" s="160"/>
      <c r="E621" s="162"/>
      <c r="F621" s="165"/>
      <c r="G621" s="161"/>
      <c r="H621" s="161"/>
      <c r="I621" s="161"/>
      <c r="J621" s="161"/>
      <c r="K621" s="161"/>
      <c r="L621" s="166"/>
      <c r="M621" s="166"/>
      <c r="N621" s="166"/>
      <c r="O621" s="166"/>
      <c r="P621" s="166"/>
      <c r="Q621" s="166"/>
      <c r="R621" s="166"/>
      <c r="S621" s="149"/>
      <c r="T621" s="149"/>
      <c r="U621" s="149"/>
      <c r="V621" s="149"/>
      <c r="W621" s="149"/>
      <c r="X621" s="165"/>
      <c r="Y621" s="165"/>
      <c r="Z621" s="172"/>
      <c r="AA621" s="188"/>
      <c r="AB621" s="172"/>
      <c r="AC621" s="172"/>
      <c r="AD621" s="175"/>
      <c r="AE621" s="66" t="s">
        <v>154</v>
      </c>
      <c r="AF621" s="134"/>
      <c r="AG621" s="67"/>
      <c r="AH621" s="69"/>
      <c r="AI621" s="69"/>
      <c r="AJ621" s="69"/>
      <c r="AK621" s="69"/>
      <c r="AL621" s="69"/>
      <c r="AM621" s="81" t="str">
        <f>IFERROR((Tablas!$C$1*VLOOKUP(AH621, tipo_control, 2, 0)+Tablas!$E$1*VLOOKUP(AI621, nat_control, 2, 0)+Tablas!$G$1*VLOOKUP(AJ621, ev_control, 2, 0)+Tablas!$I$1*VLOOKUP(AK621, frec_control, 2, 0)+Tablas!$K$1*VLOOKUP(AL621, doc_control, 2, 0))*0.1*peso_dis, "")</f>
        <v/>
      </c>
      <c r="AN621" s="69"/>
      <c r="AO621" s="69"/>
      <c r="AP621" s="69"/>
      <c r="AQ621" s="81" t="str">
        <f>IFERROR((Tablas!$C$9*VLOOKUP(AN621, amb_control, 2, 0)+Tablas!$E$9*VLOOKUP(AO621, ejec_control, 2, 0)+Tablas!$G$9*VLOOKUP(AP621, cub_control, 2, 0))*0.1*peso_ejec, "")</f>
        <v/>
      </c>
      <c r="AR621" s="93" t="str">
        <f t="shared" si="1055"/>
        <v/>
      </c>
      <c r="AS621" s="94" t="str">
        <f t="shared" si="1030"/>
        <v/>
      </c>
      <c r="AT621" s="94" t="str">
        <f t="shared" si="1031"/>
        <v/>
      </c>
      <c r="AU621" s="94" t="str">
        <f>IF(AR621&lt;Tablas!$G$19, 0, IF(AND(AR621&gt;=Tablas!$G$19, AR621&lt;Tablas!$G$20), 1,  IF(AND(AR621&gt;=Tablas!$G$20, AR621&lt;Tablas!$G$21), 2,  IF(AND(AR621&gt;=Tablas!$G$21, AR621&lt;=Tablas!$G$22), 3,  ""))))</f>
        <v/>
      </c>
      <c r="AV621" s="94" t="str">
        <f t="shared" si="1056"/>
        <v/>
      </c>
      <c r="AW621" s="102" t="str">
        <f t="shared" si="1057"/>
        <v/>
      </c>
      <c r="AX621" s="157"/>
      <c r="AY621" s="170"/>
      <c r="AZ621" s="179"/>
      <c r="BA621" s="170"/>
      <c r="BB621" s="182"/>
      <c r="BC621" s="182"/>
      <c r="BD621" s="185"/>
      <c r="BE621" s="185"/>
      <c r="BF621" s="159"/>
      <c r="BG621" s="191"/>
    </row>
    <row r="622" spans="1:59" x14ac:dyDescent="0.25">
      <c r="A622" s="167"/>
      <c r="B622" s="167"/>
      <c r="C622" s="161" t="s">
        <v>18</v>
      </c>
      <c r="D622" s="160" t="s">
        <v>158</v>
      </c>
      <c r="E622" s="162"/>
      <c r="F622" s="163" t="str">
        <f t="shared" si="1019"/>
        <v/>
      </c>
      <c r="G622" s="149"/>
      <c r="H622" s="149"/>
      <c r="I622" s="149"/>
      <c r="J622" s="149"/>
      <c r="K622" s="149"/>
      <c r="L622" s="165" t="str">
        <f t="shared" ref="L622" si="1068">IFERROR(VLOOKUP(G622, tabla02, 2, 0), "")</f>
        <v/>
      </c>
      <c r="M622" s="165" t="str">
        <f t="shared" ref="M622" si="1069">IFERROR(VLOOKUP(H622, tabla02, 2, 0), "")</f>
        <v/>
      </c>
      <c r="N622" s="165" t="str">
        <f t="shared" ref="N622" si="1070">IFERROR(VLOOKUP(I622, tabla02, 2, 0), "")</f>
        <v/>
      </c>
      <c r="O622" s="165" t="str">
        <f t="shared" ref="O622" si="1071">IFERROR(VLOOKUP(J622, tabla02, 2, 0), "")</f>
        <v/>
      </c>
      <c r="P622" s="165" t="str">
        <f t="shared" ref="P622" si="1072">IFERROR(VLOOKUP(K622, tabla02, 2, 0), "")</f>
        <v/>
      </c>
      <c r="Q622" s="165" t="str">
        <f t="shared" ref="Q622" si="1073">IF(SUM(L622:O626)=0, "", MAX(L622:P622))</f>
        <v/>
      </c>
      <c r="R622" s="165" t="str">
        <f>IFERROR(VLOOKUP(Q622, tabla04, 3, 0), "")</f>
        <v/>
      </c>
      <c r="S622" s="148"/>
      <c r="T622" s="148"/>
      <c r="U622" s="148"/>
      <c r="V622" s="148"/>
      <c r="W622" s="148"/>
      <c r="X622" s="163" t="str">
        <f>IFERROR(VLOOKUP(CONCATENATE(F622, "-", Q622), cuadrante_sev, 3, 0), "")</f>
        <v/>
      </c>
      <c r="Y622" s="163" t="str">
        <f t="shared" ref="Y622" si="1074">IFERROR(IF(X622="Baja", 1, IF(X622="Moderada", 2, IF(X622="Alta", 3, IF(X622="Extrema", 4, "")))), "")</f>
        <v/>
      </c>
      <c r="Z622" s="172"/>
      <c r="AA622" s="188"/>
      <c r="AB622" s="172"/>
      <c r="AC622" s="172"/>
      <c r="AD622" s="175"/>
      <c r="AE622" s="70" t="s">
        <v>113</v>
      </c>
      <c r="AF622" s="135"/>
      <c r="AG622" s="77"/>
      <c r="AH622" s="61"/>
      <c r="AI622" s="61"/>
      <c r="AJ622" s="61"/>
      <c r="AK622" s="61"/>
      <c r="AL622" s="61"/>
      <c r="AM622" s="82" t="str">
        <f>IFERROR((Tablas!$C$1*VLOOKUP(AH622, tipo_control, 2, 0)+Tablas!$E$1*VLOOKUP(AI622, nat_control, 2, 0)+Tablas!$G$1*VLOOKUP(AJ622, ev_control, 2, 0)+Tablas!$I$1*VLOOKUP(AK622, frec_control, 2, 0)+Tablas!$K$1*VLOOKUP(AL622, doc_control, 2, 0))*0.1*peso_dis, "")</f>
        <v/>
      </c>
      <c r="AN622" s="61"/>
      <c r="AO622" s="61"/>
      <c r="AP622" s="61"/>
      <c r="AQ622" s="82" t="str">
        <f>IFERROR((Tablas!$C$9*VLOOKUP(AN622, amb_control, 2, 0)+Tablas!$E$9*VLOOKUP(AO622, ejec_control, 2, 0)+Tablas!$G$9*VLOOKUP(AP622, cub_control, 2, 0))*0.1*peso_ejec, "")</f>
        <v/>
      </c>
      <c r="AR622" s="96" t="str">
        <f t="shared" si="1055"/>
        <v/>
      </c>
      <c r="AS622" s="97" t="str">
        <f t="shared" si="1030"/>
        <v/>
      </c>
      <c r="AT622" s="87" t="str">
        <f t="shared" si="1031"/>
        <v/>
      </c>
      <c r="AU622" s="97" t="str">
        <f>IF(AR622&lt;Tablas!$G$19, 0, IF(AND(AR622&gt;=Tablas!$G$19, AR622&lt;Tablas!$G$20), 1,  IF(AND(AR622&gt;=Tablas!$G$20, AR622&lt;Tablas!$G$21), 2,  IF(AND(AR622&gt;=Tablas!$G$21, AR622&lt;=Tablas!$G$22), 3,  ""))))</f>
        <v/>
      </c>
      <c r="AV622" s="97" t="str">
        <f t="shared" si="1056"/>
        <v/>
      </c>
      <c r="AW622" s="103" t="str">
        <f t="shared" si="1057"/>
        <v/>
      </c>
      <c r="AX622" s="176" t="str">
        <f t="shared" ref="AX622" si="1075">IFERROR(VLOOKUP(AY622, tabla04, 2, 0), "")</f>
        <v/>
      </c>
      <c r="AY622" s="168" t="str">
        <f>IF(F622="", "", IF((F622-MAX(AV622:AV626))&lt;=0, 1, F622-MAX(AV622:AV626)))</f>
        <v/>
      </c>
      <c r="AZ622" s="178" t="str">
        <f t="shared" ref="AZ622" si="1076">IFERROR(VLOOKUP(BA622, tabla04, 3, 0), "")</f>
        <v/>
      </c>
      <c r="BA622" s="168" t="str">
        <f>IF(Q622="", "", IF((Q622-MAX(AW622:AW626))&lt;=0, 1, Q622-MAX(AW622:AW626)))</f>
        <v/>
      </c>
      <c r="BB622" s="182"/>
      <c r="BC622" s="182"/>
      <c r="BD622" s="185"/>
      <c r="BE622" s="185"/>
      <c r="BF622" s="158" t="str">
        <f t="shared" ref="BF622:BF624" si="1077">IFERROR(VLOOKUP(CONCATENATE(AY622, "-", BA622), cuadrante_sev, 3, 0), "")</f>
        <v/>
      </c>
      <c r="BG622" s="191"/>
    </row>
    <row r="623" spans="1:59" x14ac:dyDescent="0.25">
      <c r="A623" s="167"/>
      <c r="B623" s="167"/>
      <c r="C623" s="161"/>
      <c r="D623" s="160"/>
      <c r="E623" s="162"/>
      <c r="F623" s="164"/>
      <c r="G623" s="161"/>
      <c r="H623" s="161"/>
      <c r="I623" s="161"/>
      <c r="J623" s="161"/>
      <c r="K623" s="161"/>
      <c r="L623" s="166"/>
      <c r="M623" s="166"/>
      <c r="N623" s="166"/>
      <c r="O623" s="166"/>
      <c r="P623" s="166"/>
      <c r="Q623" s="166"/>
      <c r="R623" s="166"/>
      <c r="S623" s="167"/>
      <c r="T623" s="167"/>
      <c r="U623" s="167"/>
      <c r="V623" s="167"/>
      <c r="W623" s="167"/>
      <c r="X623" s="164"/>
      <c r="Y623" s="164"/>
      <c r="Z623" s="172"/>
      <c r="AA623" s="188"/>
      <c r="AB623" s="172"/>
      <c r="AC623" s="172"/>
      <c r="AD623" s="175"/>
      <c r="AE623" s="62" t="s">
        <v>114</v>
      </c>
      <c r="AF623" s="133"/>
      <c r="AG623" s="65"/>
      <c r="AH623" s="64"/>
      <c r="AI623" s="64"/>
      <c r="AJ623" s="64"/>
      <c r="AK623" s="64"/>
      <c r="AL623" s="64"/>
      <c r="AM623" s="80" t="str">
        <f>IFERROR((Tablas!$C$1*VLOOKUP(AH623, tipo_control, 2, 0)+Tablas!$E$1*VLOOKUP(AI623, nat_control, 2, 0)+Tablas!$G$1*VLOOKUP(AJ623, ev_control, 2, 0)+Tablas!$I$1*VLOOKUP(AK623, frec_control, 2, 0)+Tablas!$K$1*VLOOKUP(AL623, doc_control, 2, 0))*0.1*peso_dis, "")</f>
        <v/>
      </c>
      <c r="AN623" s="64"/>
      <c r="AO623" s="64"/>
      <c r="AP623" s="64"/>
      <c r="AQ623" s="80" t="str">
        <f>IFERROR((Tablas!$C$9*VLOOKUP(AN623, amb_control, 2, 0)+Tablas!$E$9*VLOOKUP(AO623, ejec_control, 2, 0)+Tablas!$G$9*VLOOKUP(AP623, cub_control, 2, 0))*0.1*peso_ejec, "")</f>
        <v/>
      </c>
      <c r="AR623" s="91" t="str">
        <f t="shared" si="1055"/>
        <v/>
      </c>
      <c r="AS623" s="85" t="str">
        <f t="shared" si="1030"/>
        <v/>
      </c>
      <c r="AT623" s="85" t="str">
        <f t="shared" si="1031"/>
        <v/>
      </c>
      <c r="AU623" s="85" t="str">
        <f>IF(AR623&lt;Tablas!$G$19, 0, IF(AND(AR623&gt;=Tablas!$G$19, AR623&lt;Tablas!$G$20), 1,  IF(AND(AR623&gt;=Tablas!$G$20, AR623&lt;Tablas!$G$21), 2,  IF(AND(AR623&gt;=Tablas!$G$21, AR623&lt;=Tablas!$G$22), 3,  ""))))</f>
        <v/>
      </c>
      <c r="AV623" s="85" t="str">
        <f t="shared" si="1056"/>
        <v/>
      </c>
      <c r="AW623" s="101" t="str">
        <f t="shared" si="1057"/>
        <v/>
      </c>
      <c r="AX623" s="177"/>
      <c r="AY623" s="169"/>
      <c r="AZ623" s="158"/>
      <c r="BA623" s="169"/>
      <c r="BB623" s="182"/>
      <c r="BC623" s="182"/>
      <c r="BD623" s="185"/>
      <c r="BE623" s="185"/>
      <c r="BF623" s="158" t="str">
        <f t="shared" si="1077"/>
        <v/>
      </c>
      <c r="BG623" s="191"/>
    </row>
    <row r="624" spans="1:59" x14ac:dyDescent="0.25">
      <c r="A624" s="167"/>
      <c r="B624" s="167"/>
      <c r="C624" s="161"/>
      <c r="D624" s="160"/>
      <c r="E624" s="162"/>
      <c r="F624" s="164"/>
      <c r="G624" s="161"/>
      <c r="H624" s="161"/>
      <c r="I624" s="161"/>
      <c r="J624" s="161"/>
      <c r="K624" s="161"/>
      <c r="L624" s="166"/>
      <c r="M624" s="166"/>
      <c r="N624" s="166"/>
      <c r="O624" s="166"/>
      <c r="P624" s="166"/>
      <c r="Q624" s="166"/>
      <c r="R624" s="166"/>
      <c r="S624" s="167"/>
      <c r="T624" s="167"/>
      <c r="U624" s="167"/>
      <c r="V624" s="167"/>
      <c r="W624" s="167"/>
      <c r="X624" s="164"/>
      <c r="Y624" s="164"/>
      <c r="Z624" s="172"/>
      <c r="AA624" s="188"/>
      <c r="AB624" s="172"/>
      <c r="AC624" s="172"/>
      <c r="AD624" s="175"/>
      <c r="AE624" s="62" t="s">
        <v>115</v>
      </c>
      <c r="AF624" s="133"/>
      <c r="AG624" s="65"/>
      <c r="AH624" s="64"/>
      <c r="AI624" s="64"/>
      <c r="AJ624" s="64"/>
      <c r="AK624" s="64"/>
      <c r="AL624" s="64"/>
      <c r="AM624" s="80" t="str">
        <f>IFERROR((Tablas!$C$1*VLOOKUP(AH624, tipo_control, 2, 0)+Tablas!$E$1*VLOOKUP(AI624, nat_control, 2, 0)+Tablas!$G$1*VLOOKUP(AJ624, ev_control, 2, 0)+Tablas!$I$1*VLOOKUP(AK624, frec_control, 2, 0)+Tablas!$K$1*VLOOKUP(AL624, doc_control, 2, 0))*0.1*peso_dis, "")</f>
        <v/>
      </c>
      <c r="AN624" s="64"/>
      <c r="AO624" s="64"/>
      <c r="AP624" s="64"/>
      <c r="AQ624" s="80" t="str">
        <f>IFERROR((Tablas!$C$9*VLOOKUP(AN624, amb_control, 2, 0)+Tablas!$E$9*VLOOKUP(AO624, ejec_control, 2, 0)+Tablas!$G$9*VLOOKUP(AP624, cub_control, 2, 0))*0.1*peso_ejec, "")</f>
        <v/>
      </c>
      <c r="AR624" s="91" t="str">
        <f t="shared" si="1055"/>
        <v/>
      </c>
      <c r="AS624" s="85" t="str">
        <f t="shared" si="1030"/>
        <v/>
      </c>
      <c r="AT624" s="85" t="str">
        <f t="shared" si="1031"/>
        <v/>
      </c>
      <c r="AU624" s="85" t="str">
        <f>IF(AR624&lt;Tablas!$G$19, 0, IF(AND(AR624&gt;=Tablas!$G$19, AR624&lt;Tablas!$G$20), 1,  IF(AND(AR624&gt;=Tablas!$G$20, AR624&lt;Tablas!$G$21), 2,  IF(AND(AR624&gt;=Tablas!$G$21, AR624&lt;=Tablas!$G$22), 3,  ""))))</f>
        <v/>
      </c>
      <c r="AV624" s="85" t="str">
        <f t="shared" si="1056"/>
        <v/>
      </c>
      <c r="AW624" s="101" t="str">
        <f t="shared" si="1057"/>
        <v/>
      </c>
      <c r="AX624" s="177"/>
      <c r="AY624" s="169"/>
      <c r="AZ624" s="158"/>
      <c r="BA624" s="169"/>
      <c r="BB624" s="182"/>
      <c r="BC624" s="182"/>
      <c r="BD624" s="185"/>
      <c r="BE624" s="185"/>
      <c r="BF624" s="158" t="str">
        <f t="shared" si="1077"/>
        <v/>
      </c>
      <c r="BG624" s="191"/>
    </row>
    <row r="625" spans="1:59" x14ac:dyDescent="0.25">
      <c r="A625" s="167"/>
      <c r="B625" s="167"/>
      <c r="C625" s="161"/>
      <c r="D625" s="160"/>
      <c r="E625" s="162"/>
      <c r="F625" s="164"/>
      <c r="G625" s="161"/>
      <c r="H625" s="161"/>
      <c r="I625" s="161"/>
      <c r="J625" s="161"/>
      <c r="K625" s="161"/>
      <c r="L625" s="166"/>
      <c r="M625" s="166"/>
      <c r="N625" s="166"/>
      <c r="O625" s="166"/>
      <c r="P625" s="166"/>
      <c r="Q625" s="166"/>
      <c r="R625" s="166"/>
      <c r="S625" s="167"/>
      <c r="T625" s="167"/>
      <c r="U625" s="167"/>
      <c r="V625" s="167"/>
      <c r="W625" s="167"/>
      <c r="X625" s="164"/>
      <c r="Y625" s="164"/>
      <c r="Z625" s="172"/>
      <c r="AA625" s="188"/>
      <c r="AB625" s="172"/>
      <c r="AC625" s="172"/>
      <c r="AD625" s="175"/>
      <c r="AE625" s="62" t="s">
        <v>153</v>
      </c>
      <c r="AF625" s="133"/>
      <c r="AG625" s="65"/>
      <c r="AH625" s="64"/>
      <c r="AI625" s="64"/>
      <c r="AJ625" s="64"/>
      <c r="AK625" s="64"/>
      <c r="AL625" s="64"/>
      <c r="AM625" s="80" t="str">
        <f>IFERROR((Tablas!$C$1*VLOOKUP(AH625, tipo_control, 2, 0)+Tablas!$E$1*VLOOKUP(AI625, nat_control, 2, 0)+Tablas!$G$1*VLOOKUP(AJ625, ev_control, 2, 0)+Tablas!$I$1*VLOOKUP(AK625, frec_control, 2, 0)+Tablas!$K$1*VLOOKUP(AL625, doc_control, 2, 0))*0.1*peso_dis, "")</f>
        <v/>
      </c>
      <c r="AN625" s="64"/>
      <c r="AO625" s="64"/>
      <c r="AP625" s="64"/>
      <c r="AQ625" s="80" t="str">
        <f>IFERROR((Tablas!$C$9*VLOOKUP(AN625, amb_control, 2, 0)+Tablas!$E$9*VLOOKUP(AO625, ejec_control, 2, 0)+Tablas!$G$9*VLOOKUP(AP625, cub_control, 2, 0))*0.1*peso_ejec, "")</f>
        <v/>
      </c>
      <c r="AR625" s="91" t="str">
        <f t="shared" si="1055"/>
        <v/>
      </c>
      <c r="AS625" s="85" t="str">
        <f t="shared" si="1030"/>
        <v/>
      </c>
      <c r="AT625" s="85" t="str">
        <f t="shared" si="1031"/>
        <v/>
      </c>
      <c r="AU625" s="85" t="str">
        <f>IF(AR625&lt;Tablas!$G$19, 0, IF(AND(AR625&gt;=Tablas!$G$19, AR625&lt;Tablas!$G$20), 1,  IF(AND(AR625&gt;=Tablas!$G$20, AR625&lt;Tablas!$G$21), 2,  IF(AND(AR625&gt;=Tablas!$G$21, AR625&lt;=Tablas!$G$22), 3,  ""))))</f>
        <v/>
      </c>
      <c r="AV625" s="85" t="str">
        <f t="shared" si="1056"/>
        <v/>
      </c>
      <c r="AW625" s="101" t="str">
        <f t="shared" si="1057"/>
        <v/>
      </c>
      <c r="AX625" s="177"/>
      <c r="AY625" s="169"/>
      <c r="AZ625" s="158"/>
      <c r="BA625" s="169"/>
      <c r="BB625" s="182"/>
      <c r="BC625" s="182"/>
      <c r="BD625" s="185"/>
      <c r="BE625" s="185"/>
      <c r="BF625" s="158"/>
      <c r="BG625" s="191"/>
    </row>
    <row r="626" spans="1:59" ht="15.75" thickBot="1" x14ac:dyDescent="0.3">
      <c r="A626" s="167"/>
      <c r="B626" s="167"/>
      <c r="C626" s="161"/>
      <c r="D626" s="160"/>
      <c r="E626" s="162"/>
      <c r="F626" s="165"/>
      <c r="G626" s="161"/>
      <c r="H626" s="161"/>
      <c r="I626" s="161"/>
      <c r="J626" s="161"/>
      <c r="K626" s="161"/>
      <c r="L626" s="166"/>
      <c r="M626" s="166"/>
      <c r="N626" s="166"/>
      <c r="O626" s="166"/>
      <c r="P626" s="166"/>
      <c r="Q626" s="166"/>
      <c r="R626" s="166"/>
      <c r="S626" s="149"/>
      <c r="T626" s="149"/>
      <c r="U626" s="149"/>
      <c r="V626" s="149"/>
      <c r="W626" s="149"/>
      <c r="X626" s="165"/>
      <c r="Y626" s="165"/>
      <c r="Z626" s="172"/>
      <c r="AA626" s="188"/>
      <c r="AB626" s="172"/>
      <c r="AC626" s="172"/>
      <c r="AD626" s="175"/>
      <c r="AE626" s="66" t="s">
        <v>154</v>
      </c>
      <c r="AF626" s="134"/>
      <c r="AG626" s="67"/>
      <c r="AH626" s="69"/>
      <c r="AI626" s="69"/>
      <c r="AJ626" s="69"/>
      <c r="AK626" s="69"/>
      <c r="AL626" s="69"/>
      <c r="AM626" s="81" t="str">
        <f>IFERROR((Tablas!$C$1*VLOOKUP(AH626, tipo_control, 2, 0)+Tablas!$E$1*VLOOKUP(AI626, nat_control, 2, 0)+Tablas!$G$1*VLOOKUP(AJ626, ev_control, 2, 0)+Tablas!$I$1*VLOOKUP(AK626, frec_control, 2, 0)+Tablas!$K$1*VLOOKUP(AL626, doc_control, 2, 0))*0.1*peso_dis, "")</f>
        <v/>
      </c>
      <c r="AN626" s="69"/>
      <c r="AO626" s="69"/>
      <c r="AP626" s="69"/>
      <c r="AQ626" s="81" t="str">
        <f>IFERROR((Tablas!$C$9*VLOOKUP(AN626, amb_control, 2, 0)+Tablas!$E$9*VLOOKUP(AO626, ejec_control, 2, 0)+Tablas!$G$9*VLOOKUP(AP626, cub_control, 2, 0))*0.1*peso_ejec, "")</f>
        <v/>
      </c>
      <c r="AR626" s="93" t="str">
        <f t="shared" si="1055"/>
        <v/>
      </c>
      <c r="AS626" s="94" t="str">
        <f t="shared" si="1030"/>
        <v/>
      </c>
      <c r="AT626" s="94" t="str">
        <f t="shared" si="1031"/>
        <v/>
      </c>
      <c r="AU626" s="94" t="str">
        <f>IF(AR626&lt;Tablas!$G$19, 0, IF(AND(AR626&gt;=Tablas!$G$19, AR626&lt;Tablas!$G$20), 1,  IF(AND(AR626&gt;=Tablas!$G$20, AR626&lt;Tablas!$G$21), 2,  IF(AND(AR626&gt;=Tablas!$G$21, AR626&lt;=Tablas!$G$22), 3,  ""))))</f>
        <v/>
      </c>
      <c r="AV626" s="94" t="str">
        <f t="shared" si="1056"/>
        <v/>
      </c>
      <c r="AW626" s="102" t="str">
        <f t="shared" si="1057"/>
        <v/>
      </c>
      <c r="AX626" s="157"/>
      <c r="AY626" s="170"/>
      <c r="AZ626" s="179"/>
      <c r="BA626" s="170"/>
      <c r="BB626" s="182"/>
      <c r="BC626" s="182"/>
      <c r="BD626" s="185"/>
      <c r="BE626" s="185"/>
      <c r="BF626" s="159"/>
      <c r="BG626" s="191"/>
    </row>
    <row r="627" spans="1:59" x14ac:dyDescent="0.25">
      <c r="A627" s="167"/>
      <c r="B627" s="167"/>
      <c r="C627" s="161" t="s">
        <v>19</v>
      </c>
      <c r="D627" s="160" t="s">
        <v>158</v>
      </c>
      <c r="E627" s="162"/>
      <c r="F627" s="163" t="str">
        <f t="shared" si="1019"/>
        <v/>
      </c>
      <c r="G627" s="149"/>
      <c r="H627" s="149"/>
      <c r="I627" s="149"/>
      <c r="J627" s="149"/>
      <c r="K627" s="149"/>
      <c r="L627" s="165" t="str">
        <f t="shared" ref="L627" si="1078">IFERROR(VLOOKUP(G627, tabla02, 2, 0), "")</f>
        <v/>
      </c>
      <c r="M627" s="165" t="str">
        <f t="shared" ref="M627" si="1079">IFERROR(VLOOKUP(H627, tabla02, 2, 0), "")</f>
        <v/>
      </c>
      <c r="N627" s="165" t="str">
        <f t="shared" ref="N627" si="1080">IFERROR(VLOOKUP(I627, tabla02, 2, 0), "")</f>
        <v/>
      </c>
      <c r="O627" s="165" t="str">
        <f t="shared" ref="O627" si="1081">IFERROR(VLOOKUP(J627, tabla02, 2, 0), "")</f>
        <v/>
      </c>
      <c r="P627" s="165" t="str">
        <f t="shared" ref="P627" si="1082">IFERROR(VLOOKUP(K627, tabla02, 2, 0), "")</f>
        <v/>
      </c>
      <c r="Q627" s="165" t="str">
        <f t="shared" ref="Q627" si="1083">IF(SUM(L627:O631)=0, "", MAX(L627:P627))</f>
        <v/>
      </c>
      <c r="R627" s="165" t="str">
        <f>IFERROR(VLOOKUP(Q627, tabla04, 3, 0), "")</f>
        <v/>
      </c>
      <c r="S627" s="148"/>
      <c r="T627" s="148"/>
      <c r="U627" s="148"/>
      <c r="V627" s="148"/>
      <c r="W627" s="148"/>
      <c r="X627" s="163" t="str">
        <f>IFERROR(VLOOKUP(CONCATENATE(F627, "-", Q627), cuadrante_sev, 3, 0), "")</f>
        <v/>
      </c>
      <c r="Y627" s="163" t="str">
        <f t="shared" ref="Y627" si="1084">IFERROR(IF(X627="Baja", 1, IF(X627="Moderada", 2, IF(X627="Alta", 3, IF(X627="Extrema", 4, "")))), "")</f>
        <v/>
      </c>
      <c r="Z627" s="172"/>
      <c r="AA627" s="188"/>
      <c r="AB627" s="172"/>
      <c r="AC627" s="172"/>
      <c r="AD627" s="175"/>
      <c r="AE627" s="70" t="s">
        <v>113</v>
      </c>
      <c r="AF627" s="135"/>
      <c r="AG627" s="74"/>
      <c r="AH627" s="72"/>
      <c r="AI627" s="72"/>
      <c r="AJ627" s="72"/>
      <c r="AK627" s="72"/>
      <c r="AL627" s="72"/>
      <c r="AM627" s="82" t="str">
        <f>IFERROR((Tablas!$C$1*VLOOKUP(AH627, tipo_control, 2, 0)+Tablas!$E$1*VLOOKUP(AI627, nat_control, 2, 0)+Tablas!$G$1*VLOOKUP(AJ627, ev_control, 2, 0)+Tablas!$I$1*VLOOKUP(AK627, frec_control, 2, 0)+Tablas!$K$1*VLOOKUP(AL627, doc_control, 2, 0))*0.1*peso_dis, "")</f>
        <v/>
      </c>
      <c r="AN627" s="72"/>
      <c r="AO627" s="72"/>
      <c r="AP627" s="72"/>
      <c r="AQ627" s="82" t="str">
        <f>IFERROR((Tablas!$C$9*VLOOKUP(AN627, amb_control, 2, 0)+Tablas!$E$9*VLOOKUP(AO627, ejec_control, 2, 0)+Tablas!$G$9*VLOOKUP(AP627, cub_control, 2, 0))*0.1*peso_ejec, "")</f>
        <v/>
      </c>
      <c r="AR627" s="96" t="str">
        <f t="shared" si="1055"/>
        <v/>
      </c>
      <c r="AS627" s="97" t="str">
        <f t="shared" si="1030"/>
        <v/>
      </c>
      <c r="AT627" s="87" t="str">
        <f t="shared" si="1031"/>
        <v/>
      </c>
      <c r="AU627" s="97" t="str">
        <f>IF(AR627&lt;Tablas!$G$19, 0, IF(AND(AR627&gt;=Tablas!$G$19, AR627&lt;Tablas!$G$20), 1,  IF(AND(AR627&gt;=Tablas!$G$20, AR627&lt;Tablas!$G$21), 2,  IF(AND(AR627&gt;=Tablas!$G$21, AR627&lt;=Tablas!$G$22), 3,  ""))))</f>
        <v/>
      </c>
      <c r="AV627" s="97" t="str">
        <f t="shared" si="1056"/>
        <v/>
      </c>
      <c r="AW627" s="103" t="str">
        <f t="shared" si="1057"/>
        <v/>
      </c>
      <c r="AX627" s="176" t="str">
        <f t="shared" ref="AX627" si="1085">IFERROR(VLOOKUP(AY627, tabla04, 2, 0), "")</f>
        <v/>
      </c>
      <c r="AY627" s="168" t="str">
        <f>IF(F627="", "", IF((F627-MAX(AV627:AV631))&lt;=0, 1, F627-MAX(AV627:AV631)))</f>
        <v/>
      </c>
      <c r="AZ627" s="178" t="str">
        <f t="shared" ref="AZ627" si="1086">IFERROR(VLOOKUP(BA627, tabla04, 3, 0), "")</f>
        <v/>
      </c>
      <c r="BA627" s="168" t="str">
        <f>IF(Q627="", "", IF((Q627-MAX(AW627:AW631))&lt;=0, 1, Q627-MAX(AW627:AW631)))</f>
        <v/>
      </c>
      <c r="BB627" s="182"/>
      <c r="BC627" s="182"/>
      <c r="BD627" s="185"/>
      <c r="BE627" s="185"/>
      <c r="BF627" s="158" t="str">
        <f t="shared" ref="BF627:BF629" si="1087">IFERROR(VLOOKUP(CONCATENATE(AY627, "-", BA627), cuadrante_sev, 3, 0), "")</f>
        <v/>
      </c>
      <c r="BG627" s="191"/>
    </row>
    <row r="628" spans="1:59" x14ac:dyDescent="0.25">
      <c r="A628" s="167"/>
      <c r="B628" s="167"/>
      <c r="C628" s="161"/>
      <c r="D628" s="160"/>
      <c r="E628" s="162"/>
      <c r="F628" s="164"/>
      <c r="G628" s="161"/>
      <c r="H628" s="161"/>
      <c r="I628" s="161"/>
      <c r="J628" s="161"/>
      <c r="K628" s="161"/>
      <c r="L628" s="166"/>
      <c r="M628" s="166"/>
      <c r="N628" s="166"/>
      <c r="O628" s="166"/>
      <c r="P628" s="166"/>
      <c r="Q628" s="166"/>
      <c r="R628" s="166"/>
      <c r="S628" s="167"/>
      <c r="T628" s="167"/>
      <c r="U628" s="167"/>
      <c r="V628" s="167"/>
      <c r="W628" s="167"/>
      <c r="X628" s="164"/>
      <c r="Y628" s="164"/>
      <c r="Z628" s="172"/>
      <c r="AA628" s="188"/>
      <c r="AB628" s="172"/>
      <c r="AC628" s="172"/>
      <c r="AD628" s="175"/>
      <c r="AE628" s="62" t="s">
        <v>114</v>
      </c>
      <c r="AF628" s="133"/>
      <c r="AG628" s="65"/>
      <c r="AH628" s="64"/>
      <c r="AI628" s="64"/>
      <c r="AJ628" s="64"/>
      <c r="AK628" s="64"/>
      <c r="AL628" s="64"/>
      <c r="AM628" s="80" t="str">
        <f>IFERROR((Tablas!$C$1*VLOOKUP(AH628, tipo_control, 2, 0)+Tablas!$E$1*VLOOKUP(AI628, nat_control, 2, 0)+Tablas!$G$1*VLOOKUP(AJ628, ev_control, 2, 0)+Tablas!$I$1*VLOOKUP(AK628, frec_control, 2, 0)+Tablas!$K$1*VLOOKUP(AL628, doc_control, 2, 0))*0.1*peso_dis, "")</f>
        <v/>
      </c>
      <c r="AN628" s="64"/>
      <c r="AO628" s="64"/>
      <c r="AP628" s="64"/>
      <c r="AQ628" s="80" t="str">
        <f>IFERROR((Tablas!$C$9*VLOOKUP(AN628, amb_control, 2, 0)+Tablas!$E$9*VLOOKUP(AO628, ejec_control, 2, 0)+Tablas!$G$9*VLOOKUP(AP628, cub_control, 2, 0))*0.1*peso_ejec, "")</f>
        <v/>
      </c>
      <c r="AR628" s="91" t="str">
        <f t="shared" si="1055"/>
        <v/>
      </c>
      <c r="AS628" s="85" t="str">
        <f t="shared" si="1030"/>
        <v/>
      </c>
      <c r="AT628" s="85" t="str">
        <f t="shared" si="1031"/>
        <v/>
      </c>
      <c r="AU628" s="85" t="str">
        <f>IF(AR628&lt;Tablas!$G$19, 0, IF(AND(AR628&gt;=Tablas!$G$19, AR628&lt;Tablas!$G$20), 1,  IF(AND(AR628&gt;=Tablas!$G$20, AR628&lt;Tablas!$G$21), 2,  IF(AND(AR628&gt;=Tablas!$G$21, AR628&lt;=Tablas!$G$22), 3,  ""))))</f>
        <v/>
      </c>
      <c r="AV628" s="85" t="str">
        <f t="shared" si="1056"/>
        <v/>
      </c>
      <c r="AW628" s="101" t="str">
        <f t="shared" si="1057"/>
        <v/>
      </c>
      <c r="AX628" s="177"/>
      <c r="AY628" s="169"/>
      <c r="AZ628" s="158"/>
      <c r="BA628" s="169"/>
      <c r="BB628" s="182"/>
      <c r="BC628" s="182"/>
      <c r="BD628" s="185"/>
      <c r="BE628" s="185"/>
      <c r="BF628" s="158" t="str">
        <f t="shared" si="1087"/>
        <v/>
      </c>
      <c r="BG628" s="191"/>
    </row>
    <row r="629" spans="1:59" x14ac:dyDescent="0.25">
      <c r="A629" s="167"/>
      <c r="B629" s="167"/>
      <c r="C629" s="161"/>
      <c r="D629" s="160"/>
      <c r="E629" s="162"/>
      <c r="F629" s="164"/>
      <c r="G629" s="161"/>
      <c r="H629" s="161"/>
      <c r="I629" s="161"/>
      <c r="J629" s="161"/>
      <c r="K629" s="161"/>
      <c r="L629" s="166"/>
      <c r="M629" s="166"/>
      <c r="N629" s="166"/>
      <c r="O629" s="166"/>
      <c r="P629" s="166"/>
      <c r="Q629" s="166"/>
      <c r="R629" s="166"/>
      <c r="S629" s="167"/>
      <c r="T629" s="167"/>
      <c r="U629" s="167"/>
      <c r="V629" s="167"/>
      <c r="W629" s="167"/>
      <c r="X629" s="164"/>
      <c r="Y629" s="164"/>
      <c r="Z629" s="172"/>
      <c r="AA629" s="188"/>
      <c r="AB629" s="172"/>
      <c r="AC629" s="172"/>
      <c r="AD629" s="175"/>
      <c r="AE629" s="62" t="s">
        <v>115</v>
      </c>
      <c r="AF629" s="133"/>
      <c r="AG629" s="65"/>
      <c r="AH629" s="64"/>
      <c r="AI629" s="64"/>
      <c r="AJ629" s="64"/>
      <c r="AK629" s="64"/>
      <c r="AL629" s="64"/>
      <c r="AM629" s="80" t="str">
        <f>IFERROR((Tablas!$C$1*VLOOKUP(AH629, tipo_control, 2, 0)+Tablas!$E$1*VLOOKUP(AI629, nat_control, 2, 0)+Tablas!$G$1*VLOOKUP(AJ629, ev_control, 2, 0)+Tablas!$I$1*VLOOKUP(AK629, frec_control, 2, 0)+Tablas!$K$1*VLOOKUP(AL629, doc_control, 2, 0))*0.1*peso_dis, "")</f>
        <v/>
      </c>
      <c r="AN629" s="64"/>
      <c r="AO629" s="64"/>
      <c r="AP629" s="64"/>
      <c r="AQ629" s="80" t="str">
        <f>IFERROR((Tablas!$C$9*VLOOKUP(AN629, amb_control, 2, 0)+Tablas!$E$9*VLOOKUP(AO629, ejec_control, 2, 0)+Tablas!$G$9*VLOOKUP(AP629, cub_control, 2, 0))*0.1*peso_ejec, "")</f>
        <v/>
      </c>
      <c r="AR629" s="91" t="str">
        <f t="shared" si="1055"/>
        <v/>
      </c>
      <c r="AS629" s="85" t="str">
        <f t="shared" si="1030"/>
        <v/>
      </c>
      <c r="AT629" s="85" t="str">
        <f t="shared" si="1031"/>
        <v/>
      </c>
      <c r="AU629" s="85" t="str">
        <f>IF(AR629&lt;Tablas!$G$19, 0, IF(AND(AR629&gt;=Tablas!$G$19, AR629&lt;Tablas!$G$20), 1,  IF(AND(AR629&gt;=Tablas!$G$20, AR629&lt;Tablas!$G$21), 2,  IF(AND(AR629&gt;=Tablas!$G$21, AR629&lt;=Tablas!$G$22), 3,  ""))))</f>
        <v/>
      </c>
      <c r="AV629" s="85" t="str">
        <f t="shared" si="1056"/>
        <v/>
      </c>
      <c r="AW629" s="101" t="str">
        <f t="shared" si="1057"/>
        <v/>
      </c>
      <c r="AX629" s="177"/>
      <c r="AY629" s="169"/>
      <c r="AZ629" s="158"/>
      <c r="BA629" s="169"/>
      <c r="BB629" s="182"/>
      <c r="BC629" s="182"/>
      <c r="BD629" s="185"/>
      <c r="BE629" s="185"/>
      <c r="BF629" s="158" t="str">
        <f t="shared" si="1087"/>
        <v/>
      </c>
      <c r="BG629" s="191"/>
    </row>
    <row r="630" spans="1:59" x14ac:dyDescent="0.25">
      <c r="A630" s="167"/>
      <c r="B630" s="167"/>
      <c r="C630" s="161"/>
      <c r="D630" s="160"/>
      <c r="E630" s="162"/>
      <c r="F630" s="164"/>
      <c r="G630" s="161"/>
      <c r="H630" s="161"/>
      <c r="I630" s="161"/>
      <c r="J630" s="161"/>
      <c r="K630" s="161"/>
      <c r="L630" s="166"/>
      <c r="M630" s="166"/>
      <c r="N630" s="166"/>
      <c r="O630" s="166"/>
      <c r="P630" s="166"/>
      <c r="Q630" s="166"/>
      <c r="R630" s="166"/>
      <c r="S630" s="167"/>
      <c r="T630" s="167"/>
      <c r="U630" s="167"/>
      <c r="V630" s="167"/>
      <c r="W630" s="167"/>
      <c r="X630" s="164"/>
      <c r="Y630" s="164"/>
      <c r="Z630" s="172"/>
      <c r="AA630" s="188"/>
      <c r="AB630" s="172"/>
      <c r="AC630" s="172"/>
      <c r="AD630" s="175"/>
      <c r="AE630" s="62" t="s">
        <v>153</v>
      </c>
      <c r="AF630" s="133"/>
      <c r="AG630" s="65"/>
      <c r="AH630" s="64"/>
      <c r="AI630" s="64"/>
      <c r="AJ630" s="64"/>
      <c r="AK630" s="64"/>
      <c r="AL630" s="64"/>
      <c r="AM630" s="80" t="str">
        <f>IFERROR((Tablas!$C$1*VLOOKUP(AH630, tipo_control, 2, 0)+Tablas!$E$1*VLOOKUP(AI630, nat_control, 2, 0)+Tablas!$G$1*VLOOKUP(AJ630, ev_control, 2, 0)+Tablas!$I$1*VLOOKUP(AK630, frec_control, 2, 0)+Tablas!$K$1*VLOOKUP(AL630, doc_control, 2, 0))*0.1*peso_dis, "")</f>
        <v/>
      </c>
      <c r="AN630" s="64"/>
      <c r="AO630" s="64"/>
      <c r="AP630" s="64"/>
      <c r="AQ630" s="80" t="str">
        <f>IFERROR((Tablas!$C$9*VLOOKUP(AN630, amb_control, 2, 0)+Tablas!$E$9*VLOOKUP(AO630, ejec_control, 2, 0)+Tablas!$G$9*VLOOKUP(AP630, cub_control, 2, 0))*0.1*peso_ejec, "")</f>
        <v/>
      </c>
      <c r="AR630" s="91" t="str">
        <f t="shared" si="1055"/>
        <v/>
      </c>
      <c r="AS630" s="85" t="str">
        <f t="shared" si="1030"/>
        <v/>
      </c>
      <c r="AT630" s="85" t="str">
        <f t="shared" si="1031"/>
        <v/>
      </c>
      <c r="AU630" s="85" t="str">
        <f>IF(AR630&lt;Tablas!$G$19, 0, IF(AND(AR630&gt;=Tablas!$G$19, AR630&lt;Tablas!$G$20), 1,  IF(AND(AR630&gt;=Tablas!$G$20, AR630&lt;Tablas!$G$21), 2,  IF(AND(AR630&gt;=Tablas!$G$21, AR630&lt;=Tablas!$G$22), 3,  ""))))</f>
        <v/>
      </c>
      <c r="AV630" s="85" t="str">
        <f t="shared" si="1056"/>
        <v/>
      </c>
      <c r="AW630" s="101" t="str">
        <f t="shared" si="1057"/>
        <v/>
      </c>
      <c r="AX630" s="177"/>
      <c r="AY630" s="169"/>
      <c r="AZ630" s="158"/>
      <c r="BA630" s="169"/>
      <c r="BB630" s="182"/>
      <c r="BC630" s="182"/>
      <c r="BD630" s="185"/>
      <c r="BE630" s="185"/>
      <c r="BF630" s="158"/>
      <c r="BG630" s="191"/>
    </row>
    <row r="631" spans="1:59" ht="15.75" thickBot="1" x14ac:dyDescent="0.3">
      <c r="A631" s="167"/>
      <c r="B631" s="167"/>
      <c r="C631" s="161"/>
      <c r="D631" s="160"/>
      <c r="E631" s="162"/>
      <c r="F631" s="165"/>
      <c r="G631" s="161"/>
      <c r="H631" s="161"/>
      <c r="I631" s="161"/>
      <c r="J631" s="161"/>
      <c r="K631" s="161"/>
      <c r="L631" s="166"/>
      <c r="M631" s="166"/>
      <c r="N631" s="166"/>
      <c r="O631" s="166"/>
      <c r="P631" s="166"/>
      <c r="Q631" s="166"/>
      <c r="R631" s="166"/>
      <c r="S631" s="149"/>
      <c r="T631" s="149"/>
      <c r="U631" s="149"/>
      <c r="V631" s="149"/>
      <c r="W631" s="149"/>
      <c r="X631" s="165"/>
      <c r="Y631" s="165"/>
      <c r="Z631" s="172"/>
      <c r="AA631" s="188"/>
      <c r="AB631" s="172"/>
      <c r="AC631" s="172"/>
      <c r="AD631" s="175"/>
      <c r="AE631" s="66" t="s">
        <v>154</v>
      </c>
      <c r="AF631" s="134"/>
      <c r="AG631" s="67"/>
      <c r="AH631" s="69"/>
      <c r="AI631" s="69"/>
      <c r="AJ631" s="69"/>
      <c r="AK631" s="69"/>
      <c r="AL631" s="69"/>
      <c r="AM631" s="81" t="str">
        <f>IFERROR((Tablas!$C$1*VLOOKUP(AH631, tipo_control, 2, 0)+Tablas!$E$1*VLOOKUP(AI631, nat_control, 2, 0)+Tablas!$G$1*VLOOKUP(AJ631, ev_control, 2, 0)+Tablas!$I$1*VLOOKUP(AK631, frec_control, 2, 0)+Tablas!$K$1*VLOOKUP(AL631, doc_control, 2, 0))*0.1*peso_dis, "")</f>
        <v/>
      </c>
      <c r="AN631" s="69"/>
      <c r="AO631" s="69"/>
      <c r="AP631" s="69"/>
      <c r="AQ631" s="81" t="str">
        <f>IFERROR((Tablas!$C$9*VLOOKUP(AN631, amb_control, 2, 0)+Tablas!$E$9*VLOOKUP(AO631, ejec_control, 2, 0)+Tablas!$G$9*VLOOKUP(AP631, cub_control, 2, 0))*0.1*peso_ejec, "")</f>
        <v/>
      </c>
      <c r="AR631" s="93" t="str">
        <f t="shared" si="1055"/>
        <v/>
      </c>
      <c r="AS631" s="94" t="str">
        <f t="shared" si="1030"/>
        <v/>
      </c>
      <c r="AT631" s="94" t="str">
        <f t="shared" si="1031"/>
        <v/>
      </c>
      <c r="AU631" s="94" t="str">
        <f>IF(AR631&lt;Tablas!$G$19, 0, IF(AND(AR631&gt;=Tablas!$G$19, AR631&lt;Tablas!$G$20), 1,  IF(AND(AR631&gt;=Tablas!$G$20, AR631&lt;Tablas!$G$21), 2,  IF(AND(AR631&gt;=Tablas!$G$21, AR631&lt;=Tablas!$G$22), 3,  ""))))</f>
        <v/>
      </c>
      <c r="AV631" s="94" t="str">
        <f t="shared" si="1056"/>
        <v/>
      </c>
      <c r="AW631" s="102" t="str">
        <f t="shared" si="1057"/>
        <v/>
      </c>
      <c r="AX631" s="157"/>
      <c r="AY631" s="170"/>
      <c r="AZ631" s="179"/>
      <c r="BA631" s="170"/>
      <c r="BB631" s="182"/>
      <c r="BC631" s="182"/>
      <c r="BD631" s="185"/>
      <c r="BE631" s="185"/>
      <c r="BF631" s="159"/>
      <c r="BG631" s="191"/>
    </row>
    <row r="632" spans="1:59" x14ac:dyDescent="0.25">
      <c r="A632" s="167"/>
      <c r="B632" s="167"/>
      <c r="C632" s="161" t="s">
        <v>20</v>
      </c>
      <c r="D632" s="160" t="s">
        <v>158</v>
      </c>
      <c r="E632" s="162"/>
      <c r="F632" s="163" t="str">
        <f t="shared" si="1019"/>
        <v/>
      </c>
      <c r="G632" s="149"/>
      <c r="H632" s="149"/>
      <c r="I632" s="149"/>
      <c r="J632" s="149"/>
      <c r="K632" s="149"/>
      <c r="L632" s="165" t="str">
        <f t="shared" ref="L632" si="1088">IFERROR(VLOOKUP(G632, tabla02, 2, 0), "")</f>
        <v/>
      </c>
      <c r="M632" s="165" t="str">
        <f t="shared" ref="M632" si="1089">IFERROR(VLOOKUP(H632, tabla02, 2, 0), "")</f>
        <v/>
      </c>
      <c r="N632" s="165" t="str">
        <f t="shared" ref="N632" si="1090">IFERROR(VLOOKUP(I632, tabla02, 2, 0), "")</f>
        <v/>
      </c>
      <c r="O632" s="165" t="str">
        <f t="shared" ref="O632" si="1091">IFERROR(VLOOKUP(J632, tabla02, 2, 0), "")</f>
        <v/>
      </c>
      <c r="P632" s="165" t="str">
        <f t="shared" ref="P632" si="1092">IFERROR(VLOOKUP(K632, tabla02, 2, 0), "")</f>
        <v/>
      </c>
      <c r="Q632" s="165" t="str">
        <f t="shared" ref="Q632" si="1093">IF(SUM(L632:O636)=0, "", MAX(L632:P632))</f>
        <v/>
      </c>
      <c r="R632" s="165" t="str">
        <f>IFERROR(VLOOKUP(Q632, tabla04, 3, 0), "")</f>
        <v/>
      </c>
      <c r="S632" s="148"/>
      <c r="T632" s="148"/>
      <c r="U632" s="148"/>
      <c r="V632" s="148"/>
      <c r="W632" s="148"/>
      <c r="X632" s="163" t="str">
        <f>IFERROR(VLOOKUP(CONCATENATE(F632, "-", Q632), cuadrante_sev, 3, 0), "")</f>
        <v/>
      </c>
      <c r="Y632" s="163" t="str">
        <f t="shared" ref="Y632" si="1094">IFERROR(IF(X632="Baja", 1, IF(X632="Moderada", 2, IF(X632="Alta", 3, IF(X632="Extrema", 4, "")))), "")</f>
        <v/>
      </c>
      <c r="Z632" s="172"/>
      <c r="AA632" s="188"/>
      <c r="AB632" s="172"/>
      <c r="AC632" s="172"/>
      <c r="AD632" s="175"/>
      <c r="AE632" s="70" t="s">
        <v>113</v>
      </c>
      <c r="AF632" s="135"/>
      <c r="AG632" s="74"/>
      <c r="AH632" s="72"/>
      <c r="AI632" s="72"/>
      <c r="AJ632" s="72"/>
      <c r="AK632" s="72"/>
      <c r="AL632" s="72"/>
      <c r="AM632" s="82" t="str">
        <f>IFERROR((Tablas!$C$1*VLOOKUP(AH632, tipo_control, 2, 0)+Tablas!$E$1*VLOOKUP(AI632, nat_control, 2, 0)+Tablas!$G$1*VLOOKUP(AJ632, ev_control, 2, 0)+Tablas!$I$1*VLOOKUP(AK632, frec_control, 2, 0)+Tablas!$K$1*VLOOKUP(AL632, doc_control, 2, 0))*0.1*peso_dis, "")</f>
        <v/>
      </c>
      <c r="AN632" s="72"/>
      <c r="AO632" s="72"/>
      <c r="AP632" s="72"/>
      <c r="AQ632" s="82" t="str">
        <f>IFERROR((Tablas!$C$9*VLOOKUP(AN632, amb_control, 2, 0)+Tablas!$E$9*VLOOKUP(AO632, ejec_control, 2, 0)+Tablas!$G$9*VLOOKUP(AP632, cub_control, 2, 0))*0.1*peso_ejec, "")</f>
        <v/>
      </c>
      <c r="AR632" s="96" t="str">
        <f t="shared" si="1055"/>
        <v/>
      </c>
      <c r="AS632" s="97" t="str">
        <f t="shared" si="1030"/>
        <v/>
      </c>
      <c r="AT632" s="87" t="str">
        <f t="shared" si="1031"/>
        <v/>
      </c>
      <c r="AU632" s="97" t="str">
        <f>IF(AR632&lt;Tablas!$G$19, 0, IF(AND(AR632&gt;=Tablas!$G$19, AR632&lt;Tablas!$G$20), 1,  IF(AND(AR632&gt;=Tablas!$G$20, AR632&lt;Tablas!$G$21), 2,  IF(AND(AR632&gt;=Tablas!$G$21, AR632&lt;=Tablas!$G$22), 3,  ""))))</f>
        <v/>
      </c>
      <c r="AV632" s="97" t="str">
        <f t="shared" si="1056"/>
        <v/>
      </c>
      <c r="AW632" s="103" t="str">
        <f t="shared" si="1057"/>
        <v/>
      </c>
      <c r="AX632" s="176" t="str">
        <f t="shared" ref="AX632" si="1095">IFERROR(VLOOKUP(AY632, tabla04, 2, 0), "")</f>
        <v/>
      </c>
      <c r="AY632" s="168" t="str">
        <f>IF(F632="", "", IF((F632-MAX(AV632:AV636))&lt;=0, 1, F632-MAX(AV632:AV636)))</f>
        <v/>
      </c>
      <c r="AZ632" s="178" t="str">
        <f t="shared" ref="AZ632" si="1096">IFERROR(VLOOKUP(BA632, tabla04, 3, 0), "")</f>
        <v/>
      </c>
      <c r="BA632" s="168" t="str">
        <f>IF(Q632="", "", IF((Q632-MAX(AW632:AW636))&lt;=0, 1, Q632-MAX(AW632:AW636)))</f>
        <v/>
      </c>
      <c r="BB632" s="182"/>
      <c r="BC632" s="182"/>
      <c r="BD632" s="185"/>
      <c r="BE632" s="185"/>
      <c r="BF632" s="158" t="str">
        <f t="shared" ref="BF632:BF634" si="1097">IFERROR(VLOOKUP(CONCATENATE(AY632, "-", BA632), cuadrante_sev, 3, 0), "")</f>
        <v/>
      </c>
      <c r="BG632" s="191"/>
    </row>
    <row r="633" spans="1:59" x14ac:dyDescent="0.25">
      <c r="A633" s="167"/>
      <c r="B633" s="167"/>
      <c r="C633" s="161"/>
      <c r="D633" s="160"/>
      <c r="E633" s="162"/>
      <c r="F633" s="164"/>
      <c r="G633" s="161"/>
      <c r="H633" s="161"/>
      <c r="I633" s="161"/>
      <c r="J633" s="161"/>
      <c r="K633" s="161"/>
      <c r="L633" s="166"/>
      <c r="M633" s="166"/>
      <c r="N633" s="166"/>
      <c r="O633" s="166"/>
      <c r="P633" s="166"/>
      <c r="Q633" s="166"/>
      <c r="R633" s="166"/>
      <c r="S633" s="167"/>
      <c r="T633" s="167"/>
      <c r="U633" s="167"/>
      <c r="V633" s="167"/>
      <c r="W633" s="167"/>
      <c r="X633" s="164"/>
      <c r="Y633" s="164"/>
      <c r="Z633" s="172"/>
      <c r="AA633" s="188"/>
      <c r="AB633" s="172"/>
      <c r="AC633" s="172"/>
      <c r="AD633" s="175"/>
      <c r="AE633" s="62" t="s">
        <v>114</v>
      </c>
      <c r="AF633" s="133"/>
      <c r="AG633" s="65"/>
      <c r="AH633" s="64"/>
      <c r="AI633" s="64"/>
      <c r="AJ633" s="64"/>
      <c r="AK633" s="64"/>
      <c r="AL633" s="64"/>
      <c r="AM633" s="80" t="str">
        <f>IFERROR((Tablas!$C$1*VLOOKUP(AH633, tipo_control, 2, 0)+Tablas!$E$1*VLOOKUP(AI633, nat_control, 2, 0)+Tablas!$G$1*VLOOKUP(AJ633, ev_control, 2, 0)+Tablas!$I$1*VLOOKUP(AK633, frec_control, 2, 0)+Tablas!$K$1*VLOOKUP(AL633, doc_control, 2, 0))*0.1*peso_dis, "")</f>
        <v/>
      </c>
      <c r="AN633" s="64"/>
      <c r="AO633" s="64"/>
      <c r="AP633" s="64"/>
      <c r="AQ633" s="80" t="str">
        <f>IFERROR((Tablas!$C$9*VLOOKUP(AN633, amb_control, 2, 0)+Tablas!$E$9*VLOOKUP(AO633, ejec_control, 2, 0)+Tablas!$G$9*VLOOKUP(AP633, cub_control, 2, 0))*0.1*peso_ejec, "")</f>
        <v/>
      </c>
      <c r="AR633" s="91" t="str">
        <f t="shared" si="1055"/>
        <v/>
      </c>
      <c r="AS633" s="85" t="str">
        <f t="shared" si="1030"/>
        <v/>
      </c>
      <c r="AT633" s="85" t="str">
        <f t="shared" si="1031"/>
        <v/>
      </c>
      <c r="AU633" s="85" t="str">
        <f>IF(AR633&lt;Tablas!$G$19, 0, IF(AND(AR633&gt;=Tablas!$G$19, AR633&lt;Tablas!$G$20), 1,  IF(AND(AR633&gt;=Tablas!$G$20, AR633&lt;Tablas!$G$21), 2,  IF(AND(AR633&gt;=Tablas!$G$21, AR633&lt;=Tablas!$G$22), 3,  ""))))</f>
        <v/>
      </c>
      <c r="AV633" s="85" t="str">
        <f t="shared" si="1056"/>
        <v/>
      </c>
      <c r="AW633" s="101" t="str">
        <f t="shared" si="1057"/>
        <v/>
      </c>
      <c r="AX633" s="177"/>
      <c r="AY633" s="169"/>
      <c r="AZ633" s="158"/>
      <c r="BA633" s="169"/>
      <c r="BB633" s="182"/>
      <c r="BC633" s="182"/>
      <c r="BD633" s="185"/>
      <c r="BE633" s="185"/>
      <c r="BF633" s="158" t="str">
        <f t="shared" si="1097"/>
        <v/>
      </c>
      <c r="BG633" s="191"/>
    </row>
    <row r="634" spans="1:59" x14ac:dyDescent="0.25">
      <c r="A634" s="167"/>
      <c r="B634" s="167"/>
      <c r="C634" s="161"/>
      <c r="D634" s="160"/>
      <c r="E634" s="162"/>
      <c r="F634" s="164"/>
      <c r="G634" s="161"/>
      <c r="H634" s="161"/>
      <c r="I634" s="161"/>
      <c r="J634" s="161"/>
      <c r="K634" s="161"/>
      <c r="L634" s="166"/>
      <c r="M634" s="166"/>
      <c r="N634" s="166"/>
      <c r="O634" s="166"/>
      <c r="P634" s="166"/>
      <c r="Q634" s="166"/>
      <c r="R634" s="166"/>
      <c r="S634" s="167"/>
      <c r="T634" s="167"/>
      <c r="U634" s="167"/>
      <c r="V634" s="167"/>
      <c r="W634" s="167"/>
      <c r="X634" s="164"/>
      <c r="Y634" s="164"/>
      <c r="Z634" s="172"/>
      <c r="AA634" s="188"/>
      <c r="AB634" s="172"/>
      <c r="AC634" s="172"/>
      <c r="AD634" s="175"/>
      <c r="AE634" s="62" t="s">
        <v>115</v>
      </c>
      <c r="AF634" s="133"/>
      <c r="AG634" s="65"/>
      <c r="AH634" s="64"/>
      <c r="AI634" s="64"/>
      <c r="AJ634" s="64"/>
      <c r="AK634" s="64"/>
      <c r="AL634" s="64"/>
      <c r="AM634" s="80" t="str">
        <f>IFERROR((Tablas!$C$1*VLOOKUP(AH634, tipo_control, 2, 0)+Tablas!$E$1*VLOOKUP(AI634, nat_control, 2, 0)+Tablas!$G$1*VLOOKUP(AJ634, ev_control, 2, 0)+Tablas!$I$1*VLOOKUP(AK634, frec_control, 2, 0)+Tablas!$K$1*VLOOKUP(AL634, doc_control, 2, 0))*0.1*peso_dis, "")</f>
        <v/>
      </c>
      <c r="AN634" s="64"/>
      <c r="AO634" s="64"/>
      <c r="AP634" s="64"/>
      <c r="AQ634" s="80" t="str">
        <f>IFERROR((Tablas!$C$9*VLOOKUP(AN634, amb_control, 2, 0)+Tablas!$E$9*VLOOKUP(AO634, ejec_control, 2, 0)+Tablas!$G$9*VLOOKUP(AP634, cub_control, 2, 0))*0.1*peso_ejec, "")</f>
        <v/>
      </c>
      <c r="AR634" s="91" t="str">
        <f t="shared" si="1055"/>
        <v/>
      </c>
      <c r="AS634" s="85" t="str">
        <f t="shared" si="1030"/>
        <v/>
      </c>
      <c r="AT634" s="85" t="str">
        <f t="shared" si="1031"/>
        <v/>
      </c>
      <c r="AU634" s="85" t="str">
        <f>IF(AR634&lt;Tablas!$G$19, 0, IF(AND(AR634&gt;=Tablas!$G$19, AR634&lt;Tablas!$G$20), 1,  IF(AND(AR634&gt;=Tablas!$G$20, AR634&lt;Tablas!$G$21), 2,  IF(AND(AR634&gt;=Tablas!$G$21, AR634&lt;=Tablas!$G$22), 3,  ""))))</f>
        <v/>
      </c>
      <c r="AV634" s="85" t="str">
        <f t="shared" si="1056"/>
        <v/>
      </c>
      <c r="AW634" s="101" t="str">
        <f t="shared" si="1057"/>
        <v/>
      </c>
      <c r="AX634" s="177"/>
      <c r="AY634" s="169"/>
      <c r="AZ634" s="158"/>
      <c r="BA634" s="169"/>
      <c r="BB634" s="182"/>
      <c r="BC634" s="182"/>
      <c r="BD634" s="185"/>
      <c r="BE634" s="185"/>
      <c r="BF634" s="158" t="str">
        <f t="shared" si="1097"/>
        <v/>
      </c>
      <c r="BG634" s="191"/>
    </row>
    <row r="635" spans="1:59" x14ac:dyDescent="0.25">
      <c r="A635" s="167"/>
      <c r="B635" s="167"/>
      <c r="C635" s="161"/>
      <c r="D635" s="160"/>
      <c r="E635" s="162"/>
      <c r="F635" s="164"/>
      <c r="G635" s="161"/>
      <c r="H635" s="161"/>
      <c r="I635" s="161"/>
      <c r="J635" s="161"/>
      <c r="K635" s="161"/>
      <c r="L635" s="166"/>
      <c r="M635" s="166"/>
      <c r="N635" s="166"/>
      <c r="O635" s="166"/>
      <c r="P635" s="166"/>
      <c r="Q635" s="166"/>
      <c r="R635" s="166"/>
      <c r="S635" s="167"/>
      <c r="T635" s="167"/>
      <c r="U635" s="167"/>
      <c r="V635" s="167"/>
      <c r="W635" s="167"/>
      <c r="X635" s="164"/>
      <c r="Y635" s="164"/>
      <c r="Z635" s="172"/>
      <c r="AA635" s="188"/>
      <c r="AB635" s="172"/>
      <c r="AC635" s="172"/>
      <c r="AD635" s="175"/>
      <c r="AE635" s="62" t="s">
        <v>153</v>
      </c>
      <c r="AF635" s="133"/>
      <c r="AG635" s="65"/>
      <c r="AH635" s="64"/>
      <c r="AI635" s="64"/>
      <c r="AJ635" s="64"/>
      <c r="AK635" s="64"/>
      <c r="AL635" s="64"/>
      <c r="AM635" s="80" t="str">
        <f>IFERROR((Tablas!$C$1*VLOOKUP(AH635, tipo_control, 2, 0)+Tablas!$E$1*VLOOKUP(AI635, nat_control, 2, 0)+Tablas!$G$1*VLOOKUP(AJ635, ev_control, 2, 0)+Tablas!$I$1*VLOOKUP(AK635, frec_control, 2, 0)+Tablas!$K$1*VLOOKUP(AL635, doc_control, 2, 0))*0.1*peso_dis, "")</f>
        <v/>
      </c>
      <c r="AN635" s="64"/>
      <c r="AO635" s="64"/>
      <c r="AP635" s="64"/>
      <c r="AQ635" s="80" t="str">
        <f>IFERROR((Tablas!$C$9*VLOOKUP(AN635, amb_control, 2, 0)+Tablas!$E$9*VLOOKUP(AO635, ejec_control, 2, 0)+Tablas!$G$9*VLOOKUP(AP635, cub_control, 2, 0))*0.1*peso_ejec, "")</f>
        <v/>
      </c>
      <c r="AR635" s="91" t="str">
        <f t="shared" si="1055"/>
        <v/>
      </c>
      <c r="AS635" s="85" t="str">
        <f t="shared" si="1030"/>
        <v/>
      </c>
      <c r="AT635" s="85" t="str">
        <f t="shared" si="1031"/>
        <v/>
      </c>
      <c r="AU635" s="85" t="str">
        <f>IF(AR635&lt;Tablas!$G$19, 0, IF(AND(AR635&gt;=Tablas!$G$19, AR635&lt;Tablas!$G$20), 1,  IF(AND(AR635&gt;=Tablas!$G$20, AR635&lt;Tablas!$G$21), 2,  IF(AND(AR635&gt;=Tablas!$G$21, AR635&lt;=Tablas!$G$22), 3,  ""))))</f>
        <v/>
      </c>
      <c r="AV635" s="85" t="str">
        <f t="shared" si="1056"/>
        <v/>
      </c>
      <c r="AW635" s="101" t="str">
        <f t="shared" si="1057"/>
        <v/>
      </c>
      <c r="AX635" s="177"/>
      <c r="AY635" s="169"/>
      <c r="AZ635" s="158"/>
      <c r="BA635" s="169"/>
      <c r="BB635" s="182"/>
      <c r="BC635" s="182"/>
      <c r="BD635" s="185"/>
      <c r="BE635" s="185"/>
      <c r="BF635" s="158"/>
      <c r="BG635" s="191"/>
    </row>
    <row r="636" spans="1:59" ht="15.75" thickBot="1" x14ac:dyDescent="0.3">
      <c r="A636" s="167"/>
      <c r="B636" s="167"/>
      <c r="C636" s="161"/>
      <c r="D636" s="160"/>
      <c r="E636" s="162"/>
      <c r="F636" s="165"/>
      <c r="G636" s="161"/>
      <c r="H636" s="161"/>
      <c r="I636" s="161"/>
      <c r="J636" s="161"/>
      <c r="K636" s="161"/>
      <c r="L636" s="166"/>
      <c r="M636" s="166"/>
      <c r="N636" s="166"/>
      <c r="O636" s="166"/>
      <c r="P636" s="166"/>
      <c r="Q636" s="166"/>
      <c r="R636" s="166"/>
      <c r="S636" s="149"/>
      <c r="T636" s="149"/>
      <c r="U636" s="149"/>
      <c r="V636" s="149"/>
      <c r="W636" s="149"/>
      <c r="X636" s="165"/>
      <c r="Y636" s="165"/>
      <c r="Z636" s="172"/>
      <c r="AA636" s="188"/>
      <c r="AB636" s="172"/>
      <c r="AC636" s="172"/>
      <c r="AD636" s="175"/>
      <c r="AE636" s="66" t="s">
        <v>154</v>
      </c>
      <c r="AF636" s="134"/>
      <c r="AG636" s="67"/>
      <c r="AH636" s="69"/>
      <c r="AI636" s="69"/>
      <c r="AJ636" s="69"/>
      <c r="AK636" s="69"/>
      <c r="AL636" s="69"/>
      <c r="AM636" s="81" t="str">
        <f>IFERROR((Tablas!$C$1*VLOOKUP(AH636, tipo_control, 2, 0)+Tablas!$E$1*VLOOKUP(AI636, nat_control, 2, 0)+Tablas!$G$1*VLOOKUP(AJ636, ev_control, 2, 0)+Tablas!$I$1*VLOOKUP(AK636, frec_control, 2, 0)+Tablas!$K$1*VLOOKUP(AL636, doc_control, 2, 0))*0.1*peso_dis, "")</f>
        <v/>
      </c>
      <c r="AN636" s="69"/>
      <c r="AO636" s="69"/>
      <c r="AP636" s="69"/>
      <c r="AQ636" s="81" t="str">
        <f>IFERROR((Tablas!$C$9*VLOOKUP(AN636, amb_control, 2, 0)+Tablas!$E$9*VLOOKUP(AO636, ejec_control, 2, 0)+Tablas!$G$9*VLOOKUP(AP636, cub_control, 2, 0))*0.1*peso_ejec, "")</f>
        <v/>
      </c>
      <c r="AR636" s="93" t="str">
        <f t="shared" si="1055"/>
        <v/>
      </c>
      <c r="AS636" s="94" t="str">
        <f t="shared" si="1030"/>
        <v/>
      </c>
      <c r="AT636" s="94" t="str">
        <f t="shared" si="1031"/>
        <v/>
      </c>
      <c r="AU636" s="94" t="str">
        <f>IF(AR636&lt;Tablas!$G$19, 0, IF(AND(AR636&gt;=Tablas!$G$19, AR636&lt;Tablas!$G$20), 1,  IF(AND(AR636&gt;=Tablas!$G$20, AR636&lt;Tablas!$G$21), 2,  IF(AND(AR636&gt;=Tablas!$G$21, AR636&lt;=Tablas!$G$22), 3,  ""))))</f>
        <v/>
      </c>
      <c r="AV636" s="94" t="str">
        <f t="shared" si="1056"/>
        <v/>
      </c>
      <c r="AW636" s="102" t="str">
        <f t="shared" si="1057"/>
        <v/>
      </c>
      <c r="AX636" s="157"/>
      <c r="AY636" s="170"/>
      <c r="AZ636" s="179"/>
      <c r="BA636" s="170"/>
      <c r="BB636" s="182"/>
      <c r="BC636" s="182"/>
      <c r="BD636" s="185"/>
      <c r="BE636" s="185"/>
      <c r="BF636" s="159"/>
      <c r="BG636" s="191"/>
    </row>
    <row r="637" spans="1:59" x14ac:dyDescent="0.25">
      <c r="A637" s="167"/>
      <c r="B637" s="167"/>
      <c r="C637" s="161" t="s">
        <v>180</v>
      </c>
      <c r="D637" s="160" t="s">
        <v>158</v>
      </c>
      <c r="E637" s="162"/>
      <c r="F637" s="163" t="str">
        <f t="shared" si="1019"/>
        <v/>
      </c>
      <c r="G637" s="149"/>
      <c r="H637" s="149"/>
      <c r="I637" s="149"/>
      <c r="J637" s="149"/>
      <c r="K637" s="149"/>
      <c r="L637" s="165" t="str">
        <f t="shared" ref="L637" si="1098">IFERROR(VLOOKUP(G637, tabla02, 2, 0), "")</f>
        <v/>
      </c>
      <c r="M637" s="165" t="str">
        <f t="shared" ref="M637" si="1099">IFERROR(VLOOKUP(H637, tabla02, 2, 0), "")</f>
        <v/>
      </c>
      <c r="N637" s="165" t="str">
        <f t="shared" ref="N637" si="1100">IFERROR(VLOOKUP(I637, tabla02, 2, 0), "")</f>
        <v/>
      </c>
      <c r="O637" s="165" t="str">
        <f t="shared" ref="O637" si="1101">IFERROR(VLOOKUP(J637, tabla02, 2, 0), "")</f>
        <v/>
      </c>
      <c r="P637" s="165" t="str">
        <f t="shared" ref="P637" si="1102">IFERROR(VLOOKUP(K637, tabla02, 2, 0), "")</f>
        <v/>
      </c>
      <c r="Q637" s="165" t="str">
        <f t="shared" ref="Q637" si="1103">IF(SUM(L637:O641)=0, "", MAX(L637:P637))</f>
        <v/>
      </c>
      <c r="R637" s="165" t="str">
        <f>IFERROR(VLOOKUP(Q637, tabla04, 3, 0), "")</f>
        <v/>
      </c>
      <c r="S637" s="148"/>
      <c r="T637" s="148"/>
      <c r="U637" s="148"/>
      <c r="V637" s="148"/>
      <c r="W637" s="148"/>
      <c r="X637" s="163" t="str">
        <f>IFERROR(VLOOKUP(CONCATENATE(F637, "-", Q637), cuadrante_sev, 3, 0), "")</f>
        <v/>
      </c>
      <c r="Y637" s="163" t="str">
        <f t="shared" ref="Y637" si="1104">IFERROR(IF(X637="Baja", 1, IF(X637="Moderada", 2, IF(X637="Alta", 3, IF(X637="Extrema", 4, "")))), "")</f>
        <v/>
      </c>
      <c r="Z637" s="172"/>
      <c r="AA637" s="188"/>
      <c r="AB637" s="172"/>
      <c r="AC637" s="172"/>
      <c r="AD637" s="175"/>
      <c r="AE637" s="70" t="s">
        <v>113</v>
      </c>
      <c r="AF637" s="135"/>
      <c r="AG637" s="74"/>
      <c r="AH637" s="72"/>
      <c r="AI637" s="72"/>
      <c r="AJ637" s="72"/>
      <c r="AK637" s="72"/>
      <c r="AL637" s="72"/>
      <c r="AM637" s="82" t="str">
        <f>IFERROR((Tablas!$C$1*VLOOKUP(AH637, tipo_control, 2, 0)+Tablas!$E$1*VLOOKUP(AI637, nat_control, 2, 0)+Tablas!$G$1*VLOOKUP(AJ637, ev_control, 2, 0)+Tablas!$I$1*VLOOKUP(AK637, frec_control, 2, 0)+Tablas!$K$1*VLOOKUP(AL637, doc_control, 2, 0))*0.1*peso_dis, "")</f>
        <v/>
      </c>
      <c r="AN637" s="72"/>
      <c r="AO637" s="72"/>
      <c r="AP637" s="72"/>
      <c r="AQ637" s="82" t="str">
        <f>IFERROR((Tablas!$C$9*VLOOKUP(AN637, amb_control, 2, 0)+Tablas!$E$9*VLOOKUP(AO637, ejec_control, 2, 0)+Tablas!$G$9*VLOOKUP(AP637, cub_control, 2, 0))*0.1*peso_ejec, "")</f>
        <v/>
      </c>
      <c r="AR637" s="96" t="str">
        <f t="shared" si="1055"/>
        <v/>
      </c>
      <c r="AS637" s="97" t="str">
        <f t="shared" si="1030"/>
        <v/>
      </c>
      <c r="AT637" s="87" t="str">
        <f t="shared" si="1031"/>
        <v/>
      </c>
      <c r="AU637" s="97" t="str">
        <f>IF(AR637&lt;Tablas!$G$19, 0, IF(AND(AR637&gt;=Tablas!$G$19, AR637&lt;Tablas!$G$20), 1,  IF(AND(AR637&gt;=Tablas!$G$20, AR637&lt;Tablas!$G$21), 2,  IF(AND(AR637&gt;=Tablas!$G$21, AR637&lt;=Tablas!$G$22), 3,  ""))))</f>
        <v/>
      </c>
      <c r="AV637" s="97" t="str">
        <f t="shared" si="1056"/>
        <v/>
      </c>
      <c r="AW637" s="103" t="str">
        <f t="shared" si="1057"/>
        <v/>
      </c>
      <c r="AX637" s="176" t="str">
        <f t="shared" ref="AX637" si="1105">IFERROR(VLOOKUP(AY637, tabla04, 2, 0), "")</f>
        <v/>
      </c>
      <c r="AY637" s="168" t="str">
        <f>IF(F637="", "", IF((F637-MAX(AV637:AV641))&lt;=0, 1, F637-MAX(AV637:AV641)))</f>
        <v/>
      </c>
      <c r="AZ637" s="178" t="str">
        <f t="shared" ref="AZ637" si="1106">IFERROR(VLOOKUP(BA637, tabla04, 3, 0), "")</f>
        <v/>
      </c>
      <c r="BA637" s="168" t="str">
        <f>IF(Q637="", "", IF((Q637-MAX(AW637:AW641))&lt;=0, 1, Q637-MAX(AW637:AW641)))</f>
        <v/>
      </c>
      <c r="BB637" s="182"/>
      <c r="BC637" s="182"/>
      <c r="BD637" s="185"/>
      <c r="BE637" s="185"/>
      <c r="BF637" s="158" t="str">
        <f t="shared" ref="BF637:BF639" si="1107">IFERROR(VLOOKUP(CONCATENATE(AY637, "-", BA637), cuadrante_sev, 3, 0), "")</f>
        <v/>
      </c>
      <c r="BG637" s="191"/>
    </row>
    <row r="638" spans="1:59" x14ac:dyDescent="0.25">
      <c r="A638" s="167"/>
      <c r="B638" s="167"/>
      <c r="C638" s="161"/>
      <c r="D638" s="160"/>
      <c r="E638" s="162"/>
      <c r="F638" s="164"/>
      <c r="G638" s="161"/>
      <c r="H638" s="161"/>
      <c r="I638" s="161"/>
      <c r="J638" s="161"/>
      <c r="K638" s="161"/>
      <c r="L638" s="166"/>
      <c r="M638" s="166"/>
      <c r="N638" s="166"/>
      <c r="O638" s="166"/>
      <c r="P638" s="166"/>
      <c r="Q638" s="166"/>
      <c r="R638" s="166"/>
      <c r="S638" s="167"/>
      <c r="T638" s="167"/>
      <c r="U638" s="167"/>
      <c r="V638" s="167"/>
      <c r="W638" s="167"/>
      <c r="X638" s="164"/>
      <c r="Y638" s="164"/>
      <c r="Z638" s="172"/>
      <c r="AA638" s="188"/>
      <c r="AB638" s="172"/>
      <c r="AC638" s="172"/>
      <c r="AD638" s="175"/>
      <c r="AE638" s="62" t="s">
        <v>114</v>
      </c>
      <c r="AF638" s="133"/>
      <c r="AG638" s="65"/>
      <c r="AH638" s="64"/>
      <c r="AI638" s="64"/>
      <c r="AJ638" s="64"/>
      <c r="AK638" s="64"/>
      <c r="AL638" s="64"/>
      <c r="AM638" s="80" t="str">
        <f>IFERROR((Tablas!$C$1*VLOOKUP(AH638, tipo_control, 2, 0)+Tablas!$E$1*VLOOKUP(AI638, nat_control, 2, 0)+Tablas!$G$1*VLOOKUP(AJ638, ev_control, 2, 0)+Tablas!$I$1*VLOOKUP(AK638, frec_control, 2, 0)+Tablas!$K$1*VLOOKUP(AL638, doc_control, 2, 0))*0.1*peso_dis, "")</f>
        <v/>
      </c>
      <c r="AN638" s="64"/>
      <c r="AO638" s="64"/>
      <c r="AP638" s="64"/>
      <c r="AQ638" s="80" t="str">
        <f>IFERROR((Tablas!$C$9*VLOOKUP(AN638, amb_control, 2, 0)+Tablas!$E$9*VLOOKUP(AO638, ejec_control, 2, 0)+Tablas!$G$9*VLOOKUP(AP638, cub_control, 2, 0))*0.1*peso_ejec, "")</f>
        <v/>
      </c>
      <c r="AR638" s="91" t="str">
        <f t="shared" si="1055"/>
        <v/>
      </c>
      <c r="AS638" s="85" t="str">
        <f t="shared" si="1030"/>
        <v/>
      </c>
      <c r="AT638" s="85" t="str">
        <f t="shared" si="1031"/>
        <v/>
      </c>
      <c r="AU638" s="85" t="str">
        <f>IF(AR638&lt;Tablas!$G$19, 0, IF(AND(AR638&gt;=Tablas!$G$19, AR638&lt;Tablas!$G$20), 1,  IF(AND(AR638&gt;=Tablas!$G$20, AR638&lt;Tablas!$G$21), 2,  IF(AND(AR638&gt;=Tablas!$G$21, AR638&lt;=Tablas!$G$22), 3,  ""))))</f>
        <v/>
      </c>
      <c r="AV638" s="85" t="str">
        <f t="shared" si="1056"/>
        <v/>
      </c>
      <c r="AW638" s="101" t="str">
        <f t="shared" si="1057"/>
        <v/>
      </c>
      <c r="AX638" s="177"/>
      <c r="AY638" s="169"/>
      <c r="AZ638" s="158"/>
      <c r="BA638" s="169"/>
      <c r="BB638" s="182"/>
      <c r="BC638" s="182"/>
      <c r="BD638" s="185"/>
      <c r="BE638" s="185"/>
      <c r="BF638" s="158" t="str">
        <f t="shared" si="1107"/>
        <v/>
      </c>
      <c r="BG638" s="191"/>
    </row>
    <row r="639" spans="1:59" x14ac:dyDescent="0.25">
      <c r="A639" s="167"/>
      <c r="B639" s="167"/>
      <c r="C639" s="161"/>
      <c r="D639" s="160"/>
      <c r="E639" s="162"/>
      <c r="F639" s="164"/>
      <c r="G639" s="161"/>
      <c r="H639" s="161"/>
      <c r="I639" s="161"/>
      <c r="J639" s="161"/>
      <c r="K639" s="161"/>
      <c r="L639" s="166"/>
      <c r="M639" s="166"/>
      <c r="N639" s="166"/>
      <c r="O639" s="166"/>
      <c r="P639" s="166"/>
      <c r="Q639" s="166"/>
      <c r="R639" s="166"/>
      <c r="S639" s="167"/>
      <c r="T639" s="167"/>
      <c r="U639" s="167"/>
      <c r="V639" s="167"/>
      <c r="W639" s="167"/>
      <c r="X639" s="164"/>
      <c r="Y639" s="164"/>
      <c r="Z639" s="172"/>
      <c r="AA639" s="188"/>
      <c r="AB639" s="172"/>
      <c r="AC639" s="172"/>
      <c r="AD639" s="175"/>
      <c r="AE639" s="62" t="s">
        <v>115</v>
      </c>
      <c r="AF639" s="133"/>
      <c r="AG639" s="65"/>
      <c r="AH639" s="64"/>
      <c r="AI639" s="64"/>
      <c r="AJ639" s="64"/>
      <c r="AK639" s="64"/>
      <c r="AL639" s="64"/>
      <c r="AM639" s="80" t="str">
        <f>IFERROR((Tablas!$C$1*VLOOKUP(AH639, tipo_control, 2, 0)+Tablas!$E$1*VLOOKUP(AI639, nat_control, 2, 0)+Tablas!$G$1*VLOOKUP(AJ639, ev_control, 2, 0)+Tablas!$I$1*VLOOKUP(AK639, frec_control, 2, 0)+Tablas!$K$1*VLOOKUP(AL639, doc_control, 2, 0))*0.1*peso_dis, "")</f>
        <v/>
      </c>
      <c r="AN639" s="64"/>
      <c r="AO639" s="64"/>
      <c r="AP639" s="64"/>
      <c r="AQ639" s="80" t="str">
        <f>IFERROR((Tablas!$C$9*VLOOKUP(AN639, amb_control, 2, 0)+Tablas!$E$9*VLOOKUP(AO639, ejec_control, 2, 0)+Tablas!$G$9*VLOOKUP(AP639, cub_control, 2, 0))*0.1*peso_ejec, "")</f>
        <v/>
      </c>
      <c r="AR639" s="91" t="str">
        <f t="shared" si="1055"/>
        <v/>
      </c>
      <c r="AS639" s="85" t="str">
        <f t="shared" si="1030"/>
        <v/>
      </c>
      <c r="AT639" s="85" t="str">
        <f t="shared" si="1031"/>
        <v/>
      </c>
      <c r="AU639" s="85" t="str">
        <f>IF(AR639&lt;Tablas!$G$19, 0, IF(AND(AR639&gt;=Tablas!$G$19, AR639&lt;Tablas!$G$20), 1,  IF(AND(AR639&gt;=Tablas!$G$20, AR639&lt;Tablas!$G$21), 2,  IF(AND(AR639&gt;=Tablas!$G$21, AR639&lt;=Tablas!$G$22), 3,  ""))))</f>
        <v/>
      </c>
      <c r="AV639" s="85" t="str">
        <f t="shared" si="1056"/>
        <v/>
      </c>
      <c r="AW639" s="101" t="str">
        <f t="shared" si="1057"/>
        <v/>
      </c>
      <c r="AX639" s="177"/>
      <c r="AY639" s="169"/>
      <c r="AZ639" s="158"/>
      <c r="BA639" s="169"/>
      <c r="BB639" s="182"/>
      <c r="BC639" s="182"/>
      <c r="BD639" s="185"/>
      <c r="BE639" s="185"/>
      <c r="BF639" s="158" t="str">
        <f t="shared" si="1107"/>
        <v/>
      </c>
      <c r="BG639" s="191"/>
    </row>
    <row r="640" spans="1:59" x14ac:dyDescent="0.25">
      <c r="A640" s="167"/>
      <c r="B640" s="167"/>
      <c r="C640" s="161"/>
      <c r="D640" s="160"/>
      <c r="E640" s="162"/>
      <c r="F640" s="164"/>
      <c r="G640" s="161"/>
      <c r="H640" s="161"/>
      <c r="I640" s="161"/>
      <c r="J640" s="161"/>
      <c r="K640" s="161"/>
      <c r="L640" s="166"/>
      <c r="M640" s="166"/>
      <c r="N640" s="166"/>
      <c r="O640" s="166"/>
      <c r="P640" s="166"/>
      <c r="Q640" s="166"/>
      <c r="R640" s="166"/>
      <c r="S640" s="167"/>
      <c r="T640" s="167"/>
      <c r="U640" s="167"/>
      <c r="V640" s="167"/>
      <c r="W640" s="167"/>
      <c r="X640" s="164"/>
      <c r="Y640" s="164"/>
      <c r="Z640" s="172"/>
      <c r="AA640" s="188"/>
      <c r="AB640" s="172"/>
      <c r="AC640" s="172"/>
      <c r="AD640" s="175"/>
      <c r="AE640" s="62" t="s">
        <v>153</v>
      </c>
      <c r="AF640" s="133"/>
      <c r="AG640" s="65"/>
      <c r="AH640" s="64"/>
      <c r="AI640" s="64"/>
      <c r="AJ640" s="64"/>
      <c r="AK640" s="64"/>
      <c r="AL640" s="64"/>
      <c r="AM640" s="80" t="str">
        <f>IFERROR((Tablas!$C$1*VLOOKUP(AH640, tipo_control, 2, 0)+Tablas!$E$1*VLOOKUP(AI640, nat_control, 2, 0)+Tablas!$G$1*VLOOKUP(AJ640, ev_control, 2, 0)+Tablas!$I$1*VLOOKUP(AK640, frec_control, 2, 0)+Tablas!$K$1*VLOOKUP(AL640, doc_control, 2, 0))*0.1*peso_dis, "")</f>
        <v/>
      </c>
      <c r="AN640" s="64"/>
      <c r="AO640" s="64"/>
      <c r="AP640" s="64"/>
      <c r="AQ640" s="80" t="str">
        <f>IFERROR((Tablas!$C$9*VLOOKUP(AN640, amb_control, 2, 0)+Tablas!$E$9*VLOOKUP(AO640, ejec_control, 2, 0)+Tablas!$G$9*VLOOKUP(AP640, cub_control, 2, 0))*0.1*peso_ejec, "")</f>
        <v/>
      </c>
      <c r="AR640" s="91" t="str">
        <f t="shared" si="1055"/>
        <v/>
      </c>
      <c r="AS640" s="85" t="str">
        <f t="shared" si="1030"/>
        <v/>
      </c>
      <c r="AT640" s="85" t="str">
        <f t="shared" si="1031"/>
        <v/>
      </c>
      <c r="AU640" s="85" t="str">
        <f>IF(AR640&lt;Tablas!$G$19, 0, IF(AND(AR640&gt;=Tablas!$G$19, AR640&lt;Tablas!$G$20), 1,  IF(AND(AR640&gt;=Tablas!$G$20, AR640&lt;Tablas!$G$21), 2,  IF(AND(AR640&gt;=Tablas!$G$21, AR640&lt;=Tablas!$G$22), 3,  ""))))</f>
        <v/>
      </c>
      <c r="AV640" s="85" t="str">
        <f t="shared" si="1056"/>
        <v/>
      </c>
      <c r="AW640" s="101" t="str">
        <f t="shared" si="1057"/>
        <v/>
      </c>
      <c r="AX640" s="177"/>
      <c r="AY640" s="169"/>
      <c r="AZ640" s="158"/>
      <c r="BA640" s="169"/>
      <c r="BB640" s="182"/>
      <c r="BC640" s="182"/>
      <c r="BD640" s="185"/>
      <c r="BE640" s="185"/>
      <c r="BF640" s="158"/>
      <c r="BG640" s="191"/>
    </row>
    <row r="641" spans="1:59" ht="15.75" thickBot="1" x14ac:dyDescent="0.3">
      <c r="A641" s="167"/>
      <c r="B641" s="167"/>
      <c r="C641" s="161"/>
      <c r="D641" s="160"/>
      <c r="E641" s="162"/>
      <c r="F641" s="165"/>
      <c r="G641" s="161"/>
      <c r="H641" s="161"/>
      <c r="I641" s="161"/>
      <c r="J641" s="161"/>
      <c r="K641" s="161"/>
      <c r="L641" s="166"/>
      <c r="M641" s="166"/>
      <c r="N641" s="166"/>
      <c r="O641" s="166"/>
      <c r="P641" s="166"/>
      <c r="Q641" s="166"/>
      <c r="R641" s="166"/>
      <c r="S641" s="149"/>
      <c r="T641" s="149"/>
      <c r="U641" s="149"/>
      <c r="V641" s="149"/>
      <c r="W641" s="149"/>
      <c r="X641" s="165"/>
      <c r="Y641" s="165"/>
      <c r="Z641" s="172"/>
      <c r="AA641" s="188"/>
      <c r="AB641" s="172"/>
      <c r="AC641" s="172"/>
      <c r="AD641" s="175"/>
      <c r="AE641" s="66" t="s">
        <v>154</v>
      </c>
      <c r="AF641" s="134"/>
      <c r="AG641" s="67"/>
      <c r="AH641" s="69"/>
      <c r="AI641" s="69"/>
      <c r="AJ641" s="69"/>
      <c r="AK641" s="69"/>
      <c r="AL641" s="69"/>
      <c r="AM641" s="81" t="str">
        <f>IFERROR((Tablas!$C$1*VLOOKUP(AH641, tipo_control, 2, 0)+Tablas!$E$1*VLOOKUP(AI641, nat_control, 2, 0)+Tablas!$G$1*VLOOKUP(AJ641, ev_control, 2, 0)+Tablas!$I$1*VLOOKUP(AK641, frec_control, 2, 0)+Tablas!$K$1*VLOOKUP(AL641, doc_control, 2, 0))*0.1*peso_dis, "")</f>
        <v/>
      </c>
      <c r="AN641" s="69"/>
      <c r="AO641" s="69"/>
      <c r="AP641" s="69"/>
      <c r="AQ641" s="81" t="str">
        <f>IFERROR((Tablas!$C$9*VLOOKUP(AN641, amb_control, 2, 0)+Tablas!$E$9*VLOOKUP(AO641, ejec_control, 2, 0)+Tablas!$G$9*VLOOKUP(AP641, cub_control, 2, 0))*0.1*peso_ejec, "")</f>
        <v/>
      </c>
      <c r="AR641" s="93" t="str">
        <f t="shared" si="1055"/>
        <v/>
      </c>
      <c r="AS641" s="94" t="str">
        <f t="shared" si="1030"/>
        <v/>
      </c>
      <c r="AT641" s="94" t="str">
        <f t="shared" si="1031"/>
        <v/>
      </c>
      <c r="AU641" s="94" t="str">
        <f>IF(AR641&lt;Tablas!$G$19, 0, IF(AND(AR641&gt;=Tablas!$G$19, AR641&lt;Tablas!$G$20), 1,  IF(AND(AR641&gt;=Tablas!$G$20, AR641&lt;Tablas!$G$21), 2,  IF(AND(AR641&gt;=Tablas!$G$21, AR641&lt;=Tablas!$G$22), 3,  ""))))</f>
        <v/>
      </c>
      <c r="AV641" s="94" t="str">
        <f t="shared" si="1056"/>
        <v/>
      </c>
      <c r="AW641" s="102" t="str">
        <f t="shared" si="1057"/>
        <v/>
      </c>
      <c r="AX641" s="157"/>
      <c r="AY641" s="170"/>
      <c r="AZ641" s="179"/>
      <c r="BA641" s="170"/>
      <c r="BB641" s="182"/>
      <c r="BC641" s="182"/>
      <c r="BD641" s="185"/>
      <c r="BE641" s="185"/>
      <c r="BF641" s="159"/>
      <c r="BG641" s="191"/>
    </row>
    <row r="642" spans="1:59" x14ac:dyDescent="0.25">
      <c r="A642" s="167"/>
      <c r="B642" s="167"/>
      <c r="C642" s="161" t="s">
        <v>181</v>
      </c>
      <c r="D642" s="160" t="s">
        <v>158</v>
      </c>
      <c r="E642" s="162"/>
      <c r="F642" s="163" t="str">
        <f t="shared" si="1019"/>
        <v/>
      </c>
      <c r="G642" s="149"/>
      <c r="H642" s="149"/>
      <c r="I642" s="149"/>
      <c r="J642" s="149"/>
      <c r="K642" s="149"/>
      <c r="L642" s="165" t="str">
        <f t="shared" ref="L642" si="1108">IFERROR(VLOOKUP(G642, tabla02, 2, 0), "")</f>
        <v/>
      </c>
      <c r="M642" s="165" t="str">
        <f t="shared" ref="M642" si="1109">IFERROR(VLOOKUP(H642, tabla02, 2, 0), "")</f>
        <v/>
      </c>
      <c r="N642" s="165" t="str">
        <f t="shared" ref="N642" si="1110">IFERROR(VLOOKUP(I642, tabla02, 2, 0), "")</f>
        <v/>
      </c>
      <c r="O642" s="165" t="str">
        <f t="shared" ref="O642" si="1111">IFERROR(VLOOKUP(J642, tabla02, 2, 0), "")</f>
        <v/>
      </c>
      <c r="P642" s="165" t="str">
        <f t="shared" ref="P642" si="1112">IFERROR(VLOOKUP(K642, tabla02, 2, 0), "")</f>
        <v/>
      </c>
      <c r="Q642" s="165" t="str">
        <f t="shared" ref="Q642" si="1113">IF(SUM(L642:O646)=0, "", MAX(L642:P642))</f>
        <v/>
      </c>
      <c r="R642" s="165" t="str">
        <f>IFERROR(VLOOKUP(Q642, tabla04, 3, 0), "")</f>
        <v/>
      </c>
      <c r="S642" s="148"/>
      <c r="T642" s="148"/>
      <c r="U642" s="148"/>
      <c r="V642" s="148"/>
      <c r="W642" s="148"/>
      <c r="X642" s="163" t="str">
        <f>IFERROR(VLOOKUP(CONCATENATE(F642, "-", Q642), cuadrante_sev, 3, 0), "")</f>
        <v/>
      </c>
      <c r="Y642" s="163" t="str">
        <f t="shared" ref="Y642" si="1114">IFERROR(IF(X642="Baja", 1, IF(X642="Moderada", 2, IF(X642="Alta", 3, IF(X642="Extrema", 4, "")))), "")</f>
        <v/>
      </c>
      <c r="Z642" s="172"/>
      <c r="AA642" s="188"/>
      <c r="AB642" s="172"/>
      <c r="AC642" s="172"/>
      <c r="AD642" s="175"/>
      <c r="AE642" s="70" t="s">
        <v>113</v>
      </c>
      <c r="AF642" s="135"/>
      <c r="AG642" s="74"/>
      <c r="AH642" s="72"/>
      <c r="AI642" s="72"/>
      <c r="AJ642" s="72"/>
      <c r="AK642" s="72"/>
      <c r="AL642" s="72"/>
      <c r="AM642" s="82" t="str">
        <f>IFERROR((Tablas!$C$1*VLOOKUP(AH642, tipo_control, 2, 0)+Tablas!$E$1*VLOOKUP(AI642, nat_control, 2, 0)+Tablas!$G$1*VLOOKUP(AJ642, ev_control, 2, 0)+Tablas!$I$1*VLOOKUP(AK642, frec_control, 2, 0)+Tablas!$K$1*VLOOKUP(AL642, doc_control, 2, 0))*0.1*peso_dis, "")</f>
        <v/>
      </c>
      <c r="AN642" s="72"/>
      <c r="AO642" s="72"/>
      <c r="AP642" s="72"/>
      <c r="AQ642" s="82" t="str">
        <f>IFERROR((Tablas!$C$9*VLOOKUP(AN642, amb_control, 2, 0)+Tablas!$E$9*VLOOKUP(AO642, ejec_control, 2, 0)+Tablas!$G$9*VLOOKUP(AP642, cub_control, 2, 0))*0.1*peso_ejec, "")</f>
        <v/>
      </c>
      <c r="AR642" s="96" t="str">
        <f t="shared" si="1055"/>
        <v/>
      </c>
      <c r="AS642" s="97" t="str">
        <f t="shared" si="1030"/>
        <v/>
      </c>
      <c r="AT642" s="87" t="str">
        <f t="shared" si="1031"/>
        <v/>
      </c>
      <c r="AU642" s="97" t="str">
        <f>IF(AR642&lt;Tablas!$G$19, 0, IF(AND(AR642&gt;=Tablas!$G$19, AR642&lt;Tablas!$G$20), 1,  IF(AND(AR642&gt;=Tablas!$G$20, AR642&lt;Tablas!$G$21), 2,  IF(AND(AR642&gt;=Tablas!$G$21, AR642&lt;=Tablas!$G$22), 3,  ""))))</f>
        <v/>
      </c>
      <c r="AV642" s="97" t="str">
        <f t="shared" si="1056"/>
        <v/>
      </c>
      <c r="AW642" s="103" t="str">
        <f t="shared" si="1057"/>
        <v/>
      </c>
      <c r="AX642" s="176" t="str">
        <f t="shared" ref="AX642" si="1115">IFERROR(VLOOKUP(AY642, tabla04, 2, 0), "")</f>
        <v/>
      </c>
      <c r="AY642" s="168" t="str">
        <f>IF(F642="", "", IF((F642-MAX(AV642:AV646))&lt;=0, 1, F642-MAX(AV642:AV646)))</f>
        <v/>
      </c>
      <c r="AZ642" s="178" t="str">
        <f t="shared" ref="AZ642" si="1116">IFERROR(VLOOKUP(BA642, tabla04, 3, 0), "")</f>
        <v/>
      </c>
      <c r="BA642" s="168" t="str">
        <f>IF(Q642="", "", IF((Q642-MAX(AW642:AW646))&lt;=0, 1, Q642-MAX(AW642:AW646)))</f>
        <v/>
      </c>
      <c r="BB642" s="182"/>
      <c r="BC642" s="182"/>
      <c r="BD642" s="185"/>
      <c r="BE642" s="185"/>
      <c r="BF642" s="158" t="str">
        <f t="shared" ref="BF642:BF644" si="1117">IFERROR(VLOOKUP(CONCATENATE(AY642, "-", BA642), cuadrante_sev, 3, 0), "")</f>
        <v/>
      </c>
      <c r="BG642" s="191"/>
    </row>
    <row r="643" spans="1:59" x14ac:dyDescent="0.25">
      <c r="A643" s="167"/>
      <c r="B643" s="167"/>
      <c r="C643" s="161"/>
      <c r="D643" s="160"/>
      <c r="E643" s="162"/>
      <c r="F643" s="164"/>
      <c r="G643" s="161"/>
      <c r="H643" s="161"/>
      <c r="I643" s="161"/>
      <c r="J643" s="161"/>
      <c r="K643" s="161"/>
      <c r="L643" s="166"/>
      <c r="M643" s="166"/>
      <c r="N643" s="166"/>
      <c r="O643" s="166"/>
      <c r="P643" s="166"/>
      <c r="Q643" s="166"/>
      <c r="R643" s="166"/>
      <c r="S643" s="167"/>
      <c r="T643" s="167"/>
      <c r="U643" s="167"/>
      <c r="V643" s="167"/>
      <c r="W643" s="167"/>
      <c r="X643" s="164"/>
      <c r="Y643" s="164"/>
      <c r="Z643" s="172"/>
      <c r="AA643" s="188"/>
      <c r="AB643" s="172"/>
      <c r="AC643" s="172"/>
      <c r="AD643" s="175"/>
      <c r="AE643" s="62" t="s">
        <v>114</v>
      </c>
      <c r="AF643" s="133"/>
      <c r="AG643" s="65"/>
      <c r="AH643" s="64"/>
      <c r="AI643" s="64"/>
      <c r="AJ643" s="64"/>
      <c r="AK643" s="64"/>
      <c r="AL643" s="64"/>
      <c r="AM643" s="80" t="str">
        <f>IFERROR((Tablas!$C$1*VLOOKUP(AH643, tipo_control, 2, 0)+Tablas!$E$1*VLOOKUP(AI643, nat_control, 2, 0)+Tablas!$G$1*VLOOKUP(AJ643, ev_control, 2, 0)+Tablas!$I$1*VLOOKUP(AK643, frec_control, 2, 0)+Tablas!$K$1*VLOOKUP(AL643, doc_control, 2, 0))*0.1*peso_dis, "")</f>
        <v/>
      </c>
      <c r="AN643" s="64"/>
      <c r="AO643" s="64"/>
      <c r="AP643" s="64"/>
      <c r="AQ643" s="80" t="str">
        <f>IFERROR((Tablas!$C$9*VLOOKUP(AN643, amb_control, 2, 0)+Tablas!$E$9*VLOOKUP(AO643, ejec_control, 2, 0)+Tablas!$G$9*VLOOKUP(AP643, cub_control, 2, 0))*0.1*peso_ejec, "")</f>
        <v/>
      </c>
      <c r="AR643" s="91" t="str">
        <f t="shared" si="1055"/>
        <v/>
      </c>
      <c r="AS643" s="85" t="str">
        <f t="shared" si="1030"/>
        <v/>
      </c>
      <c r="AT643" s="85" t="str">
        <f t="shared" si="1031"/>
        <v/>
      </c>
      <c r="AU643" s="85" t="str">
        <f>IF(AR643&lt;Tablas!$G$19, 0, IF(AND(AR643&gt;=Tablas!$G$19, AR643&lt;Tablas!$G$20), 1,  IF(AND(AR643&gt;=Tablas!$G$20, AR643&lt;Tablas!$G$21), 2,  IF(AND(AR643&gt;=Tablas!$G$21, AR643&lt;=Tablas!$G$22), 3,  ""))))</f>
        <v/>
      </c>
      <c r="AV643" s="85" t="str">
        <f t="shared" si="1056"/>
        <v/>
      </c>
      <c r="AW643" s="101" t="str">
        <f t="shared" si="1057"/>
        <v/>
      </c>
      <c r="AX643" s="177"/>
      <c r="AY643" s="169"/>
      <c r="AZ643" s="158"/>
      <c r="BA643" s="169"/>
      <c r="BB643" s="182"/>
      <c r="BC643" s="182"/>
      <c r="BD643" s="185"/>
      <c r="BE643" s="185"/>
      <c r="BF643" s="158" t="str">
        <f t="shared" si="1117"/>
        <v/>
      </c>
      <c r="BG643" s="191"/>
    </row>
    <row r="644" spans="1:59" x14ac:dyDescent="0.25">
      <c r="A644" s="167"/>
      <c r="B644" s="167"/>
      <c r="C644" s="161"/>
      <c r="D644" s="160"/>
      <c r="E644" s="162"/>
      <c r="F644" s="164"/>
      <c r="G644" s="161"/>
      <c r="H644" s="161"/>
      <c r="I644" s="161"/>
      <c r="J644" s="161"/>
      <c r="K644" s="161"/>
      <c r="L644" s="166"/>
      <c r="M644" s="166"/>
      <c r="N644" s="166"/>
      <c r="O644" s="166"/>
      <c r="P644" s="166"/>
      <c r="Q644" s="166"/>
      <c r="R644" s="166"/>
      <c r="S644" s="167"/>
      <c r="T644" s="167"/>
      <c r="U644" s="167"/>
      <c r="V644" s="167"/>
      <c r="W644" s="167"/>
      <c r="X644" s="164"/>
      <c r="Y644" s="164"/>
      <c r="Z644" s="172"/>
      <c r="AA644" s="188"/>
      <c r="AB644" s="172"/>
      <c r="AC644" s="172"/>
      <c r="AD644" s="175"/>
      <c r="AE644" s="62" t="s">
        <v>115</v>
      </c>
      <c r="AF644" s="133"/>
      <c r="AG644" s="65"/>
      <c r="AH644" s="64"/>
      <c r="AI644" s="64"/>
      <c r="AJ644" s="64"/>
      <c r="AK644" s="64"/>
      <c r="AL644" s="64"/>
      <c r="AM644" s="80" t="str">
        <f>IFERROR((Tablas!$C$1*VLOOKUP(AH644, tipo_control, 2, 0)+Tablas!$E$1*VLOOKUP(AI644, nat_control, 2, 0)+Tablas!$G$1*VLOOKUP(AJ644, ev_control, 2, 0)+Tablas!$I$1*VLOOKUP(AK644, frec_control, 2, 0)+Tablas!$K$1*VLOOKUP(AL644, doc_control, 2, 0))*0.1*peso_dis, "")</f>
        <v/>
      </c>
      <c r="AN644" s="64"/>
      <c r="AO644" s="64"/>
      <c r="AP644" s="64"/>
      <c r="AQ644" s="80" t="str">
        <f>IFERROR((Tablas!$C$9*VLOOKUP(AN644, amb_control, 2, 0)+Tablas!$E$9*VLOOKUP(AO644, ejec_control, 2, 0)+Tablas!$G$9*VLOOKUP(AP644, cub_control, 2, 0))*0.1*peso_ejec, "")</f>
        <v/>
      </c>
      <c r="AR644" s="91" t="str">
        <f t="shared" si="1055"/>
        <v/>
      </c>
      <c r="AS644" s="85" t="str">
        <f t="shared" si="1030"/>
        <v/>
      </c>
      <c r="AT644" s="85" t="str">
        <f t="shared" si="1031"/>
        <v/>
      </c>
      <c r="AU644" s="85" t="str">
        <f>IF(AR644&lt;Tablas!$G$19, 0, IF(AND(AR644&gt;=Tablas!$G$19, AR644&lt;Tablas!$G$20), 1,  IF(AND(AR644&gt;=Tablas!$G$20, AR644&lt;Tablas!$G$21), 2,  IF(AND(AR644&gt;=Tablas!$G$21, AR644&lt;=Tablas!$G$22), 3,  ""))))</f>
        <v/>
      </c>
      <c r="AV644" s="85" t="str">
        <f t="shared" si="1056"/>
        <v/>
      </c>
      <c r="AW644" s="101" t="str">
        <f t="shared" si="1057"/>
        <v/>
      </c>
      <c r="AX644" s="177"/>
      <c r="AY644" s="169"/>
      <c r="AZ644" s="158"/>
      <c r="BA644" s="169"/>
      <c r="BB644" s="182"/>
      <c r="BC644" s="182"/>
      <c r="BD644" s="185"/>
      <c r="BE644" s="185"/>
      <c r="BF644" s="158" t="str">
        <f t="shared" si="1117"/>
        <v/>
      </c>
      <c r="BG644" s="191"/>
    </row>
    <row r="645" spans="1:59" x14ac:dyDescent="0.25">
      <c r="A645" s="167"/>
      <c r="B645" s="167"/>
      <c r="C645" s="161"/>
      <c r="D645" s="160"/>
      <c r="E645" s="162"/>
      <c r="F645" s="164"/>
      <c r="G645" s="161"/>
      <c r="H645" s="161"/>
      <c r="I645" s="161"/>
      <c r="J645" s="161"/>
      <c r="K645" s="161"/>
      <c r="L645" s="166"/>
      <c r="M645" s="166"/>
      <c r="N645" s="166"/>
      <c r="O645" s="166"/>
      <c r="P645" s="166"/>
      <c r="Q645" s="166"/>
      <c r="R645" s="166"/>
      <c r="S645" s="167"/>
      <c r="T645" s="167"/>
      <c r="U645" s="167"/>
      <c r="V645" s="167"/>
      <c r="W645" s="167"/>
      <c r="X645" s="164"/>
      <c r="Y645" s="164"/>
      <c r="Z645" s="172"/>
      <c r="AA645" s="188"/>
      <c r="AB645" s="172"/>
      <c r="AC645" s="172"/>
      <c r="AD645" s="175"/>
      <c r="AE645" s="62" t="s">
        <v>153</v>
      </c>
      <c r="AF645" s="133"/>
      <c r="AG645" s="65"/>
      <c r="AH645" s="64"/>
      <c r="AI645" s="64"/>
      <c r="AJ645" s="64"/>
      <c r="AK645" s="64"/>
      <c r="AL645" s="64"/>
      <c r="AM645" s="80" t="str">
        <f>IFERROR((Tablas!$C$1*VLOOKUP(AH645, tipo_control, 2, 0)+Tablas!$E$1*VLOOKUP(AI645, nat_control, 2, 0)+Tablas!$G$1*VLOOKUP(AJ645, ev_control, 2, 0)+Tablas!$I$1*VLOOKUP(AK645, frec_control, 2, 0)+Tablas!$K$1*VLOOKUP(AL645, doc_control, 2, 0))*0.1*peso_dis, "")</f>
        <v/>
      </c>
      <c r="AN645" s="64"/>
      <c r="AO645" s="64"/>
      <c r="AP645" s="64"/>
      <c r="AQ645" s="80" t="str">
        <f>IFERROR((Tablas!$C$9*VLOOKUP(AN645, amb_control, 2, 0)+Tablas!$E$9*VLOOKUP(AO645, ejec_control, 2, 0)+Tablas!$G$9*VLOOKUP(AP645, cub_control, 2, 0))*0.1*peso_ejec, "")</f>
        <v/>
      </c>
      <c r="AR645" s="91" t="str">
        <f t="shared" si="1055"/>
        <v/>
      </c>
      <c r="AS645" s="85" t="str">
        <f t="shared" si="1030"/>
        <v/>
      </c>
      <c r="AT645" s="85" t="str">
        <f t="shared" si="1031"/>
        <v/>
      </c>
      <c r="AU645" s="85" t="str">
        <f>IF(AR645&lt;Tablas!$G$19, 0, IF(AND(AR645&gt;=Tablas!$G$19, AR645&lt;Tablas!$G$20), 1,  IF(AND(AR645&gt;=Tablas!$G$20, AR645&lt;Tablas!$G$21), 2,  IF(AND(AR645&gt;=Tablas!$G$21, AR645&lt;=Tablas!$G$22), 3,  ""))))</f>
        <v/>
      </c>
      <c r="AV645" s="85" t="str">
        <f t="shared" si="1056"/>
        <v/>
      </c>
      <c r="AW645" s="101" t="str">
        <f t="shared" si="1057"/>
        <v/>
      </c>
      <c r="AX645" s="177"/>
      <c r="AY645" s="169"/>
      <c r="AZ645" s="158"/>
      <c r="BA645" s="169"/>
      <c r="BB645" s="182"/>
      <c r="BC645" s="182"/>
      <c r="BD645" s="185"/>
      <c r="BE645" s="185"/>
      <c r="BF645" s="158"/>
      <c r="BG645" s="191"/>
    </row>
    <row r="646" spans="1:59" ht="15.75" thickBot="1" x14ac:dyDescent="0.3">
      <c r="A646" s="167"/>
      <c r="B646" s="167"/>
      <c r="C646" s="161"/>
      <c r="D646" s="160"/>
      <c r="E646" s="162"/>
      <c r="F646" s="165"/>
      <c r="G646" s="161"/>
      <c r="H646" s="161"/>
      <c r="I646" s="161"/>
      <c r="J646" s="161"/>
      <c r="K646" s="161"/>
      <c r="L646" s="166"/>
      <c r="M646" s="166"/>
      <c r="N646" s="166"/>
      <c r="O646" s="166"/>
      <c r="P646" s="166"/>
      <c r="Q646" s="166"/>
      <c r="R646" s="166"/>
      <c r="S646" s="149"/>
      <c r="T646" s="149"/>
      <c r="U646" s="149"/>
      <c r="V646" s="149"/>
      <c r="W646" s="149"/>
      <c r="X646" s="165"/>
      <c r="Y646" s="165"/>
      <c r="Z646" s="172"/>
      <c r="AA646" s="188"/>
      <c r="AB646" s="172"/>
      <c r="AC646" s="172"/>
      <c r="AD646" s="175"/>
      <c r="AE646" s="66" t="s">
        <v>154</v>
      </c>
      <c r="AF646" s="134"/>
      <c r="AG646" s="67"/>
      <c r="AH646" s="69"/>
      <c r="AI646" s="69"/>
      <c r="AJ646" s="69"/>
      <c r="AK646" s="69"/>
      <c r="AL646" s="69"/>
      <c r="AM646" s="81" t="str">
        <f>IFERROR((Tablas!$C$1*VLOOKUP(AH646, tipo_control, 2, 0)+Tablas!$E$1*VLOOKUP(AI646, nat_control, 2, 0)+Tablas!$G$1*VLOOKUP(AJ646, ev_control, 2, 0)+Tablas!$I$1*VLOOKUP(AK646, frec_control, 2, 0)+Tablas!$K$1*VLOOKUP(AL646, doc_control, 2, 0))*0.1*peso_dis, "")</f>
        <v/>
      </c>
      <c r="AN646" s="69"/>
      <c r="AO646" s="69"/>
      <c r="AP646" s="69"/>
      <c r="AQ646" s="81" t="str">
        <f>IFERROR((Tablas!$C$9*VLOOKUP(AN646, amb_control, 2, 0)+Tablas!$E$9*VLOOKUP(AO646, ejec_control, 2, 0)+Tablas!$G$9*VLOOKUP(AP646, cub_control, 2, 0))*0.1*peso_ejec, "")</f>
        <v/>
      </c>
      <c r="AR646" s="93" t="str">
        <f t="shared" si="1055"/>
        <v/>
      </c>
      <c r="AS646" s="94" t="str">
        <f t="shared" si="1030"/>
        <v/>
      </c>
      <c r="AT646" s="94" t="str">
        <f t="shared" si="1031"/>
        <v/>
      </c>
      <c r="AU646" s="94" t="str">
        <f>IF(AR646&lt;Tablas!$G$19, 0, IF(AND(AR646&gt;=Tablas!$G$19, AR646&lt;Tablas!$G$20), 1,  IF(AND(AR646&gt;=Tablas!$G$20, AR646&lt;Tablas!$G$21), 2,  IF(AND(AR646&gt;=Tablas!$G$21, AR646&lt;=Tablas!$G$22), 3,  ""))))</f>
        <v/>
      </c>
      <c r="AV646" s="94" t="str">
        <f t="shared" si="1056"/>
        <v/>
      </c>
      <c r="AW646" s="102" t="str">
        <f t="shared" si="1057"/>
        <v/>
      </c>
      <c r="AX646" s="157"/>
      <c r="AY646" s="170"/>
      <c r="AZ646" s="179"/>
      <c r="BA646" s="170"/>
      <c r="BB646" s="182"/>
      <c r="BC646" s="182"/>
      <c r="BD646" s="185"/>
      <c r="BE646" s="185"/>
      <c r="BF646" s="159"/>
      <c r="BG646" s="191"/>
    </row>
    <row r="647" spans="1:59" x14ac:dyDescent="0.25">
      <c r="A647" s="167"/>
      <c r="B647" s="167"/>
      <c r="C647" s="161" t="s">
        <v>182</v>
      </c>
      <c r="D647" s="160" t="s">
        <v>158</v>
      </c>
      <c r="E647" s="162"/>
      <c r="F647" s="163" t="str">
        <f t="shared" si="1019"/>
        <v/>
      </c>
      <c r="G647" s="149"/>
      <c r="H647" s="149"/>
      <c r="I647" s="149"/>
      <c r="J647" s="149"/>
      <c r="K647" s="149"/>
      <c r="L647" s="165" t="str">
        <f t="shared" ref="L647" si="1118">IFERROR(VLOOKUP(G647, tabla02, 2, 0), "")</f>
        <v/>
      </c>
      <c r="M647" s="165" t="str">
        <f t="shared" ref="M647" si="1119">IFERROR(VLOOKUP(H647, tabla02, 2, 0), "")</f>
        <v/>
      </c>
      <c r="N647" s="165" t="str">
        <f t="shared" ref="N647" si="1120">IFERROR(VLOOKUP(I647, tabla02, 2, 0), "")</f>
        <v/>
      </c>
      <c r="O647" s="165" t="str">
        <f t="shared" ref="O647" si="1121">IFERROR(VLOOKUP(J647, tabla02, 2, 0), "")</f>
        <v/>
      </c>
      <c r="P647" s="165" t="str">
        <f t="shared" ref="P647" si="1122">IFERROR(VLOOKUP(K647, tabla02, 2, 0), "")</f>
        <v/>
      </c>
      <c r="Q647" s="165" t="str">
        <f t="shared" ref="Q647" si="1123">IF(SUM(L647:O651)=0, "", MAX(L647:P647))</f>
        <v/>
      </c>
      <c r="R647" s="165" t="str">
        <f>IFERROR(VLOOKUP(Q647, tabla04, 3, 0), "")</f>
        <v/>
      </c>
      <c r="S647" s="148"/>
      <c r="T647" s="148"/>
      <c r="U647" s="148"/>
      <c r="V647" s="148"/>
      <c r="W647" s="148"/>
      <c r="X647" s="163" t="str">
        <f>IFERROR(VLOOKUP(CONCATENATE(F647, "-", Q647), cuadrante_sev, 3, 0), "")</f>
        <v/>
      </c>
      <c r="Y647" s="163" t="str">
        <f t="shared" ref="Y647" si="1124">IFERROR(IF(X647="Baja", 1, IF(X647="Moderada", 2, IF(X647="Alta", 3, IF(X647="Extrema", 4, "")))), "")</f>
        <v/>
      </c>
      <c r="Z647" s="172"/>
      <c r="AA647" s="188"/>
      <c r="AB647" s="172"/>
      <c r="AC647" s="172"/>
      <c r="AD647" s="175"/>
      <c r="AE647" s="70" t="s">
        <v>113</v>
      </c>
      <c r="AF647" s="135"/>
      <c r="AG647" s="74"/>
      <c r="AH647" s="72"/>
      <c r="AI647" s="72"/>
      <c r="AJ647" s="72"/>
      <c r="AK647" s="72"/>
      <c r="AL647" s="72"/>
      <c r="AM647" s="82" t="str">
        <f>IFERROR((Tablas!$C$1*VLOOKUP(AH647, tipo_control, 2, 0)+Tablas!$E$1*VLOOKUP(AI647, nat_control, 2, 0)+Tablas!$G$1*VLOOKUP(AJ647, ev_control, 2, 0)+Tablas!$I$1*VLOOKUP(AK647, frec_control, 2, 0)+Tablas!$K$1*VLOOKUP(AL647, doc_control, 2, 0))*0.1*peso_dis, "")</f>
        <v/>
      </c>
      <c r="AN647" s="72"/>
      <c r="AO647" s="72"/>
      <c r="AP647" s="72"/>
      <c r="AQ647" s="82" t="str">
        <f>IFERROR((Tablas!$C$9*VLOOKUP(AN647, amb_control, 2, 0)+Tablas!$E$9*VLOOKUP(AO647, ejec_control, 2, 0)+Tablas!$G$9*VLOOKUP(AP647, cub_control, 2, 0))*0.1*peso_ejec, "")</f>
        <v/>
      </c>
      <c r="AR647" s="96" t="str">
        <f t="shared" si="1055"/>
        <v/>
      </c>
      <c r="AS647" s="97" t="str">
        <f t="shared" si="1030"/>
        <v/>
      </c>
      <c r="AT647" s="87" t="str">
        <f t="shared" si="1031"/>
        <v/>
      </c>
      <c r="AU647" s="97" t="str">
        <f>IF(AR647&lt;Tablas!$G$19, 0, IF(AND(AR647&gt;=Tablas!$G$19, AR647&lt;Tablas!$G$20), 1,  IF(AND(AR647&gt;=Tablas!$G$20, AR647&lt;Tablas!$G$21), 2,  IF(AND(AR647&gt;=Tablas!$G$21, AR647&lt;=Tablas!$G$22), 3,  ""))))</f>
        <v/>
      </c>
      <c r="AV647" s="97" t="str">
        <f t="shared" si="1056"/>
        <v/>
      </c>
      <c r="AW647" s="103" t="str">
        <f t="shared" si="1057"/>
        <v/>
      </c>
      <c r="AX647" s="176" t="str">
        <f t="shared" ref="AX647" si="1125">IFERROR(VLOOKUP(AY647, tabla04, 2, 0), "")</f>
        <v/>
      </c>
      <c r="AY647" s="168" t="str">
        <f>IF(F647="", "", IF((F647-MAX(AV647:AV651))&lt;=0, 1, F647-MAX(AV647:AV651)))</f>
        <v/>
      </c>
      <c r="AZ647" s="178" t="str">
        <f t="shared" ref="AZ647" si="1126">IFERROR(VLOOKUP(BA647, tabla04, 3, 0), "")</f>
        <v/>
      </c>
      <c r="BA647" s="168" t="str">
        <f>IF(Q647="", "", IF((Q647-MAX(AW647:AW651))&lt;=0, 1, Q647-MAX(AW647:AW651)))</f>
        <v/>
      </c>
      <c r="BB647" s="182"/>
      <c r="BC647" s="182"/>
      <c r="BD647" s="185"/>
      <c r="BE647" s="185"/>
      <c r="BF647" s="158" t="str">
        <f t="shared" ref="BF647:BF649" si="1127">IFERROR(VLOOKUP(CONCATENATE(AY647, "-", BA647), cuadrante_sev, 3, 0), "")</f>
        <v/>
      </c>
      <c r="BG647" s="191"/>
    </row>
    <row r="648" spans="1:59" x14ac:dyDescent="0.25">
      <c r="A648" s="167"/>
      <c r="B648" s="167"/>
      <c r="C648" s="161"/>
      <c r="D648" s="160"/>
      <c r="E648" s="162"/>
      <c r="F648" s="164"/>
      <c r="G648" s="161"/>
      <c r="H648" s="161"/>
      <c r="I648" s="161"/>
      <c r="J648" s="161"/>
      <c r="K648" s="161"/>
      <c r="L648" s="166"/>
      <c r="M648" s="166"/>
      <c r="N648" s="166"/>
      <c r="O648" s="166"/>
      <c r="P648" s="166"/>
      <c r="Q648" s="166"/>
      <c r="R648" s="166"/>
      <c r="S648" s="167"/>
      <c r="T648" s="167"/>
      <c r="U648" s="167"/>
      <c r="V648" s="167"/>
      <c r="W648" s="167"/>
      <c r="X648" s="164"/>
      <c r="Y648" s="164"/>
      <c r="Z648" s="172"/>
      <c r="AA648" s="188"/>
      <c r="AB648" s="172"/>
      <c r="AC648" s="172"/>
      <c r="AD648" s="175"/>
      <c r="AE648" s="62" t="s">
        <v>114</v>
      </c>
      <c r="AF648" s="133"/>
      <c r="AG648" s="65"/>
      <c r="AH648" s="64"/>
      <c r="AI648" s="64"/>
      <c r="AJ648" s="64"/>
      <c r="AK648" s="64"/>
      <c r="AL648" s="64"/>
      <c r="AM648" s="80" t="str">
        <f>IFERROR((Tablas!$C$1*VLOOKUP(AH648, tipo_control, 2, 0)+Tablas!$E$1*VLOOKUP(AI648, nat_control, 2, 0)+Tablas!$G$1*VLOOKUP(AJ648, ev_control, 2, 0)+Tablas!$I$1*VLOOKUP(AK648, frec_control, 2, 0)+Tablas!$K$1*VLOOKUP(AL648, doc_control, 2, 0))*0.1*peso_dis, "")</f>
        <v/>
      </c>
      <c r="AN648" s="64"/>
      <c r="AO648" s="64"/>
      <c r="AP648" s="64"/>
      <c r="AQ648" s="80" t="str">
        <f>IFERROR((Tablas!$C$9*VLOOKUP(AN648, amb_control, 2, 0)+Tablas!$E$9*VLOOKUP(AO648, ejec_control, 2, 0)+Tablas!$G$9*VLOOKUP(AP648, cub_control, 2, 0))*0.1*peso_ejec, "")</f>
        <v/>
      </c>
      <c r="AR648" s="91" t="str">
        <f t="shared" si="1055"/>
        <v/>
      </c>
      <c r="AS648" s="85" t="str">
        <f t="shared" si="1030"/>
        <v/>
      </c>
      <c r="AT648" s="85" t="str">
        <f t="shared" si="1031"/>
        <v/>
      </c>
      <c r="AU648" s="85" t="str">
        <f>IF(AR648&lt;Tablas!$G$19, 0, IF(AND(AR648&gt;=Tablas!$G$19, AR648&lt;Tablas!$G$20), 1,  IF(AND(AR648&gt;=Tablas!$G$20, AR648&lt;Tablas!$G$21), 2,  IF(AND(AR648&gt;=Tablas!$G$21, AR648&lt;=Tablas!$G$22), 3,  ""))))</f>
        <v/>
      </c>
      <c r="AV648" s="85" t="str">
        <f t="shared" si="1056"/>
        <v/>
      </c>
      <c r="AW648" s="101" t="str">
        <f t="shared" si="1057"/>
        <v/>
      </c>
      <c r="AX648" s="177"/>
      <c r="AY648" s="169"/>
      <c r="AZ648" s="158"/>
      <c r="BA648" s="169"/>
      <c r="BB648" s="182"/>
      <c r="BC648" s="182"/>
      <c r="BD648" s="185"/>
      <c r="BE648" s="185"/>
      <c r="BF648" s="158" t="str">
        <f t="shared" si="1127"/>
        <v/>
      </c>
      <c r="BG648" s="191"/>
    </row>
    <row r="649" spans="1:59" x14ac:dyDescent="0.25">
      <c r="A649" s="167"/>
      <c r="B649" s="167"/>
      <c r="C649" s="161"/>
      <c r="D649" s="160"/>
      <c r="E649" s="162"/>
      <c r="F649" s="164"/>
      <c r="G649" s="161"/>
      <c r="H649" s="161"/>
      <c r="I649" s="161"/>
      <c r="J649" s="161"/>
      <c r="K649" s="161"/>
      <c r="L649" s="166"/>
      <c r="M649" s="166"/>
      <c r="N649" s="166"/>
      <c r="O649" s="166"/>
      <c r="P649" s="166"/>
      <c r="Q649" s="166"/>
      <c r="R649" s="166"/>
      <c r="S649" s="167"/>
      <c r="T649" s="167"/>
      <c r="U649" s="167"/>
      <c r="V649" s="167"/>
      <c r="W649" s="167"/>
      <c r="X649" s="164"/>
      <c r="Y649" s="164"/>
      <c r="Z649" s="172"/>
      <c r="AA649" s="188"/>
      <c r="AB649" s="172"/>
      <c r="AC649" s="172"/>
      <c r="AD649" s="175"/>
      <c r="AE649" s="62" t="s">
        <v>115</v>
      </c>
      <c r="AF649" s="133"/>
      <c r="AG649" s="65"/>
      <c r="AH649" s="64"/>
      <c r="AI649" s="64"/>
      <c r="AJ649" s="64"/>
      <c r="AK649" s="64"/>
      <c r="AL649" s="64"/>
      <c r="AM649" s="80" t="str">
        <f>IFERROR((Tablas!$C$1*VLOOKUP(AH649, tipo_control, 2, 0)+Tablas!$E$1*VLOOKUP(AI649, nat_control, 2, 0)+Tablas!$G$1*VLOOKUP(AJ649, ev_control, 2, 0)+Tablas!$I$1*VLOOKUP(AK649, frec_control, 2, 0)+Tablas!$K$1*VLOOKUP(AL649, doc_control, 2, 0))*0.1*peso_dis, "")</f>
        <v/>
      </c>
      <c r="AN649" s="64"/>
      <c r="AO649" s="64"/>
      <c r="AP649" s="64"/>
      <c r="AQ649" s="80" t="str">
        <f>IFERROR((Tablas!$C$9*VLOOKUP(AN649, amb_control, 2, 0)+Tablas!$E$9*VLOOKUP(AO649, ejec_control, 2, 0)+Tablas!$G$9*VLOOKUP(AP649, cub_control, 2, 0))*0.1*peso_ejec, "")</f>
        <v/>
      </c>
      <c r="AR649" s="91" t="str">
        <f t="shared" si="1055"/>
        <v/>
      </c>
      <c r="AS649" s="85" t="str">
        <f t="shared" si="1030"/>
        <v/>
      </c>
      <c r="AT649" s="85" t="str">
        <f t="shared" si="1031"/>
        <v/>
      </c>
      <c r="AU649" s="85" t="str">
        <f>IF(AR649&lt;Tablas!$G$19, 0, IF(AND(AR649&gt;=Tablas!$G$19, AR649&lt;Tablas!$G$20), 1,  IF(AND(AR649&gt;=Tablas!$G$20, AR649&lt;Tablas!$G$21), 2,  IF(AND(AR649&gt;=Tablas!$G$21, AR649&lt;=Tablas!$G$22), 3,  ""))))</f>
        <v/>
      </c>
      <c r="AV649" s="85" t="str">
        <f t="shared" si="1056"/>
        <v/>
      </c>
      <c r="AW649" s="101" t="str">
        <f t="shared" si="1057"/>
        <v/>
      </c>
      <c r="AX649" s="177"/>
      <c r="AY649" s="169"/>
      <c r="AZ649" s="158"/>
      <c r="BA649" s="169"/>
      <c r="BB649" s="182"/>
      <c r="BC649" s="182"/>
      <c r="BD649" s="185"/>
      <c r="BE649" s="185"/>
      <c r="BF649" s="158" t="str">
        <f t="shared" si="1127"/>
        <v/>
      </c>
      <c r="BG649" s="191"/>
    </row>
    <row r="650" spans="1:59" x14ac:dyDescent="0.25">
      <c r="A650" s="167"/>
      <c r="B650" s="167"/>
      <c r="C650" s="161"/>
      <c r="D650" s="160"/>
      <c r="E650" s="162"/>
      <c r="F650" s="164"/>
      <c r="G650" s="161"/>
      <c r="H650" s="161"/>
      <c r="I650" s="161"/>
      <c r="J650" s="161"/>
      <c r="K650" s="161"/>
      <c r="L650" s="166"/>
      <c r="M650" s="166"/>
      <c r="N650" s="166"/>
      <c r="O650" s="166"/>
      <c r="P650" s="166"/>
      <c r="Q650" s="166"/>
      <c r="R650" s="166"/>
      <c r="S650" s="167"/>
      <c r="T650" s="167"/>
      <c r="U650" s="167"/>
      <c r="V650" s="167"/>
      <c r="W650" s="167"/>
      <c r="X650" s="164"/>
      <c r="Y650" s="164"/>
      <c r="Z650" s="172"/>
      <c r="AA650" s="188"/>
      <c r="AB650" s="172"/>
      <c r="AC650" s="172"/>
      <c r="AD650" s="175"/>
      <c r="AE650" s="62" t="s">
        <v>153</v>
      </c>
      <c r="AF650" s="133"/>
      <c r="AG650" s="65"/>
      <c r="AH650" s="64"/>
      <c r="AI650" s="64"/>
      <c r="AJ650" s="64"/>
      <c r="AK650" s="64"/>
      <c r="AL650" s="64"/>
      <c r="AM650" s="80" t="str">
        <f>IFERROR((Tablas!$C$1*VLOOKUP(AH650, tipo_control, 2, 0)+Tablas!$E$1*VLOOKUP(AI650, nat_control, 2, 0)+Tablas!$G$1*VLOOKUP(AJ650, ev_control, 2, 0)+Tablas!$I$1*VLOOKUP(AK650, frec_control, 2, 0)+Tablas!$K$1*VLOOKUP(AL650, doc_control, 2, 0))*0.1*peso_dis, "")</f>
        <v/>
      </c>
      <c r="AN650" s="64"/>
      <c r="AO650" s="64"/>
      <c r="AP650" s="64"/>
      <c r="AQ650" s="80" t="str">
        <f>IFERROR((Tablas!$C$9*VLOOKUP(AN650, amb_control, 2, 0)+Tablas!$E$9*VLOOKUP(AO650, ejec_control, 2, 0)+Tablas!$G$9*VLOOKUP(AP650, cub_control, 2, 0))*0.1*peso_ejec, "")</f>
        <v/>
      </c>
      <c r="AR650" s="91" t="str">
        <f t="shared" si="1055"/>
        <v/>
      </c>
      <c r="AS650" s="85" t="str">
        <f t="shared" si="1030"/>
        <v/>
      </c>
      <c r="AT650" s="85" t="str">
        <f t="shared" si="1031"/>
        <v/>
      </c>
      <c r="AU650" s="85" t="str">
        <f>IF(AR650&lt;Tablas!$G$19, 0, IF(AND(AR650&gt;=Tablas!$G$19, AR650&lt;Tablas!$G$20), 1,  IF(AND(AR650&gt;=Tablas!$G$20, AR650&lt;Tablas!$G$21), 2,  IF(AND(AR650&gt;=Tablas!$G$21, AR650&lt;=Tablas!$G$22), 3,  ""))))</f>
        <v/>
      </c>
      <c r="AV650" s="85" t="str">
        <f t="shared" si="1056"/>
        <v/>
      </c>
      <c r="AW650" s="101" t="str">
        <f t="shared" si="1057"/>
        <v/>
      </c>
      <c r="AX650" s="177"/>
      <c r="AY650" s="169"/>
      <c r="AZ650" s="158"/>
      <c r="BA650" s="169"/>
      <c r="BB650" s="182"/>
      <c r="BC650" s="182"/>
      <c r="BD650" s="185"/>
      <c r="BE650" s="185"/>
      <c r="BF650" s="158"/>
      <c r="BG650" s="191"/>
    </row>
    <row r="651" spans="1:59" ht="15.75" thickBot="1" x14ac:dyDescent="0.3">
      <c r="A651" s="167"/>
      <c r="B651" s="167"/>
      <c r="C651" s="161"/>
      <c r="D651" s="160"/>
      <c r="E651" s="162"/>
      <c r="F651" s="165"/>
      <c r="G651" s="161"/>
      <c r="H651" s="161"/>
      <c r="I651" s="161"/>
      <c r="J651" s="161"/>
      <c r="K651" s="161"/>
      <c r="L651" s="166"/>
      <c r="M651" s="166"/>
      <c r="N651" s="166"/>
      <c r="O651" s="166"/>
      <c r="P651" s="166"/>
      <c r="Q651" s="166"/>
      <c r="R651" s="166"/>
      <c r="S651" s="149"/>
      <c r="T651" s="149"/>
      <c r="U651" s="149"/>
      <c r="V651" s="149"/>
      <c r="W651" s="149"/>
      <c r="X651" s="165"/>
      <c r="Y651" s="165"/>
      <c r="Z651" s="172"/>
      <c r="AA651" s="188"/>
      <c r="AB651" s="172"/>
      <c r="AC651" s="172"/>
      <c r="AD651" s="175"/>
      <c r="AE651" s="66" t="s">
        <v>154</v>
      </c>
      <c r="AF651" s="134"/>
      <c r="AG651" s="67"/>
      <c r="AH651" s="69"/>
      <c r="AI651" s="69"/>
      <c r="AJ651" s="69"/>
      <c r="AK651" s="69"/>
      <c r="AL651" s="69"/>
      <c r="AM651" s="81" t="str">
        <f>IFERROR((Tablas!$C$1*VLOOKUP(AH651, tipo_control, 2, 0)+Tablas!$E$1*VLOOKUP(AI651, nat_control, 2, 0)+Tablas!$G$1*VLOOKUP(AJ651, ev_control, 2, 0)+Tablas!$I$1*VLOOKUP(AK651, frec_control, 2, 0)+Tablas!$K$1*VLOOKUP(AL651, doc_control, 2, 0))*0.1*peso_dis, "")</f>
        <v/>
      </c>
      <c r="AN651" s="69"/>
      <c r="AO651" s="69"/>
      <c r="AP651" s="69"/>
      <c r="AQ651" s="81" t="str">
        <f>IFERROR((Tablas!$C$9*VLOOKUP(AN651, amb_control, 2, 0)+Tablas!$E$9*VLOOKUP(AO651, ejec_control, 2, 0)+Tablas!$G$9*VLOOKUP(AP651, cub_control, 2, 0))*0.1*peso_ejec, "")</f>
        <v/>
      </c>
      <c r="AR651" s="93" t="str">
        <f t="shared" si="1055"/>
        <v/>
      </c>
      <c r="AS651" s="94" t="str">
        <f t="shared" si="1030"/>
        <v/>
      </c>
      <c r="AT651" s="94" t="str">
        <f t="shared" si="1031"/>
        <v/>
      </c>
      <c r="AU651" s="94" t="str">
        <f>IF(AR651&lt;Tablas!$G$19, 0, IF(AND(AR651&gt;=Tablas!$G$19, AR651&lt;Tablas!$G$20), 1,  IF(AND(AR651&gt;=Tablas!$G$20, AR651&lt;Tablas!$G$21), 2,  IF(AND(AR651&gt;=Tablas!$G$21, AR651&lt;=Tablas!$G$22), 3,  ""))))</f>
        <v/>
      </c>
      <c r="AV651" s="94" t="str">
        <f t="shared" si="1056"/>
        <v/>
      </c>
      <c r="AW651" s="102" t="str">
        <f t="shared" si="1057"/>
        <v/>
      </c>
      <c r="AX651" s="157"/>
      <c r="AY651" s="170"/>
      <c r="AZ651" s="179"/>
      <c r="BA651" s="170"/>
      <c r="BB651" s="182"/>
      <c r="BC651" s="182"/>
      <c r="BD651" s="185"/>
      <c r="BE651" s="185"/>
      <c r="BF651" s="159"/>
      <c r="BG651" s="191"/>
    </row>
    <row r="652" spans="1:59" x14ac:dyDescent="0.25">
      <c r="A652" s="167"/>
      <c r="B652" s="167"/>
      <c r="C652" s="161" t="s">
        <v>183</v>
      </c>
      <c r="D652" s="160" t="s">
        <v>158</v>
      </c>
      <c r="E652" s="162"/>
      <c r="F652" s="163" t="str">
        <f t="shared" si="1019"/>
        <v/>
      </c>
      <c r="G652" s="149"/>
      <c r="H652" s="149"/>
      <c r="I652" s="149"/>
      <c r="J652" s="149"/>
      <c r="K652" s="149"/>
      <c r="L652" s="165" t="str">
        <f t="shared" ref="L652" si="1128">IFERROR(VLOOKUP(G652, tabla02, 2, 0), "")</f>
        <v/>
      </c>
      <c r="M652" s="165" t="str">
        <f t="shared" ref="M652" si="1129">IFERROR(VLOOKUP(H652, tabla02, 2, 0), "")</f>
        <v/>
      </c>
      <c r="N652" s="165" t="str">
        <f t="shared" ref="N652" si="1130">IFERROR(VLOOKUP(I652, tabla02, 2, 0), "")</f>
        <v/>
      </c>
      <c r="O652" s="165" t="str">
        <f t="shared" ref="O652" si="1131">IFERROR(VLOOKUP(J652, tabla02, 2, 0), "")</f>
        <v/>
      </c>
      <c r="P652" s="165" t="str">
        <f t="shared" ref="P652" si="1132">IFERROR(VLOOKUP(K652, tabla02, 2, 0), "")</f>
        <v/>
      </c>
      <c r="Q652" s="165" t="str">
        <f t="shared" ref="Q652" si="1133">IF(SUM(L652:O656)=0, "", MAX(L652:P652))</f>
        <v/>
      </c>
      <c r="R652" s="165" t="str">
        <f>IFERROR(VLOOKUP(Q652, tabla04, 3, 0), "")</f>
        <v/>
      </c>
      <c r="S652" s="148"/>
      <c r="T652" s="148"/>
      <c r="U652" s="148"/>
      <c r="V652" s="148"/>
      <c r="W652" s="148"/>
      <c r="X652" s="163" t="str">
        <f>IFERROR(VLOOKUP(CONCATENATE(F652, "-", Q652), cuadrante_sev, 3, 0), "")</f>
        <v/>
      </c>
      <c r="Y652" s="163" t="str">
        <f t="shared" ref="Y652" si="1134">IFERROR(IF(X652="Baja", 1, IF(X652="Moderada", 2, IF(X652="Alta", 3, IF(X652="Extrema", 4, "")))), "")</f>
        <v/>
      </c>
      <c r="Z652" s="172"/>
      <c r="AA652" s="188"/>
      <c r="AB652" s="172"/>
      <c r="AC652" s="172"/>
      <c r="AD652" s="175"/>
      <c r="AE652" s="70" t="s">
        <v>113</v>
      </c>
      <c r="AF652" s="135"/>
      <c r="AG652" s="74"/>
      <c r="AH652" s="72"/>
      <c r="AI652" s="72"/>
      <c r="AJ652" s="72"/>
      <c r="AK652" s="72"/>
      <c r="AL652" s="72"/>
      <c r="AM652" s="82" t="str">
        <f>IFERROR((Tablas!$C$1*VLOOKUP(AH652, tipo_control, 2, 0)+Tablas!$E$1*VLOOKUP(AI652, nat_control, 2, 0)+Tablas!$G$1*VLOOKUP(AJ652, ev_control, 2, 0)+Tablas!$I$1*VLOOKUP(AK652, frec_control, 2, 0)+Tablas!$K$1*VLOOKUP(AL652, doc_control, 2, 0))*0.1*peso_dis, "")</f>
        <v/>
      </c>
      <c r="AN652" s="72"/>
      <c r="AO652" s="72"/>
      <c r="AP652" s="72"/>
      <c r="AQ652" s="82" t="str">
        <f>IFERROR((Tablas!$C$9*VLOOKUP(AN652, amb_control, 2, 0)+Tablas!$E$9*VLOOKUP(AO652, ejec_control, 2, 0)+Tablas!$G$9*VLOOKUP(AP652, cub_control, 2, 0))*0.1*peso_ejec, "")</f>
        <v/>
      </c>
      <c r="AR652" s="96" t="str">
        <f t="shared" si="1055"/>
        <v/>
      </c>
      <c r="AS652" s="97" t="str">
        <f t="shared" si="1030"/>
        <v/>
      </c>
      <c r="AT652" s="87" t="str">
        <f t="shared" si="1031"/>
        <v/>
      </c>
      <c r="AU652" s="97" t="str">
        <f>IF(AR652&lt;Tablas!$G$19, 0, IF(AND(AR652&gt;=Tablas!$G$19, AR652&lt;Tablas!$G$20), 1,  IF(AND(AR652&gt;=Tablas!$G$20, AR652&lt;Tablas!$G$21), 2,  IF(AND(AR652&gt;=Tablas!$G$21, AR652&lt;=Tablas!$G$22), 3,  ""))))</f>
        <v/>
      </c>
      <c r="AV652" s="97" t="str">
        <f t="shared" si="1056"/>
        <v/>
      </c>
      <c r="AW652" s="103" t="str">
        <f t="shared" si="1057"/>
        <v/>
      </c>
      <c r="AX652" s="176" t="str">
        <f t="shared" ref="AX652" si="1135">IFERROR(VLOOKUP(AY652, tabla04, 2, 0), "")</f>
        <v/>
      </c>
      <c r="AY652" s="168" t="str">
        <f>IF(F652="", "", IF((F652-MAX(AV652:AV656))&lt;=0, 1, F652-MAX(AV652:AV656)))</f>
        <v/>
      </c>
      <c r="AZ652" s="178" t="str">
        <f t="shared" ref="AZ652" si="1136">IFERROR(VLOOKUP(BA652, tabla04, 3, 0), "")</f>
        <v/>
      </c>
      <c r="BA652" s="168" t="str">
        <f>IF(Q652="", "", IF((Q652-MAX(AW652:AW656))&lt;=0, 1, Q652-MAX(AW652:AW656)))</f>
        <v/>
      </c>
      <c r="BB652" s="182"/>
      <c r="BC652" s="182"/>
      <c r="BD652" s="185"/>
      <c r="BE652" s="185"/>
      <c r="BF652" s="158" t="str">
        <f t="shared" ref="BF652:BF654" si="1137">IFERROR(VLOOKUP(CONCATENATE(AY652, "-", BA652), cuadrante_sev, 3, 0), "")</f>
        <v/>
      </c>
      <c r="BG652" s="191"/>
    </row>
    <row r="653" spans="1:59" x14ac:dyDescent="0.25">
      <c r="A653" s="167"/>
      <c r="B653" s="167"/>
      <c r="C653" s="161"/>
      <c r="D653" s="160"/>
      <c r="E653" s="162"/>
      <c r="F653" s="164"/>
      <c r="G653" s="161"/>
      <c r="H653" s="161"/>
      <c r="I653" s="161"/>
      <c r="J653" s="161"/>
      <c r="K653" s="161"/>
      <c r="L653" s="166"/>
      <c r="M653" s="166"/>
      <c r="N653" s="166"/>
      <c r="O653" s="166"/>
      <c r="P653" s="166"/>
      <c r="Q653" s="166"/>
      <c r="R653" s="166"/>
      <c r="S653" s="167"/>
      <c r="T653" s="167"/>
      <c r="U653" s="167"/>
      <c r="V653" s="167"/>
      <c r="W653" s="167"/>
      <c r="X653" s="164"/>
      <c r="Y653" s="164"/>
      <c r="Z653" s="172"/>
      <c r="AA653" s="188"/>
      <c r="AB653" s="172"/>
      <c r="AC653" s="172"/>
      <c r="AD653" s="175"/>
      <c r="AE653" s="62" t="s">
        <v>114</v>
      </c>
      <c r="AF653" s="133"/>
      <c r="AG653" s="65"/>
      <c r="AH653" s="64"/>
      <c r="AI653" s="64"/>
      <c r="AJ653" s="64"/>
      <c r="AK653" s="64"/>
      <c r="AL653" s="64"/>
      <c r="AM653" s="80" t="str">
        <f>IFERROR((Tablas!$C$1*VLOOKUP(AH653, tipo_control, 2, 0)+Tablas!$E$1*VLOOKUP(AI653, nat_control, 2, 0)+Tablas!$G$1*VLOOKUP(AJ653, ev_control, 2, 0)+Tablas!$I$1*VLOOKUP(AK653, frec_control, 2, 0)+Tablas!$K$1*VLOOKUP(AL653, doc_control, 2, 0))*0.1*peso_dis, "")</f>
        <v/>
      </c>
      <c r="AN653" s="64"/>
      <c r="AO653" s="64"/>
      <c r="AP653" s="64"/>
      <c r="AQ653" s="80" t="str">
        <f>IFERROR((Tablas!$C$9*VLOOKUP(AN653, amb_control, 2, 0)+Tablas!$E$9*VLOOKUP(AO653, ejec_control, 2, 0)+Tablas!$G$9*VLOOKUP(AP653, cub_control, 2, 0))*0.1*peso_ejec, "")</f>
        <v/>
      </c>
      <c r="AR653" s="91" t="str">
        <f t="shared" si="1055"/>
        <v/>
      </c>
      <c r="AS653" s="85" t="str">
        <f t="shared" si="1030"/>
        <v/>
      </c>
      <c r="AT653" s="85" t="str">
        <f t="shared" si="1031"/>
        <v/>
      </c>
      <c r="AU653" s="85" t="str">
        <f>IF(AR653&lt;Tablas!$G$19, 0, IF(AND(AR653&gt;=Tablas!$G$19, AR653&lt;Tablas!$G$20), 1,  IF(AND(AR653&gt;=Tablas!$G$20, AR653&lt;Tablas!$G$21), 2,  IF(AND(AR653&gt;=Tablas!$G$21, AR653&lt;=Tablas!$G$22), 3,  ""))))</f>
        <v/>
      </c>
      <c r="AV653" s="85" t="str">
        <f t="shared" si="1056"/>
        <v/>
      </c>
      <c r="AW653" s="101" t="str">
        <f t="shared" si="1057"/>
        <v/>
      </c>
      <c r="AX653" s="177"/>
      <c r="AY653" s="169"/>
      <c r="AZ653" s="158"/>
      <c r="BA653" s="169"/>
      <c r="BB653" s="182"/>
      <c r="BC653" s="182"/>
      <c r="BD653" s="185"/>
      <c r="BE653" s="185"/>
      <c r="BF653" s="158" t="str">
        <f t="shared" si="1137"/>
        <v/>
      </c>
      <c r="BG653" s="191"/>
    </row>
    <row r="654" spans="1:59" x14ac:dyDescent="0.25">
      <c r="A654" s="167"/>
      <c r="B654" s="167"/>
      <c r="C654" s="161"/>
      <c r="D654" s="160"/>
      <c r="E654" s="162"/>
      <c r="F654" s="164"/>
      <c r="G654" s="161"/>
      <c r="H654" s="161"/>
      <c r="I654" s="161"/>
      <c r="J654" s="161"/>
      <c r="K654" s="161"/>
      <c r="L654" s="166"/>
      <c r="M654" s="166"/>
      <c r="N654" s="166"/>
      <c r="O654" s="166"/>
      <c r="P654" s="166"/>
      <c r="Q654" s="166"/>
      <c r="R654" s="166"/>
      <c r="S654" s="167"/>
      <c r="T654" s="167"/>
      <c r="U654" s="167"/>
      <c r="V654" s="167"/>
      <c r="W654" s="167"/>
      <c r="X654" s="164"/>
      <c r="Y654" s="164"/>
      <c r="Z654" s="172"/>
      <c r="AA654" s="188"/>
      <c r="AB654" s="172"/>
      <c r="AC654" s="172"/>
      <c r="AD654" s="175"/>
      <c r="AE654" s="62" t="s">
        <v>115</v>
      </c>
      <c r="AF654" s="133"/>
      <c r="AG654" s="65"/>
      <c r="AH654" s="64"/>
      <c r="AI654" s="64"/>
      <c r="AJ654" s="64"/>
      <c r="AK654" s="64"/>
      <c r="AL654" s="64"/>
      <c r="AM654" s="80" t="str">
        <f>IFERROR((Tablas!$C$1*VLOOKUP(AH654, tipo_control, 2, 0)+Tablas!$E$1*VLOOKUP(AI654, nat_control, 2, 0)+Tablas!$G$1*VLOOKUP(AJ654, ev_control, 2, 0)+Tablas!$I$1*VLOOKUP(AK654, frec_control, 2, 0)+Tablas!$K$1*VLOOKUP(AL654, doc_control, 2, 0))*0.1*peso_dis, "")</f>
        <v/>
      </c>
      <c r="AN654" s="64"/>
      <c r="AO654" s="64"/>
      <c r="AP654" s="64"/>
      <c r="AQ654" s="80" t="str">
        <f>IFERROR((Tablas!$C$9*VLOOKUP(AN654, amb_control, 2, 0)+Tablas!$E$9*VLOOKUP(AO654, ejec_control, 2, 0)+Tablas!$G$9*VLOOKUP(AP654, cub_control, 2, 0))*0.1*peso_ejec, "")</f>
        <v/>
      </c>
      <c r="AR654" s="91" t="str">
        <f t="shared" si="1055"/>
        <v/>
      </c>
      <c r="AS654" s="85" t="str">
        <f t="shared" si="1030"/>
        <v/>
      </c>
      <c r="AT654" s="85" t="str">
        <f t="shared" si="1031"/>
        <v/>
      </c>
      <c r="AU654" s="85" t="str">
        <f>IF(AR654&lt;Tablas!$G$19, 0, IF(AND(AR654&gt;=Tablas!$G$19, AR654&lt;Tablas!$G$20), 1,  IF(AND(AR654&gt;=Tablas!$G$20, AR654&lt;Tablas!$G$21), 2,  IF(AND(AR654&gt;=Tablas!$G$21, AR654&lt;=Tablas!$G$22), 3,  ""))))</f>
        <v/>
      </c>
      <c r="AV654" s="85" t="str">
        <f t="shared" si="1056"/>
        <v/>
      </c>
      <c r="AW654" s="101" t="str">
        <f t="shared" si="1057"/>
        <v/>
      </c>
      <c r="AX654" s="177"/>
      <c r="AY654" s="169"/>
      <c r="AZ654" s="158"/>
      <c r="BA654" s="169"/>
      <c r="BB654" s="182"/>
      <c r="BC654" s="182"/>
      <c r="BD654" s="185"/>
      <c r="BE654" s="185"/>
      <c r="BF654" s="158" t="str">
        <f t="shared" si="1137"/>
        <v/>
      </c>
      <c r="BG654" s="191"/>
    </row>
    <row r="655" spans="1:59" x14ac:dyDescent="0.25">
      <c r="A655" s="167"/>
      <c r="B655" s="167"/>
      <c r="C655" s="161"/>
      <c r="D655" s="160"/>
      <c r="E655" s="162"/>
      <c r="F655" s="164"/>
      <c r="G655" s="161"/>
      <c r="H655" s="161"/>
      <c r="I655" s="161"/>
      <c r="J655" s="161"/>
      <c r="K655" s="161"/>
      <c r="L655" s="166"/>
      <c r="M655" s="166"/>
      <c r="N655" s="166"/>
      <c r="O655" s="166"/>
      <c r="P655" s="166"/>
      <c r="Q655" s="166"/>
      <c r="R655" s="166"/>
      <c r="S655" s="167"/>
      <c r="T655" s="167"/>
      <c r="U655" s="167"/>
      <c r="V655" s="167"/>
      <c r="W655" s="167"/>
      <c r="X655" s="164"/>
      <c r="Y655" s="164"/>
      <c r="Z655" s="172"/>
      <c r="AA655" s="188"/>
      <c r="AB655" s="172"/>
      <c r="AC655" s="172"/>
      <c r="AD655" s="175"/>
      <c r="AE655" s="62" t="s">
        <v>153</v>
      </c>
      <c r="AF655" s="133"/>
      <c r="AG655" s="65"/>
      <c r="AH655" s="64"/>
      <c r="AI655" s="64"/>
      <c r="AJ655" s="64"/>
      <c r="AK655" s="64"/>
      <c r="AL655" s="64"/>
      <c r="AM655" s="80" t="str">
        <f>IFERROR((Tablas!$C$1*VLOOKUP(AH655, tipo_control, 2, 0)+Tablas!$E$1*VLOOKUP(AI655, nat_control, 2, 0)+Tablas!$G$1*VLOOKUP(AJ655, ev_control, 2, 0)+Tablas!$I$1*VLOOKUP(AK655, frec_control, 2, 0)+Tablas!$K$1*VLOOKUP(AL655, doc_control, 2, 0))*0.1*peso_dis, "")</f>
        <v/>
      </c>
      <c r="AN655" s="64"/>
      <c r="AO655" s="64"/>
      <c r="AP655" s="64"/>
      <c r="AQ655" s="80" t="str">
        <f>IFERROR((Tablas!$C$9*VLOOKUP(AN655, amb_control, 2, 0)+Tablas!$E$9*VLOOKUP(AO655, ejec_control, 2, 0)+Tablas!$G$9*VLOOKUP(AP655, cub_control, 2, 0))*0.1*peso_ejec, "")</f>
        <v/>
      </c>
      <c r="AR655" s="91" t="str">
        <f t="shared" si="1055"/>
        <v/>
      </c>
      <c r="AS655" s="85" t="str">
        <f t="shared" si="1030"/>
        <v/>
      </c>
      <c r="AT655" s="85" t="str">
        <f t="shared" si="1031"/>
        <v/>
      </c>
      <c r="AU655" s="85" t="str">
        <f>IF(AR655&lt;Tablas!$G$19, 0, IF(AND(AR655&gt;=Tablas!$G$19, AR655&lt;Tablas!$G$20), 1,  IF(AND(AR655&gt;=Tablas!$G$20, AR655&lt;Tablas!$G$21), 2,  IF(AND(AR655&gt;=Tablas!$G$21, AR655&lt;=Tablas!$G$22), 3,  ""))))</f>
        <v/>
      </c>
      <c r="AV655" s="85" t="str">
        <f t="shared" si="1056"/>
        <v/>
      </c>
      <c r="AW655" s="101" t="str">
        <f t="shared" si="1057"/>
        <v/>
      </c>
      <c r="AX655" s="177"/>
      <c r="AY655" s="169"/>
      <c r="AZ655" s="158"/>
      <c r="BA655" s="169"/>
      <c r="BB655" s="182"/>
      <c r="BC655" s="182"/>
      <c r="BD655" s="185"/>
      <c r="BE655" s="185"/>
      <c r="BF655" s="158"/>
      <c r="BG655" s="191"/>
    </row>
    <row r="656" spans="1:59" ht="15.75" thickBot="1" x14ac:dyDescent="0.3">
      <c r="A656" s="149"/>
      <c r="B656" s="149"/>
      <c r="C656" s="161"/>
      <c r="D656" s="160"/>
      <c r="E656" s="162"/>
      <c r="F656" s="165"/>
      <c r="G656" s="161"/>
      <c r="H656" s="161"/>
      <c r="I656" s="161"/>
      <c r="J656" s="161"/>
      <c r="K656" s="161"/>
      <c r="L656" s="166"/>
      <c r="M656" s="166"/>
      <c r="N656" s="166"/>
      <c r="O656" s="166"/>
      <c r="P656" s="166"/>
      <c r="Q656" s="166"/>
      <c r="R656" s="166"/>
      <c r="S656" s="149"/>
      <c r="T656" s="149"/>
      <c r="U656" s="149"/>
      <c r="V656" s="149"/>
      <c r="W656" s="149"/>
      <c r="X656" s="165"/>
      <c r="Y656" s="165"/>
      <c r="Z656" s="173"/>
      <c r="AA656" s="189"/>
      <c r="AB656" s="173"/>
      <c r="AC656" s="173"/>
      <c r="AD656" s="175"/>
      <c r="AE656" s="75" t="s">
        <v>154</v>
      </c>
      <c r="AF656" s="136"/>
      <c r="AG656" s="68"/>
      <c r="AH656" s="76"/>
      <c r="AI656" s="76"/>
      <c r="AJ656" s="76"/>
      <c r="AK656" s="76"/>
      <c r="AL656" s="76"/>
      <c r="AM656" s="83" t="str">
        <f>IFERROR((Tablas!$C$1*VLOOKUP(AH656, tipo_control, 2, 0)+Tablas!$E$1*VLOOKUP(AI656, nat_control, 2, 0)+Tablas!$G$1*VLOOKUP(AJ656, ev_control, 2, 0)+Tablas!$I$1*VLOOKUP(AK656, frec_control, 2, 0)+Tablas!$K$1*VLOOKUP(AL656, doc_control, 2, 0))*0.1*peso_dis, "")</f>
        <v/>
      </c>
      <c r="AN656" s="76"/>
      <c r="AO656" s="76"/>
      <c r="AP656" s="76"/>
      <c r="AQ656" s="83" t="str">
        <f>IFERROR((Tablas!$C$9*VLOOKUP(AN656, amb_control, 2, 0)+Tablas!$E$9*VLOOKUP(AO656, ejec_control, 2, 0)+Tablas!$G$9*VLOOKUP(AP656, cub_control, 2, 0))*0.1*peso_ejec, "")</f>
        <v/>
      </c>
      <c r="AR656" s="99" t="str">
        <f t="shared" si="1055"/>
        <v/>
      </c>
      <c r="AS656" s="86" t="str">
        <f t="shared" si="1030"/>
        <v/>
      </c>
      <c r="AT656" s="86" t="str">
        <f t="shared" si="1031"/>
        <v/>
      </c>
      <c r="AU656" s="86" t="str">
        <f>IF(AR656&lt;Tablas!$G$19, 0, IF(AND(AR656&gt;=Tablas!$G$19, AR656&lt;Tablas!$G$20), 1,  IF(AND(AR656&gt;=Tablas!$G$20, AR656&lt;Tablas!$G$21), 2,  IF(AND(AR656&gt;=Tablas!$G$21, AR656&lt;=Tablas!$G$22), 3,  ""))))</f>
        <v/>
      </c>
      <c r="AV656" s="86" t="str">
        <f t="shared" si="1056"/>
        <v/>
      </c>
      <c r="AW656" s="84" t="str">
        <f t="shared" si="1057"/>
        <v/>
      </c>
      <c r="AX656" s="157"/>
      <c r="AY656" s="170"/>
      <c r="AZ656" s="179"/>
      <c r="BA656" s="170"/>
      <c r="BB656" s="183"/>
      <c r="BC656" s="183"/>
      <c r="BD656" s="186"/>
      <c r="BE656" s="186"/>
      <c r="BF656" s="159"/>
      <c r="BG656" s="191"/>
    </row>
    <row r="657" spans="1:59" x14ac:dyDescent="0.25">
      <c r="A657" s="148" t="s">
        <v>201</v>
      </c>
      <c r="B657" s="148" t="s">
        <v>202</v>
      </c>
      <c r="C657" s="161" t="s">
        <v>14</v>
      </c>
      <c r="D657" s="160" t="s">
        <v>158</v>
      </c>
      <c r="E657" s="193"/>
      <c r="F657" s="163" t="str">
        <f t="shared" ref="F657:F717" si="1138">IFERROR(VLOOKUP(E657, tabla01, 3, 0), "")</f>
        <v/>
      </c>
      <c r="G657" s="149"/>
      <c r="H657" s="149"/>
      <c r="I657" s="149"/>
      <c r="J657" s="149"/>
      <c r="K657" s="149"/>
      <c r="L657" s="165" t="str">
        <f>IFERROR(VLOOKUP(G657, tabla02, 2, 0), "")</f>
        <v/>
      </c>
      <c r="M657" s="165" t="str">
        <f>IFERROR(VLOOKUP(H657, tabla02, 2, 0), "")</f>
        <v/>
      </c>
      <c r="N657" s="165" t="str">
        <f>IFERROR(VLOOKUP(I657, tabla02, 2, 0), "")</f>
        <v/>
      </c>
      <c r="O657" s="165" t="str">
        <f>IFERROR(VLOOKUP(J657, tabla02, 2, 0), "")</f>
        <v/>
      </c>
      <c r="P657" s="165" t="str">
        <f>IFERROR(VLOOKUP(K657, tabla02, 2, 0), "")</f>
        <v/>
      </c>
      <c r="Q657" s="165" t="str">
        <f t="shared" ref="Q657" si="1139">IF(SUM(L657:O661)=0, "", MAX(L657:P657))</f>
        <v/>
      </c>
      <c r="R657" s="165" t="str">
        <f>IFERROR(VLOOKUP(Q657, tabla04, 3, 0), "")</f>
        <v/>
      </c>
      <c r="S657" s="148"/>
      <c r="T657" s="148"/>
      <c r="U657" s="148"/>
      <c r="V657" s="148"/>
      <c r="W657" s="148"/>
      <c r="X657" s="164" t="str">
        <f>IFERROR(VLOOKUP(CONCATENATE(F657, "-", Q657), cuadrante_sev, 3, 0), "")</f>
        <v/>
      </c>
      <c r="Y657" s="163" t="str">
        <f>IFERROR(IF(X657="Baja", 1, IF(X657="Moderada", 2, IF(X657="Alta", 3, IF(X657="Extrema", 4, "")))), "")</f>
        <v/>
      </c>
      <c r="Z657" s="171">
        <f t="shared" ref="Z657" si="1140">MAX(F657:F706)</f>
        <v>0</v>
      </c>
      <c r="AA657" s="187">
        <f t="shared" ref="AA657" si="1141">MAX(Q657:Q706)</f>
        <v>0</v>
      </c>
      <c r="AB657" s="171" t="str">
        <f>IFERROR(VLOOKUP(Z657, tabla04, 2, 0), "")</f>
        <v/>
      </c>
      <c r="AC657" s="171" t="str">
        <f>IFERROR(VLOOKUP(AA657, tabla04, 3, 0), "")</f>
        <v/>
      </c>
      <c r="AD657" s="174" t="str">
        <f>IFERROR(VLOOKUP(CONCATENATE(Z657, "-", AA657), cuadrante_sev, 3, 0), "")</f>
        <v/>
      </c>
      <c r="AE657" s="59" t="s">
        <v>113</v>
      </c>
      <c r="AF657" s="132"/>
      <c r="AG657" s="77"/>
      <c r="AH657" s="61"/>
      <c r="AI657" s="61"/>
      <c r="AJ657" s="61"/>
      <c r="AK657" s="61"/>
      <c r="AL657" s="61"/>
      <c r="AM657" s="79" t="str">
        <f>IFERROR((Tablas!$C$1*VLOOKUP(AH657, tipo_control, 2, 0)+Tablas!$E$1*VLOOKUP(AI657, nat_control, 2, 0)+Tablas!$G$1*VLOOKUP(AJ657, ev_control, 2, 0)+Tablas!$I$1*VLOOKUP(AK657, frec_control, 2, 0)+Tablas!$K$1*VLOOKUP(AL657, doc_control, 2, 0))*0.1*peso_dis, "")</f>
        <v/>
      </c>
      <c r="AN657" s="61"/>
      <c r="AO657" s="61"/>
      <c r="AP657" s="61"/>
      <c r="AQ657" s="79" t="str">
        <f>IFERROR((Tablas!$C$9*VLOOKUP(AN657, amb_control, 2, 0)+Tablas!$E$9*VLOOKUP(AO657, ejec_control, 2, 0)+Tablas!$G$9*VLOOKUP(AP657, cub_control, 2, 0))*0.1*peso_ejec, "")</f>
        <v/>
      </c>
      <c r="AR657" s="89" t="str">
        <f>IFERROR(AM657+AQ657, "")</f>
        <v/>
      </c>
      <c r="AS657" s="87" t="str">
        <f t="shared" si="1030"/>
        <v/>
      </c>
      <c r="AT657" s="87" t="str">
        <f t="shared" si="1031"/>
        <v/>
      </c>
      <c r="AU657" s="87" t="str">
        <f>IF(AR657&lt;Tablas!$G$19, 0, IF(AND(AR657&gt;=Tablas!$G$19, AR657&lt;Tablas!$G$20), 1,  IF(AND(AR657&gt;=Tablas!$G$20, AR657&lt;Tablas!$G$21), 2,  IF(AND(AR657&gt;=Tablas!$G$21, AR657&lt;=Tablas!$G$22), 3,  ""))))</f>
        <v/>
      </c>
      <c r="AV657" s="87" t="str">
        <f>IF(AS657="Sí",AU657,"")</f>
        <v/>
      </c>
      <c r="AW657" s="100" t="str">
        <f>IF(AT657="Sí",AU657,"")</f>
        <v/>
      </c>
      <c r="AX657" s="176" t="str">
        <f>IFERROR(VLOOKUP(AY657, tabla04, 2, 0), "")</f>
        <v/>
      </c>
      <c r="AY657" s="168" t="str">
        <f>IF(F657="", "", IF((F657-MAX(AV657:AV661))&lt;=0, 1, F657-MAX(AV657:AV661)))</f>
        <v/>
      </c>
      <c r="AZ657" s="178" t="str">
        <f>IFERROR(VLOOKUP(BA657, tabla04, 3, 0), "")</f>
        <v/>
      </c>
      <c r="BA657" s="168" t="str">
        <f>IF(Q657="", "", IF((Q657-MAX(AW657:AW661))&lt;=0, 1, Q657-MAX(AW657:AW661)))</f>
        <v/>
      </c>
      <c r="BB657" s="170">
        <f>IFERROR(MAX(AY657:AY706), "")</f>
        <v>0</v>
      </c>
      <c r="BC657" s="170">
        <f>IFERROR(MAX(BA657:BA706), "")</f>
        <v>0</v>
      </c>
      <c r="BD657" s="184" t="str">
        <f>IFERROR(VLOOKUP(BB657, tabla04, 2, 0), "")</f>
        <v/>
      </c>
      <c r="BE657" s="184" t="str">
        <f>IFERROR(VLOOKUP(BC657, tabla04, 3, 0), "")</f>
        <v/>
      </c>
      <c r="BF657" s="158" t="str">
        <f>IFERROR(VLOOKUP(CONCATENATE(AY657, "-", BA657), cuadrante_sev, 3, 0), "")</f>
        <v/>
      </c>
      <c r="BG657" s="190" t="str">
        <f>IFERROR(VLOOKUP(CONCATENATE(BB657, "-", BC657), cuadrante_sev, 3, 0), "")</f>
        <v/>
      </c>
    </row>
    <row r="658" spans="1:59" x14ac:dyDescent="0.25">
      <c r="A658" s="167"/>
      <c r="B658" s="167"/>
      <c r="C658" s="161"/>
      <c r="D658" s="160"/>
      <c r="E658" s="162"/>
      <c r="F658" s="164"/>
      <c r="G658" s="161"/>
      <c r="H658" s="161"/>
      <c r="I658" s="161"/>
      <c r="J658" s="161"/>
      <c r="K658" s="161"/>
      <c r="L658" s="166"/>
      <c r="M658" s="166"/>
      <c r="N658" s="166"/>
      <c r="O658" s="166"/>
      <c r="P658" s="166"/>
      <c r="Q658" s="166"/>
      <c r="R658" s="166"/>
      <c r="S658" s="167"/>
      <c r="T658" s="167"/>
      <c r="U658" s="167"/>
      <c r="V658" s="167"/>
      <c r="W658" s="167"/>
      <c r="X658" s="164"/>
      <c r="Y658" s="164"/>
      <c r="Z658" s="172"/>
      <c r="AA658" s="188"/>
      <c r="AB658" s="172"/>
      <c r="AC658" s="172"/>
      <c r="AD658" s="175"/>
      <c r="AE658" s="62" t="s">
        <v>114</v>
      </c>
      <c r="AF658" s="133"/>
      <c r="AG658" s="65"/>
      <c r="AH658" s="64"/>
      <c r="AI658" s="64"/>
      <c r="AJ658" s="64"/>
      <c r="AK658" s="64"/>
      <c r="AL658" s="64"/>
      <c r="AM658" s="80" t="str">
        <f>IFERROR((Tablas!$C$1*VLOOKUP(AH658, tipo_control, 2, 0)+Tablas!$E$1*VLOOKUP(AI658, nat_control, 2, 0)+Tablas!$G$1*VLOOKUP(AJ658, ev_control, 2, 0)+Tablas!$I$1*VLOOKUP(AK658, frec_control, 2, 0)+Tablas!$K$1*VLOOKUP(AL658, doc_control, 2, 0))*0.1*peso_dis, "")</f>
        <v/>
      </c>
      <c r="AN658" s="64"/>
      <c r="AO658" s="64"/>
      <c r="AP658" s="64"/>
      <c r="AQ658" s="80" t="str">
        <f>IFERROR((Tablas!$C$9*VLOOKUP(AN658, amb_control, 2, 0)+Tablas!$E$9*VLOOKUP(AO658, ejec_control, 2, 0)+Tablas!$G$9*VLOOKUP(AP658, cub_control, 2, 0))*0.1*peso_ejec, "")</f>
        <v/>
      </c>
      <c r="AR658" s="91" t="str">
        <f t="shared" ref="AR658:AR706" si="1142">IFERROR(AM658+AQ658, "")</f>
        <v/>
      </c>
      <c r="AS658" s="87" t="str">
        <f t="shared" ref="AS658:AS721" si="1143">IFERROR(VLOOKUP(AH658, tabla03, 12, 0), "")</f>
        <v/>
      </c>
      <c r="AT658" s="85" t="str">
        <f t="shared" ref="AT658:AT721" si="1144">IFERROR(VLOOKUP(AH658, tabla03, 13, 0), "")</f>
        <v/>
      </c>
      <c r="AU658" s="85" t="str">
        <f>IF(AR658&lt;Tablas!$G$19, 0, IF(AND(AR658&gt;=Tablas!$G$19, AR658&lt;Tablas!$G$20), 1,  IF(AND(AR658&gt;=Tablas!$G$20, AR658&lt;Tablas!$G$21), 2,  IF(AND(AR658&gt;=Tablas!$G$21, AR658&lt;=Tablas!$G$22), 3,  ""))))</f>
        <v/>
      </c>
      <c r="AV658" s="85" t="str">
        <f t="shared" ref="AV658:AV706" si="1145">IF(AS658="Sí",AU658,"")</f>
        <v/>
      </c>
      <c r="AW658" s="101" t="str">
        <f t="shared" ref="AW658:AW706" si="1146">IF(AT658="Sí",AU658,"")</f>
        <v/>
      </c>
      <c r="AX658" s="177"/>
      <c r="AY658" s="169"/>
      <c r="AZ658" s="158"/>
      <c r="BA658" s="169"/>
      <c r="BB658" s="182"/>
      <c r="BC658" s="182"/>
      <c r="BD658" s="185"/>
      <c r="BE658" s="185"/>
      <c r="BF658" s="158"/>
      <c r="BG658" s="191"/>
    </row>
    <row r="659" spans="1:59" x14ac:dyDescent="0.25">
      <c r="A659" s="167"/>
      <c r="B659" s="167"/>
      <c r="C659" s="161"/>
      <c r="D659" s="160"/>
      <c r="E659" s="162"/>
      <c r="F659" s="164"/>
      <c r="G659" s="161"/>
      <c r="H659" s="161"/>
      <c r="I659" s="161"/>
      <c r="J659" s="161"/>
      <c r="K659" s="161"/>
      <c r="L659" s="166"/>
      <c r="M659" s="166"/>
      <c r="N659" s="166"/>
      <c r="O659" s="166"/>
      <c r="P659" s="166"/>
      <c r="Q659" s="166"/>
      <c r="R659" s="166"/>
      <c r="S659" s="167"/>
      <c r="T659" s="167"/>
      <c r="U659" s="167"/>
      <c r="V659" s="167"/>
      <c r="W659" s="167"/>
      <c r="X659" s="164"/>
      <c r="Y659" s="164"/>
      <c r="Z659" s="172"/>
      <c r="AA659" s="188"/>
      <c r="AB659" s="172"/>
      <c r="AC659" s="172"/>
      <c r="AD659" s="175"/>
      <c r="AE659" s="62" t="s">
        <v>115</v>
      </c>
      <c r="AF659" s="133"/>
      <c r="AG659" s="65"/>
      <c r="AH659" s="64"/>
      <c r="AI659" s="64"/>
      <c r="AJ659" s="64"/>
      <c r="AK659" s="64"/>
      <c r="AL659" s="64"/>
      <c r="AM659" s="80" t="str">
        <f>IFERROR((Tablas!$C$1*VLOOKUP(AH659, tipo_control, 2, 0)+Tablas!$E$1*VLOOKUP(AI659, nat_control, 2, 0)+Tablas!$G$1*VLOOKUP(AJ659, ev_control, 2, 0)+Tablas!$I$1*VLOOKUP(AK659, frec_control, 2, 0)+Tablas!$K$1*VLOOKUP(AL659, doc_control, 2, 0))*0.1*peso_dis, "")</f>
        <v/>
      </c>
      <c r="AN659" s="64"/>
      <c r="AO659" s="64"/>
      <c r="AP659" s="64"/>
      <c r="AQ659" s="80" t="str">
        <f>IFERROR((Tablas!$C$9*VLOOKUP(AN659, amb_control, 2, 0)+Tablas!$E$9*VLOOKUP(AO659, ejec_control, 2, 0)+Tablas!$G$9*VLOOKUP(AP659, cub_control, 2, 0))*0.1*peso_ejec, "")</f>
        <v/>
      </c>
      <c r="AR659" s="91" t="str">
        <f t="shared" si="1142"/>
        <v/>
      </c>
      <c r="AS659" s="87" t="str">
        <f t="shared" si="1143"/>
        <v/>
      </c>
      <c r="AT659" s="85" t="str">
        <f t="shared" si="1144"/>
        <v/>
      </c>
      <c r="AU659" s="85" t="str">
        <f>IF(AR659&lt;Tablas!$G$19, 0, IF(AND(AR659&gt;=Tablas!$G$19, AR659&lt;Tablas!$G$20), 1,  IF(AND(AR659&gt;=Tablas!$G$20, AR659&lt;Tablas!$G$21), 2,  IF(AND(AR659&gt;=Tablas!$G$21, AR659&lt;=Tablas!$G$22), 3,  ""))))</f>
        <v/>
      </c>
      <c r="AV659" s="85" t="str">
        <f t="shared" si="1145"/>
        <v/>
      </c>
      <c r="AW659" s="101" t="str">
        <f t="shared" si="1146"/>
        <v/>
      </c>
      <c r="AX659" s="177"/>
      <c r="AY659" s="169"/>
      <c r="AZ659" s="158"/>
      <c r="BA659" s="169"/>
      <c r="BB659" s="182"/>
      <c r="BC659" s="182"/>
      <c r="BD659" s="185"/>
      <c r="BE659" s="185"/>
      <c r="BF659" s="158"/>
      <c r="BG659" s="191"/>
    </row>
    <row r="660" spans="1:59" x14ac:dyDescent="0.25">
      <c r="A660" s="167"/>
      <c r="B660" s="167"/>
      <c r="C660" s="161"/>
      <c r="D660" s="160"/>
      <c r="E660" s="162"/>
      <c r="F660" s="164"/>
      <c r="G660" s="161"/>
      <c r="H660" s="161"/>
      <c r="I660" s="161"/>
      <c r="J660" s="161"/>
      <c r="K660" s="161"/>
      <c r="L660" s="166"/>
      <c r="M660" s="166"/>
      <c r="N660" s="166"/>
      <c r="O660" s="166"/>
      <c r="P660" s="166"/>
      <c r="Q660" s="166"/>
      <c r="R660" s="166"/>
      <c r="S660" s="167"/>
      <c r="T660" s="167"/>
      <c r="U660" s="167"/>
      <c r="V660" s="167"/>
      <c r="W660" s="167"/>
      <c r="X660" s="164"/>
      <c r="Y660" s="164"/>
      <c r="Z660" s="172"/>
      <c r="AA660" s="188"/>
      <c r="AB660" s="172"/>
      <c r="AC660" s="172"/>
      <c r="AD660" s="175"/>
      <c r="AE660" s="62" t="s">
        <v>153</v>
      </c>
      <c r="AF660" s="133"/>
      <c r="AG660" s="65"/>
      <c r="AH660" s="64"/>
      <c r="AI660" s="64"/>
      <c r="AJ660" s="64"/>
      <c r="AK660" s="64"/>
      <c r="AL660" s="64"/>
      <c r="AM660" s="80" t="str">
        <f>IFERROR((Tablas!$C$1*VLOOKUP(AH660, tipo_control, 2, 0)+Tablas!$E$1*VLOOKUP(AI660, nat_control, 2, 0)+Tablas!$G$1*VLOOKUP(AJ660, ev_control, 2, 0)+Tablas!$I$1*VLOOKUP(AK660, frec_control, 2, 0)+Tablas!$K$1*VLOOKUP(AL660, doc_control, 2, 0))*0.1*peso_dis, "")</f>
        <v/>
      </c>
      <c r="AN660" s="64"/>
      <c r="AO660" s="64"/>
      <c r="AP660" s="64"/>
      <c r="AQ660" s="80" t="str">
        <f>IFERROR((Tablas!$C$9*VLOOKUP(AN660, amb_control, 2, 0)+Tablas!$E$9*VLOOKUP(AO660, ejec_control, 2, 0)+Tablas!$G$9*VLOOKUP(AP660, cub_control, 2, 0))*0.1*peso_ejec, "")</f>
        <v/>
      </c>
      <c r="AR660" s="91" t="str">
        <f t="shared" si="1142"/>
        <v/>
      </c>
      <c r="AS660" s="87" t="str">
        <f t="shared" si="1143"/>
        <v/>
      </c>
      <c r="AT660" s="85" t="str">
        <f t="shared" si="1144"/>
        <v/>
      </c>
      <c r="AU660" s="85" t="str">
        <f>IF(AR660&lt;Tablas!$G$19, 0, IF(AND(AR660&gt;=Tablas!$G$19, AR660&lt;Tablas!$G$20), 1,  IF(AND(AR660&gt;=Tablas!$G$20, AR660&lt;Tablas!$G$21), 2,  IF(AND(AR660&gt;=Tablas!$G$21, AR660&lt;=Tablas!$G$22), 3,  ""))))</f>
        <v/>
      </c>
      <c r="AV660" s="85" t="str">
        <f t="shared" si="1145"/>
        <v/>
      </c>
      <c r="AW660" s="101" t="str">
        <f t="shared" si="1146"/>
        <v/>
      </c>
      <c r="AX660" s="177"/>
      <c r="AY660" s="169"/>
      <c r="AZ660" s="158"/>
      <c r="BA660" s="169"/>
      <c r="BB660" s="182"/>
      <c r="BC660" s="182"/>
      <c r="BD660" s="185"/>
      <c r="BE660" s="185"/>
      <c r="BF660" s="158"/>
      <c r="BG660" s="191"/>
    </row>
    <row r="661" spans="1:59" ht="15.75" thickBot="1" x14ac:dyDescent="0.3">
      <c r="A661" s="167"/>
      <c r="B661" s="167"/>
      <c r="C661" s="161"/>
      <c r="D661" s="160"/>
      <c r="E661" s="162"/>
      <c r="F661" s="165"/>
      <c r="G661" s="161"/>
      <c r="H661" s="161"/>
      <c r="I661" s="161"/>
      <c r="J661" s="161"/>
      <c r="K661" s="161"/>
      <c r="L661" s="166"/>
      <c r="M661" s="166"/>
      <c r="N661" s="166"/>
      <c r="O661" s="166"/>
      <c r="P661" s="166"/>
      <c r="Q661" s="166"/>
      <c r="R661" s="166"/>
      <c r="S661" s="149"/>
      <c r="T661" s="149"/>
      <c r="U661" s="149"/>
      <c r="V661" s="149"/>
      <c r="W661" s="149"/>
      <c r="X661" s="165"/>
      <c r="Y661" s="165"/>
      <c r="Z661" s="172"/>
      <c r="AA661" s="188"/>
      <c r="AB661" s="172"/>
      <c r="AC661" s="172"/>
      <c r="AD661" s="175"/>
      <c r="AE661" s="66" t="s">
        <v>154</v>
      </c>
      <c r="AF661" s="134"/>
      <c r="AG661" s="67"/>
      <c r="AH661" s="69"/>
      <c r="AI661" s="69"/>
      <c r="AJ661" s="69"/>
      <c r="AK661" s="69"/>
      <c r="AL661" s="69"/>
      <c r="AM661" s="81" t="str">
        <f>IFERROR((Tablas!$C$1*VLOOKUP(AH661, tipo_control, 2, 0)+Tablas!$E$1*VLOOKUP(AI661, nat_control, 2, 0)+Tablas!$G$1*VLOOKUP(AJ661, ev_control, 2, 0)+Tablas!$I$1*VLOOKUP(AK661, frec_control, 2, 0)+Tablas!$K$1*VLOOKUP(AL661, doc_control, 2, 0))*0.1*peso_dis, "")</f>
        <v/>
      </c>
      <c r="AN661" s="69"/>
      <c r="AO661" s="69"/>
      <c r="AP661" s="69"/>
      <c r="AQ661" s="81" t="str">
        <f>IFERROR((Tablas!$C$9*VLOOKUP(AN661, amb_control, 2, 0)+Tablas!$E$9*VLOOKUP(AO661, ejec_control, 2, 0)+Tablas!$G$9*VLOOKUP(AP661, cub_control, 2, 0))*0.1*peso_ejec, "")</f>
        <v/>
      </c>
      <c r="AR661" s="93" t="str">
        <f t="shared" si="1142"/>
        <v/>
      </c>
      <c r="AS661" s="87" t="str">
        <f t="shared" si="1143"/>
        <v/>
      </c>
      <c r="AT661" s="94" t="str">
        <f t="shared" si="1144"/>
        <v/>
      </c>
      <c r="AU661" s="94" t="str">
        <f>IF(AR661&lt;Tablas!$G$19, 0, IF(AND(AR661&gt;=Tablas!$G$19, AR661&lt;Tablas!$G$20), 1,  IF(AND(AR661&gt;=Tablas!$G$20, AR661&lt;Tablas!$G$21), 2,  IF(AND(AR661&gt;=Tablas!$G$21, AR661&lt;=Tablas!$G$22), 3,  ""))))</f>
        <v/>
      </c>
      <c r="AV661" s="94" t="str">
        <f t="shared" si="1145"/>
        <v/>
      </c>
      <c r="AW661" s="102" t="str">
        <f t="shared" si="1146"/>
        <v/>
      </c>
      <c r="AX661" s="157"/>
      <c r="AY661" s="170"/>
      <c r="AZ661" s="179"/>
      <c r="BA661" s="170"/>
      <c r="BB661" s="182"/>
      <c r="BC661" s="182"/>
      <c r="BD661" s="185"/>
      <c r="BE661" s="185"/>
      <c r="BF661" s="159"/>
      <c r="BG661" s="191"/>
    </row>
    <row r="662" spans="1:59" x14ac:dyDescent="0.25">
      <c r="A662" s="167"/>
      <c r="B662" s="167"/>
      <c r="C662" s="161" t="s">
        <v>15</v>
      </c>
      <c r="D662" s="160" t="s">
        <v>158</v>
      </c>
      <c r="E662" s="162"/>
      <c r="F662" s="163" t="str">
        <f t="shared" si="1138"/>
        <v/>
      </c>
      <c r="G662" s="149"/>
      <c r="H662" s="149"/>
      <c r="I662" s="149"/>
      <c r="J662" s="149"/>
      <c r="K662" s="149"/>
      <c r="L662" s="165" t="str">
        <f>IFERROR(VLOOKUP(G662, tabla02, 2, 0), "")</f>
        <v/>
      </c>
      <c r="M662" s="165" t="str">
        <f>IFERROR(VLOOKUP(H662, tabla02, 2, 0), "")</f>
        <v/>
      </c>
      <c r="N662" s="165" t="str">
        <f>IFERROR(VLOOKUP(I662, tabla02, 2, 0), "")</f>
        <v/>
      </c>
      <c r="O662" s="165" t="str">
        <f>IFERROR(VLOOKUP(J662, tabla02, 2, 0), "")</f>
        <v/>
      </c>
      <c r="P662" s="165" t="str">
        <f>IFERROR(VLOOKUP(K662, tabla02, 2, 0), "")</f>
        <v/>
      </c>
      <c r="Q662" s="165" t="str">
        <f t="shared" ref="Q662" si="1147">IF(SUM(L662:O666)=0, "", MAX(L662:P662))</f>
        <v/>
      </c>
      <c r="R662" s="165" t="str">
        <f>IFERROR(VLOOKUP(Q662, tabla04, 3, 0), "")</f>
        <v/>
      </c>
      <c r="S662" s="148"/>
      <c r="T662" s="148"/>
      <c r="U662" s="148"/>
      <c r="V662" s="148"/>
      <c r="W662" s="148"/>
      <c r="X662" s="163" t="str">
        <f>IFERROR(VLOOKUP(CONCATENATE(F662, "-", Q662), cuadrante_sev, 3, 0), "")</f>
        <v/>
      </c>
      <c r="Y662" s="163" t="str">
        <f t="shared" ref="Y662" si="1148">IFERROR(IF(X662="Baja", 1, IF(X662="Moderada", 2, IF(X662="Alta", 3, IF(X662="Extrema", 4, "")))), "")</f>
        <v/>
      </c>
      <c r="Z662" s="172"/>
      <c r="AA662" s="188"/>
      <c r="AB662" s="172"/>
      <c r="AC662" s="172"/>
      <c r="AD662" s="175"/>
      <c r="AE662" s="70" t="s">
        <v>113</v>
      </c>
      <c r="AF662" s="135"/>
      <c r="AG662" s="74"/>
      <c r="AH662" s="72"/>
      <c r="AI662" s="72"/>
      <c r="AJ662" s="72"/>
      <c r="AK662" s="72"/>
      <c r="AL662" s="72"/>
      <c r="AM662" s="82" t="str">
        <f>IFERROR((Tablas!$C$1*VLOOKUP(AH662, tipo_control, 2, 0)+Tablas!$E$1*VLOOKUP(AI662, nat_control, 2, 0)+Tablas!$G$1*VLOOKUP(AJ662, ev_control, 2, 0)+Tablas!$I$1*VLOOKUP(AK662, frec_control, 2, 0)+Tablas!$K$1*VLOOKUP(AL662, doc_control, 2, 0))*0.1*peso_dis, "")</f>
        <v/>
      </c>
      <c r="AN662" s="72"/>
      <c r="AO662" s="72"/>
      <c r="AP662" s="72"/>
      <c r="AQ662" s="82" t="str">
        <f>IFERROR((Tablas!$C$9*VLOOKUP(AN662, amb_control, 2, 0)+Tablas!$E$9*VLOOKUP(AO662, ejec_control, 2, 0)+Tablas!$G$9*VLOOKUP(AP662, cub_control, 2, 0))*0.1*peso_ejec, "")</f>
        <v/>
      </c>
      <c r="AR662" s="96" t="str">
        <f t="shared" si="1142"/>
        <v/>
      </c>
      <c r="AS662" s="97" t="str">
        <f t="shared" si="1143"/>
        <v/>
      </c>
      <c r="AT662" s="87" t="str">
        <f t="shared" si="1144"/>
        <v/>
      </c>
      <c r="AU662" s="97" t="str">
        <f>IF(AR662&lt;Tablas!$G$19, 0, IF(AND(AR662&gt;=Tablas!$G$19, AR662&lt;Tablas!$G$20), 1,  IF(AND(AR662&gt;=Tablas!$G$20, AR662&lt;Tablas!$G$21), 2,  IF(AND(AR662&gt;=Tablas!$G$21, AR662&lt;=Tablas!$G$22), 3,  ""))))</f>
        <v/>
      </c>
      <c r="AV662" s="97" t="str">
        <f t="shared" si="1145"/>
        <v/>
      </c>
      <c r="AW662" s="103" t="str">
        <f t="shared" si="1146"/>
        <v/>
      </c>
      <c r="AX662" s="176" t="str">
        <f t="shared" ref="AX662" si="1149">IFERROR(VLOOKUP(AY662, tabla04, 2, 0), "")</f>
        <v/>
      </c>
      <c r="AY662" s="168" t="str">
        <f>IF(F662="", "", IF((F662-MAX(AV662:AV666))&lt;=0, 1, F662-MAX(AV662:AV666)))</f>
        <v/>
      </c>
      <c r="AZ662" s="178" t="str">
        <f t="shared" ref="AZ662" si="1150">IFERROR(VLOOKUP(BA662, tabla04, 3, 0), "")</f>
        <v/>
      </c>
      <c r="BA662" s="168" t="str">
        <f>IF(Q662="", "", IF((Q662-MAX(AW662:AW666))&lt;=0, 1, Q662-MAX(AW662:AW666)))</f>
        <v/>
      </c>
      <c r="BB662" s="182"/>
      <c r="BC662" s="182"/>
      <c r="BD662" s="185"/>
      <c r="BE662" s="185"/>
      <c r="BF662" s="158" t="str">
        <f t="shared" ref="BF662:BF664" si="1151">IFERROR(VLOOKUP(CONCATENATE(AY662, "-", BA662), cuadrante_sev, 3, 0), "")</f>
        <v/>
      </c>
      <c r="BG662" s="191"/>
    </row>
    <row r="663" spans="1:59" x14ac:dyDescent="0.25">
      <c r="A663" s="167"/>
      <c r="B663" s="167"/>
      <c r="C663" s="161"/>
      <c r="D663" s="160"/>
      <c r="E663" s="162"/>
      <c r="F663" s="164"/>
      <c r="G663" s="161"/>
      <c r="H663" s="161"/>
      <c r="I663" s="161"/>
      <c r="J663" s="161"/>
      <c r="K663" s="161"/>
      <c r="L663" s="166"/>
      <c r="M663" s="166"/>
      <c r="N663" s="166"/>
      <c r="O663" s="166"/>
      <c r="P663" s="166"/>
      <c r="Q663" s="166"/>
      <c r="R663" s="166"/>
      <c r="S663" s="167"/>
      <c r="T663" s="167"/>
      <c r="U663" s="167"/>
      <c r="V663" s="167"/>
      <c r="W663" s="167"/>
      <c r="X663" s="164"/>
      <c r="Y663" s="164"/>
      <c r="Z663" s="172"/>
      <c r="AA663" s="188"/>
      <c r="AB663" s="172"/>
      <c r="AC663" s="172"/>
      <c r="AD663" s="175"/>
      <c r="AE663" s="62" t="s">
        <v>114</v>
      </c>
      <c r="AF663" s="133"/>
      <c r="AG663" s="65"/>
      <c r="AH663" s="64"/>
      <c r="AI663" s="64"/>
      <c r="AJ663" s="64"/>
      <c r="AK663" s="64"/>
      <c r="AL663" s="64"/>
      <c r="AM663" s="80" t="str">
        <f>IFERROR((Tablas!$C$1*VLOOKUP(AH663, tipo_control, 2, 0)+Tablas!$E$1*VLOOKUP(AI663, nat_control, 2, 0)+Tablas!$G$1*VLOOKUP(AJ663, ev_control, 2, 0)+Tablas!$I$1*VLOOKUP(AK663, frec_control, 2, 0)+Tablas!$K$1*VLOOKUP(AL663, doc_control, 2, 0))*0.1*peso_dis, "")</f>
        <v/>
      </c>
      <c r="AN663" s="64"/>
      <c r="AO663" s="64"/>
      <c r="AP663" s="64"/>
      <c r="AQ663" s="80" t="str">
        <f>IFERROR((Tablas!$C$9*VLOOKUP(AN663, amb_control, 2, 0)+Tablas!$E$9*VLOOKUP(AO663, ejec_control, 2, 0)+Tablas!$G$9*VLOOKUP(AP663, cub_control, 2, 0))*0.1*peso_ejec, "")</f>
        <v/>
      </c>
      <c r="AR663" s="91" t="str">
        <f t="shared" si="1142"/>
        <v/>
      </c>
      <c r="AS663" s="85" t="str">
        <f t="shared" si="1143"/>
        <v/>
      </c>
      <c r="AT663" s="85" t="str">
        <f t="shared" si="1144"/>
        <v/>
      </c>
      <c r="AU663" s="85" t="str">
        <f>IF(AR663&lt;Tablas!$G$19, 0, IF(AND(AR663&gt;=Tablas!$G$19, AR663&lt;Tablas!$G$20), 1,  IF(AND(AR663&gt;=Tablas!$G$20, AR663&lt;Tablas!$G$21), 2,  IF(AND(AR663&gt;=Tablas!$G$21, AR663&lt;=Tablas!$G$22), 3,  ""))))</f>
        <v/>
      </c>
      <c r="AV663" s="85" t="str">
        <f t="shared" si="1145"/>
        <v/>
      </c>
      <c r="AW663" s="101" t="str">
        <f t="shared" si="1146"/>
        <v/>
      </c>
      <c r="AX663" s="177"/>
      <c r="AY663" s="169"/>
      <c r="AZ663" s="158"/>
      <c r="BA663" s="169"/>
      <c r="BB663" s="182"/>
      <c r="BC663" s="182"/>
      <c r="BD663" s="185"/>
      <c r="BE663" s="185"/>
      <c r="BF663" s="158" t="str">
        <f t="shared" si="1151"/>
        <v/>
      </c>
      <c r="BG663" s="191"/>
    </row>
    <row r="664" spans="1:59" x14ac:dyDescent="0.25">
      <c r="A664" s="167"/>
      <c r="B664" s="167"/>
      <c r="C664" s="161"/>
      <c r="D664" s="160"/>
      <c r="E664" s="162"/>
      <c r="F664" s="164"/>
      <c r="G664" s="161"/>
      <c r="H664" s="161"/>
      <c r="I664" s="161"/>
      <c r="J664" s="161"/>
      <c r="K664" s="161"/>
      <c r="L664" s="166"/>
      <c r="M664" s="166"/>
      <c r="N664" s="166"/>
      <c r="O664" s="166"/>
      <c r="P664" s="166"/>
      <c r="Q664" s="166"/>
      <c r="R664" s="166"/>
      <c r="S664" s="167"/>
      <c r="T664" s="167"/>
      <c r="U664" s="167"/>
      <c r="V664" s="167"/>
      <c r="W664" s="167"/>
      <c r="X664" s="164"/>
      <c r="Y664" s="164"/>
      <c r="Z664" s="172"/>
      <c r="AA664" s="188"/>
      <c r="AB664" s="172"/>
      <c r="AC664" s="172"/>
      <c r="AD664" s="175"/>
      <c r="AE664" s="62" t="s">
        <v>115</v>
      </c>
      <c r="AF664" s="133"/>
      <c r="AG664" s="65"/>
      <c r="AH664" s="64"/>
      <c r="AI664" s="64"/>
      <c r="AJ664" s="64"/>
      <c r="AK664" s="64"/>
      <c r="AL664" s="64"/>
      <c r="AM664" s="80" t="str">
        <f>IFERROR((Tablas!$C$1*VLOOKUP(AH664, tipo_control, 2, 0)+Tablas!$E$1*VLOOKUP(AI664, nat_control, 2, 0)+Tablas!$G$1*VLOOKUP(AJ664, ev_control, 2, 0)+Tablas!$I$1*VLOOKUP(AK664, frec_control, 2, 0)+Tablas!$K$1*VLOOKUP(AL664, doc_control, 2, 0))*0.1*peso_dis, "")</f>
        <v/>
      </c>
      <c r="AN664" s="64"/>
      <c r="AO664" s="64"/>
      <c r="AP664" s="64"/>
      <c r="AQ664" s="80" t="str">
        <f>IFERROR((Tablas!$C$9*VLOOKUP(AN664, amb_control, 2, 0)+Tablas!$E$9*VLOOKUP(AO664, ejec_control, 2, 0)+Tablas!$G$9*VLOOKUP(AP664, cub_control, 2, 0))*0.1*peso_ejec, "")</f>
        <v/>
      </c>
      <c r="AR664" s="91" t="str">
        <f t="shared" si="1142"/>
        <v/>
      </c>
      <c r="AS664" s="85" t="str">
        <f t="shared" si="1143"/>
        <v/>
      </c>
      <c r="AT664" s="85" t="str">
        <f t="shared" si="1144"/>
        <v/>
      </c>
      <c r="AU664" s="85" t="str">
        <f>IF(AR664&lt;Tablas!$G$19, 0, IF(AND(AR664&gt;=Tablas!$G$19, AR664&lt;Tablas!$G$20), 1,  IF(AND(AR664&gt;=Tablas!$G$20, AR664&lt;Tablas!$G$21), 2,  IF(AND(AR664&gt;=Tablas!$G$21, AR664&lt;=Tablas!$G$22), 3,  ""))))</f>
        <v/>
      </c>
      <c r="AV664" s="85" t="str">
        <f t="shared" si="1145"/>
        <v/>
      </c>
      <c r="AW664" s="101" t="str">
        <f t="shared" si="1146"/>
        <v/>
      </c>
      <c r="AX664" s="177"/>
      <c r="AY664" s="169"/>
      <c r="AZ664" s="158"/>
      <c r="BA664" s="169"/>
      <c r="BB664" s="182"/>
      <c r="BC664" s="182"/>
      <c r="BD664" s="185"/>
      <c r="BE664" s="185"/>
      <c r="BF664" s="158" t="str">
        <f t="shared" si="1151"/>
        <v/>
      </c>
      <c r="BG664" s="191"/>
    </row>
    <row r="665" spans="1:59" x14ac:dyDescent="0.25">
      <c r="A665" s="167"/>
      <c r="B665" s="167"/>
      <c r="C665" s="161"/>
      <c r="D665" s="160"/>
      <c r="E665" s="162"/>
      <c r="F665" s="164"/>
      <c r="G665" s="161"/>
      <c r="H665" s="161"/>
      <c r="I665" s="161"/>
      <c r="J665" s="161"/>
      <c r="K665" s="161"/>
      <c r="L665" s="166"/>
      <c r="M665" s="166"/>
      <c r="N665" s="166"/>
      <c r="O665" s="166"/>
      <c r="P665" s="166"/>
      <c r="Q665" s="166"/>
      <c r="R665" s="166"/>
      <c r="S665" s="167"/>
      <c r="T665" s="167"/>
      <c r="U665" s="167"/>
      <c r="V665" s="167"/>
      <c r="W665" s="167"/>
      <c r="X665" s="164"/>
      <c r="Y665" s="164"/>
      <c r="Z665" s="172"/>
      <c r="AA665" s="188"/>
      <c r="AB665" s="172"/>
      <c r="AC665" s="172"/>
      <c r="AD665" s="175"/>
      <c r="AE665" s="62" t="s">
        <v>153</v>
      </c>
      <c r="AF665" s="133"/>
      <c r="AG665" s="65"/>
      <c r="AH665" s="64"/>
      <c r="AI665" s="64"/>
      <c r="AJ665" s="64"/>
      <c r="AK665" s="64"/>
      <c r="AL665" s="64"/>
      <c r="AM665" s="80" t="str">
        <f>IFERROR((Tablas!$C$1*VLOOKUP(AH665, tipo_control, 2, 0)+Tablas!$E$1*VLOOKUP(AI665, nat_control, 2, 0)+Tablas!$G$1*VLOOKUP(AJ665, ev_control, 2, 0)+Tablas!$I$1*VLOOKUP(AK665, frec_control, 2, 0)+Tablas!$K$1*VLOOKUP(AL665, doc_control, 2, 0))*0.1*peso_dis, "")</f>
        <v/>
      </c>
      <c r="AN665" s="64"/>
      <c r="AO665" s="64"/>
      <c r="AP665" s="64"/>
      <c r="AQ665" s="80" t="str">
        <f>IFERROR((Tablas!$C$9*VLOOKUP(AN665, amb_control, 2, 0)+Tablas!$E$9*VLOOKUP(AO665, ejec_control, 2, 0)+Tablas!$G$9*VLOOKUP(AP665, cub_control, 2, 0))*0.1*peso_ejec, "")</f>
        <v/>
      </c>
      <c r="AR665" s="91" t="str">
        <f t="shared" si="1142"/>
        <v/>
      </c>
      <c r="AS665" s="85" t="str">
        <f t="shared" si="1143"/>
        <v/>
      </c>
      <c r="AT665" s="85" t="str">
        <f t="shared" si="1144"/>
        <v/>
      </c>
      <c r="AU665" s="85" t="str">
        <f>IF(AR665&lt;Tablas!$G$19, 0, IF(AND(AR665&gt;=Tablas!$G$19, AR665&lt;Tablas!$G$20), 1,  IF(AND(AR665&gt;=Tablas!$G$20, AR665&lt;Tablas!$G$21), 2,  IF(AND(AR665&gt;=Tablas!$G$21, AR665&lt;=Tablas!$G$22), 3,  ""))))</f>
        <v/>
      </c>
      <c r="AV665" s="85" t="str">
        <f t="shared" si="1145"/>
        <v/>
      </c>
      <c r="AW665" s="101" t="str">
        <f t="shared" si="1146"/>
        <v/>
      </c>
      <c r="AX665" s="177"/>
      <c r="AY665" s="169"/>
      <c r="AZ665" s="158"/>
      <c r="BA665" s="169"/>
      <c r="BB665" s="182"/>
      <c r="BC665" s="182"/>
      <c r="BD665" s="185"/>
      <c r="BE665" s="185"/>
      <c r="BF665" s="158"/>
      <c r="BG665" s="191"/>
    </row>
    <row r="666" spans="1:59" ht="15.75" thickBot="1" x14ac:dyDescent="0.3">
      <c r="A666" s="167"/>
      <c r="B666" s="167"/>
      <c r="C666" s="161"/>
      <c r="D666" s="160"/>
      <c r="E666" s="162"/>
      <c r="F666" s="165"/>
      <c r="G666" s="161"/>
      <c r="H666" s="161"/>
      <c r="I666" s="161"/>
      <c r="J666" s="161"/>
      <c r="K666" s="161"/>
      <c r="L666" s="166"/>
      <c r="M666" s="166"/>
      <c r="N666" s="166"/>
      <c r="O666" s="166"/>
      <c r="P666" s="166"/>
      <c r="Q666" s="166"/>
      <c r="R666" s="166"/>
      <c r="S666" s="149"/>
      <c r="T666" s="149"/>
      <c r="U666" s="149"/>
      <c r="V666" s="149"/>
      <c r="W666" s="149"/>
      <c r="X666" s="165"/>
      <c r="Y666" s="165"/>
      <c r="Z666" s="172"/>
      <c r="AA666" s="188"/>
      <c r="AB666" s="172"/>
      <c r="AC666" s="172"/>
      <c r="AD666" s="175"/>
      <c r="AE666" s="66" t="s">
        <v>154</v>
      </c>
      <c r="AF666" s="134"/>
      <c r="AG666" s="67"/>
      <c r="AH666" s="69"/>
      <c r="AI666" s="69"/>
      <c r="AJ666" s="69"/>
      <c r="AK666" s="69"/>
      <c r="AL666" s="69"/>
      <c r="AM666" s="81" t="str">
        <f>IFERROR((Tablas!$C$1*VLOOKUP(AH666, tipo_control, 2, 0)+Tablas!$E$1*VLOOKUP(AI666, nat_control, 2, 0)+Tablas!$G$1*VLOOKUP(AJ666, ev_control, 2, 0)+Tablas!$I$1*VLOOKUP(AK666, frec_control, 2, 0)+Tablas!$K$1*VLOOKUP(AL666, doc_control, 2, 0))*0.1*peso_dis, "")</f>
        <v/>
      </c>
      <c r="AN666" s="69"/>
      <c r="AO666" s="69"/>
      <c r="AP666" s="69"/>
      <c r="AQ666" s="81" t="str">
        <f>IFERROR((Tablas!$C$9*VLOOKUP(AN666, amb_control, 2, 0)+Tablas!$E$9*VLOOKUP(AO666, ejec_control, 2, 0)+Tablas!$G$9*VLOOKUP(AP666, cub_control, 2, 0))*0.1*peso_ejec, "")</f>
        <v/>
      </c>
      <c r="AR666" s="93" t="str">
        <f t="shared" si="1142"/>
        <v/>
      </c>
      <c r="AS666" s="94" t="str">
        <f t="shared" si="1143"/>
        <v/>
      </c>
      <c r="AT666" s="94" t="str">
        <f t="shared" si="1144"/>
        <v/>
      </c>
      <c r="AU666" s="94" t="str">
        <f>IF(AR666&lt;Tablas!$G$19, 0, IF(AND(AR666&gt;=Tablas!$G$19, AR666&lt;Tablas!$G$20), 1,  IF(AND(AR666&gt;=Tablas!$G$20, AR666&lt;Tablas!$G$21), 2,  IF(AND(AR666&gt;=Tablas!$G$21, AR666&lt;=Tablas!$G$22), 3,  ""))))</f>
        <v/>
      </c>
      <c r="AV666" s="94" t="str">
        <f t="shared" si="1145"/>
        <v/>
      </c>
      <c r="AW666" s="102" t="str">
        <f t="shared" si="1146"/>
        <v/>
      </c>
      <c r="AX666" s="157"/>
      <c r="AY666" s="170"/>
      <c r="AZ666" s="179"/>
      <c r="BA666" s="170"/>
      <c r="BB666" s="182"/>
      <c r="BC666" s="182"/>
      <c r="BD666" s="185"/>
      <c r="BE666" s="185"/>
      <c r="BF666" s="159"/>
      <c r="BG666" s="191"/>
    </row>
    <row r="667" spans="1:59" x14ac:dyDescent="0.25">
      <c r="A667" s="167"/>
      <c r="B667" s="167"/>
      <c r="C667" s="161" t="s">
        <v>16</v>
      </c>
      <c r="D667" s="160" t="s">
        <v>158</v>
      </c>
      <c r="E667" s="162"/>
      <c r="F667" s="163" t="str">
        <f t="shared" si="1138"/>
        <v/>
      </c>
      <c r="G667" s="149"/>
      <c r="H667" s="149"/>
      <c r="I667" s="149"/>
      <c r="J667" s="149"/>
      <c r="K667" s="149"/>
      <c r="L667" s="165" t="str">
        <f>IFERROR(VLOOKUP(G667, tabla02, 2, 0), "")</f>
        <v/>
      </c>
      <c r="M667" s="165" t="str">
        <f>IFERROR(VLOOKUP(H667, tabla02, 2, 0), "")</f>
        <v/>
      </c>
      <c r="N667" s="165" t="str">
        <f>IFERROR(VLOOKUP(I667, tabla02, 2, 0), "")</f>
        <v/>
      </c>
      <c r="O667" s="165" t="str">
        <f>IFERROR(VLOOKUP(J667, tabla02, 2, 0), "")</f>
        <v/>
      </c>
      <c r="P667" s="165" t="str">
        <f>IFERROR(VLOOKUP(K667, tabla02, 2, 0), "")</f>
        <v/>
      </c>
      <c r="Q667" s="165" t="str">
        <f t="shared" ref="Q667" si="1152">IF(SUM(L667:O671)=0, "", MAX(L667:P667))</f>
        <v/>
      </c>
      <c r="R667" s="165" t="str">
        <f>IFERROR(VLOOKUP(Q667, tabla04, 3, 0), "")</f>
        <v/>
      </c>
      <c r="S667" s="148"/>
      <c r="T667" s="148"/>
      <c r="U667" s="148"/>
      <c r="V667" s="148"/>
      <c r="W667" s="148"/>
      <c r="X667" s="163" t="str">
        <f>IFERROR(VLOOKUP(CONCATENATE(F667, "-", Q667), cuadrante_sev, 3, 0), "")</f>
        <v/>
      </c>
      <c r="Y667" s="163" t="str">
        <f t="shared" ref="Y667" si="1153">IFERROR(IF(X667="Baja", 1, IF(X667="Moderada", 2, IF(X667="Alta", 3, IF(X667="Extrema", 4, "")))), "")</f>
        <v/>
      </c>
      <c r="Z667" s="172"/>
      <c r="AA667" s="188"/>
      <c r="AB667" s="172"/>
      <c r="AC667" s="172"/>
      <c r="AD667" s="175"/>
      <c r="AE667" s="70" t="s">
        <v>113</v>
      </c>
      <c r="AF667" s="135"/>
      <c r="AG667" s="77"/>
      <c r="AH667" s="61"/>
      <c r="AI667" s="61"/>
      <c r="AJ667" s="61"/>
      <c r="AK667" s="61"/>
      <c r="AL667" s="61"/>
      <c r="AM667" s="82" t="str">
        <f>IFERROR((Tablas!$C$1*VLOOKUP(AH667, tipo_control, 2, 0)+Tablas!$E$1*VLOOKUP(AI667, nat_control, 2, 0)+Tablas!$G$1*VLOOKUP(AJ667, ev_control, 2, 0)+Tablas!$I$1*VLOOKUP(AK667, frec_control, 2, 0)+Tablas!$K$1*VLOOKUP(AL667, doc_control, 2, 0))*0.1*peso_dis, "")</f>
        <v/>
      </c>
      <c r="AN667" s="61"/>
      <c r="AO667" s="61"/>
      <c r="AP667" s="61"/>
      <c r="AQ667" s="82" t="str">
        <f>IFERROR((Tablas!$C$9*VLOOKUP(AN667, amb_control, 2, 0)+Tablas!$E$9*VLOOKUP(AO667, ejec_control, 2, 0)+Tablas!$G$9*VLOOKUP(AP667, cub_control, 2, 0))*0.1*peso_ejec, "")</f>
        <v/>
      </c>
      <c r="AR667" s="96" t="str">
        <f t="shared" si="1142"/>
        <v/>
      </c>
      <c r="AS667" s="97" t="str">
        <f t="shared" si="1143"/>
        <v/>
      </c>
      <c r="AT667" s="87" t="str">
        <f t="shared" si="1144"/>
        <v/>
      </c>
      <c r="AU667" s="97" t="str">
        <f>IF(AR667&lt;Tablas!$G$19, 0, IF(AND(AR667&gt;=Tablas!$G$19, AR667&lt;Tablas!$G$20), 1,  IF(AND(AR667&gt;=Tablas!$G$20, AR667&lt;Tablas!$G$21), 2,  IF(AND(AR667&gt;=Tablas!$G$21, AR667&lt;=Tablas!$G$22), 3,  ""))))</f>
        <v/>
      </c>
      <c r="AV667" s="97" t="str">
        <f t="shared" si="1145"/>
        <v/>
      </c>
      <c r="AW667" s="103" t="str">
        <f t="shared" si="1146"/>
        <v/>
      </c>
      <c r="AX667" s="176" t="str">
        <f t="shared" ref="AX667" si="1154">IFERROR(VLOOKUP(AY667, tabla04, 2, 0), "")</f>
        <v/>
      </c>
      <c r="AY667" s="168" t="str">
        <f>IF(F667="", "", IF((F667-MAX(AV667:AV671))&lt;=0, 1, F667-MAX(AV667:AV671)))</f>
        <v/>
      </c>
      <c r="AZ667" s="178" t="str">
        <f t="shared" ref="AZ667" si="1155">IFERROR(VLOOKUP(BA667, tabla04, 3, 0), "")</f>
        <v/>
      </c>
      <c r="BA667" s="168" t="str">
        <f>IF(Q667="", "", IF((Q667-MAX(AW667:AW671))&lt;=0, 1, Q667-MAX(AW667:AW671)))</f>
        <v/>
      </c>
      <c r="BB667" s="182"/>
      <c r="BC667" s="182"/>
      <c r="BD667" s="185"/>
      <c r="BE667" s="185"/>
      <c r="BF667" s="158" t="str">
        <f t="shared" ref="BF667:BF669" si="1156">IFERROR(VLOOKUP(CONCATENATE(AY667, "-", BA667), cuadrante_sev, 3, 0), "")</f>
        <v/>
      </c>
      <c r="BG667" s="191"/>
    </row>
    <row r="668" spans="1:59" x14ac:dyDescent="0.25">
      <c r="A668" s="167"/>
      <c r="B668" s="167"/>
      <c r="C668" s="161"/>
      <c r="D668" s="160"/>
      <c r="E668" s="162"/>
      <c r="F668" s="164"/>
      <c r="G668" s="161"/>
      <c r="H668" s="161"/>
      <c r="I668" s="161"/>
      <c r="J668" s="161"/>
      <c r="K668" s="161"/>
      <c r="L668" s="166"/>
      <c r="M668" s="166"/>
      <c r="N668" s="166"/>
      <c r="O668" s="166"/>
      <c r="P668" s="166"/>
      <c r="Q668" s="166"/>
      <c r="R668" s="166"/>
      <c r="S668" s="167"/>
      <c r="T668" s="167"/>
      <c r="U668" s="167"/>
      <c r="V668" s="167"/>
      <c r="W668" s="167"/>
      <c r="X668" s="164"/>
      <c r="Y668" s="164"/>
      <c r="Z668" s="172"/>
      <c r="AA668" s="188"/>
      <c r="AB668" s="172"/>
      <c r="AC668" s="172"/>
      <c r="AD668" s="175"/>
      <c r="AE668" s="62" t="s">
        <v>114</v>
      </c>
      <c r="AF668" s="133"/>
      <c r="AG668" s="65"/>
      <c r="AH668" s="64"/>
      <c r="AI668" s="64"/>
      <c r="AJ668" s="64"/>
      <c r="AK668" s="64"/>
      <c r="AL668" s="64"/>
      <c r="AM668" s="80" t="str">
        <f>IFERROR((Tablas!$C$1*VLOOKUP(AH668, tipo_control, 2, 0)+Tablas!$E$1*VLOOKUP(AI668, nat_control, 2, 0)+Tablas!$G$1*VLOOKUP(AJ668, ev_control, 2, 0)+Tablas!$I$1*VLOOKUP(AK668, frec_control, 2, 0)+Tablas!$K$1*VLOOKUP(AL668, doc_control, 2, 0))*0.1*peso_dis, "")</f>
        <v/>
      </c>
      <c r="AN668" s="64"/>
      <c r="AO668" s="64"/>
      <c r="AP668" s="64"/>
      <c r="AQ668" s="80" t="str">
        <f>IFERROR((Tablas!$C$9*VLOOKUP(AN668, amb_control, 2, 0)+Tablas!$E$9*VLOOKUP(AO668, ejec_control, 2, 0)+Tablas!$G$9*VLOOKUP(AP668, cub_control, 2, 0))*0.1*peso_ejec, "")</f>
        <v/>
      </c>
      <c r="AR668" s="91" t="str">
        <f t="shared" si="1142"/>
        <v/>
      </c>
      <c r="AS668" s="85" t="str">
        <f t="shared" si="1143"/>
        <v/>
      </c>
      <c r="AT668" s="85" t="str">
        <f t="shared" si="1144"/>
        <v/>
      </c>
      <c r="AU668" s="85" t="str">
        <f>IF(AR668&lt;Tablas!$G$19, 0, IF(AND(AR668&gt;=Tablas!$G$19, AR668&lt;Tablas!$G$20), 1,  IF(AND(AR668&gt;=Tablas!$G$20, AR668&lt;Tablas!$G$21), 2,  IF(AND(AR668&gt;=Tablas!$G$21, AR668&lt;=Tablas!$G$22), 3,  ""))))</f>
        <v/>
      </c>
      <c r="AV668" s="85" t="str">
        <f t="shared" si="1145"/>
        <v/>
      </c>
      <c r="AW668" s="101" t="str">
        <f t="shared" si="1146"/>
        <v/>
      </c>
      <c r="AX668" s="177"/>
      <c r="AY668" s="169"/>
      <c r="AZ668" s="158"/>
      <c r="BA668" s="169"/>
      <c r="BB668" s="182"/>
      <c r="BC668" s="182"/>
      <c r="BD668" s="185"/>
      <c r="BE668" s="185"/>
      <c r="BF668" s="158" t="str">
        <f t="shared" si="1156"/>
        <v/>
      </c>
      <c r="BG668" s="191"/>
    </row>
    <row r="669" spans="1:59" x14ac:dyDescent="0.25">
      <c r="A669" s="167"/>
      <c r="B669" s="167"/>
      <c r="C669" s="161"/>
      <c r="D669" s="160"/>
      <c r="E669" s="162"/>
      <c r="F669" s="164"/>
      <c r="G669" s="161"/>
      <c r="H669" s="161"/>
      <c r="I669" s="161"/>
      <c r="J669" s="161"/>
      <c r="K669" s="161"/>
      <c r="L669" s="166"/>
      <c r="M669" s="166"/>
      <c r="N669" s="166"/>
      <c r="O669" s="166"/>
      <c r="P669" s="166"/>
      <c r="Q669" s="166"/>
      <c r="R669" s="166"/>
      <c r="S669" s="167"/>
      <c r="T669" s="167"/>
      <c r="U669" s="167"/>
      <c r="V669" s="167"/>
      <c r="W669" s="167"/>
      <c r="X669" s="164"/>
      <c r="Y669" s="164"/>
      <c r="Z669" s="172"/>
      <c r="AA669" s="188"/>
      <c r="AB669" s="172"/>
      <c r="AC669" s="172"/>
      <c r="AD669" s="175"/>
      <c r="AE669" s="62" t="s">
        <v>115</v>
      </c>
      <c r="AF669" s="133"/>
      <c r="AG669" s="65"/>
      <c r="AH669" s="64"/>
      <c r="AI669" s="64"/>
      <c r="AJ669" s="64"/>
      <c r="AK669" s="64"/>
      <c r="AL669" s="64"/>
      <c r="AM669" s="80" t="str">
        <f>IFERROR((Tablas!$C$1*VLOOKUP(AH669, tipo_control, 2, 0)+Tablas!$E$1*VLOOKUP(AI669, nat_control, 2, 0)+Tablas!$G$1*VLOOKUP(AJ669, ev_control, 2, 0)+Tablas!$I$1*VLOOKUP(AK669, frec_control, 2, 0)+Tablas!$K$1*VLOOKUP(AL669, doc_control, 2, 0))*0.1*peso_dis, "")</f>
        <v/>
      </c>
      <c r="AN669" s="64"/>
      <c r="AO669" s="64"/>
      <c r="AP669" s="64"/>
      <c r="AQ669" s="80" t="str">
        <f>IFERROR((Tablas!$C$9*VLOOKUP(AN669, amb_control, 2, 0)+Tablas!$E$9*VLOOKUP(AO669, ejec_control, 2, 0)+Tablas!$G$9*VLOOKUP(AP669, cub_control, 2, 0))*0.1*peso_ejec, "")</f>
        <v/>
      </c>
      <c r="AR669" s="91" t="str">
        <f t="shared" si="1142"/>
        <v/>
      </c>
      <c r="AS669" s="85" t="str">
        <f t="shared" si="1143"/>
        <v/>
      </c>
      <c r="AT669" s="85" t="str">
        <f t="shared" si="1144"/>
        <v/>
      </c>
      <c r="AU669" s="85" t="str">
        <f>IF(AR669&lt;Tablas!$G$19, 0, IF(AND(AR669&gt;=Tablas!$G$19, AR669&lt;Tablas!$G$20), 1,  IF(AND(AR669&gt;=Tablas!$G$20, AR669&lt;Tablas!$G$21), 2,  IF(AND(AR669&gt;=Tablas!$G$21, AR669&lt;=Tablas!$G$22), 3,  ""))))</f>
        <v/>
      </c>
      <c r="AV669" s="85" t="str">
        <f t="shared" si="1145"/>
        <v/>
      </c>
      <c r="AW669" s="101" t="str">
        <f t="shared" si="1146"/>
        <v/>
      </c>
      <c r="AX669" s="177"/>
      <c r="AY669" s="169"/>
      <c r="AZ669" s="158"/>
      <c r="BA669" s="169"/>
      <c r="BB669" s="182"/>
      <c r="BC669" s="182"/>
      <c r="BD669" s="185"/>
      <c r="BE669" s="185"/>
      <c r="BF669" s="158" t="str">
        <f t="shared" si="1156"/>
        <v/>
      </c>
      <c r="BG669" s="191"/>
    </row>
    <row r="670" spans="1:59" x14ac:dyDescent="0.25">
      <c r="A670" s="167"/>
      <c r="B670" s="167"/>
      <c r="C670" s="161"/>
      <c r="D670" s="160"/>
      <c r="E670" s="162"/>
      <c r="F670" s="164"/>
      <c r="G670" s="161"/>
      <c r="H670" s="161"/>
      <c r="I670" s="161"/>
      <c r="J670" s="161"/>
      <c r="K670" s="161"/>
      <c r="L670" s="166"/>
      <c r="M670" s="166"/>
      <c r="N670" s="166"/>
      <c r="O670" s="166"/>
      <c r="P670" s="166"/>
      <c r="Q670" s="166"/>
      <c r="R670" s="166"/>
      <c r="S670" s="167"/>
      <c r="T670" s="167"/>
      <c r="U670" s="167"/>
      <c r="V670" s="167"/>
      <c r="W670" s="167"/>
      <c r="X670" s="164"/>
      <c r="Y670" s="164"/>
      <c r="Z670" s="172"/>
      <c r="AA670" s="188"/>
      <c r="AB670" s="172"/>
      <c r="AC670" s="172"/>
      <c r="AD670" s="175"/>
      <c r="AE670" s="62" t="s">
        <v>153</v>
      </c>
      <c r="AF670" s="133"/>
      <c r="AG670" s="65"/>
      <c r="AH670" s="64"/>
      <c r="AI670" s="64"/>
      <c r="AJ670" s="64"/>
      <c r="AK670" s="64"/>
      <c r="AL670" s="64"/>
      <c r="AM670" s="80" t="str">
        <f>IFERROR((Tablas!$C$1*VLOOKUP(AH670, tipo_control, 2, 0)+Tablas!$E$1*VLOOKUP(AI670, nat_control, 2, 0)+Tablas!$G$1*VLOOKUP(AJ670, ev_control, 2, 0)+Tablas!$I$1*VLOOKUP(AK670, frec_control, 2, 0)+Tablas!$K$1*VLOOKUP(AL670, doc_control, 2, 0))*0.1*peso_dis, "")</f>
        <v/>
      </c>
      <c r="AN670" s="64"/>
      <c r="AO670" s="64"/>
      <c r="AP670" s="64"/>
      <c r="AQ670" s="80" t="str">
        <f>IFERROR((Tablas!$C$9*VLOOKUP(AN670, amb_control, 2, 0)+Tablas!$E$9*VLOOKUP(AO670, ejec_control, 2, 0)+Tablas!$G$9*VLOOKUP(AP670, cub_control, 2, 0))*0.1*peso_ejec, "")</f>
        <v/>
      </c>
      <c r="AR670" s="91" t="str">
        <f t="shared" si="1142"/>
        <v/>
      </c>
      <c r="AS670" s="85" t="str">
        <f t="shared" si="1143"/>
        <v/>
      </c>
      <c r="AT670" s="85" t="str">
        <f t="shared" si="1144"/>
        <v/>
      </c>
      <c r="AU670" s="85" t="str">
        <f>IF(AR670&lt;Tablas!$G$19, 0, IF(AND(AR670&gt;=Tablas!$G$19, AR670&lt;Tablas!$G$20), 1,  IF(AND(AR670&gt;=Tablas!$G$20, AR670&lt;Tablas!$G$21), 2,  IF(AND(AR670&gt;=Tablas!$G$21, AR670&lt;=Tablas!$G$22), 3,  ""))))</f>
        <v/>
      </c>
      <c r="AV670" s="85" t="str">
        <f t="shared" si="1145"/>
        <v/>
      </c>
      <c r="AW670" s="101" t="str">
        <f t="shared" si="1146"/>
        <v/>
      </c>
      <c r="AX670" s="177"/>
      <c r="AY670" s="169"/>
      <c r="AZ670" s="158"/>
      <c r="BA670" s="169"/>
      <c r="BB670" s="182"/>
      <c r="BC670" s="182"/>
      <c r="BD670" s="185"/>
      <c r="BE670" s="185"/>
      <c r="BF670" s="158"/>
      <c r="BG670" s="191"/>
    </row>
    <row r="671" spans="1:59" ht="15.75" thickBot="1" x14ac:dyDescent="0.3">
      <c r="A671" s="167"/>
      <c r="B671" s="167"/>
      <c r="C671" s="161"/>
      <c r="D671" s="160"/>
      <c r="E671" s="162"/>
      <c r="F671" s="165"/>
      <c r="G671" s="161"/>
      <c r="H671" s="161"/>
      <c r="I671" s="161"/>
      <c r="J671" s="161"/>
      <c r="K671" s="161"/>
      <c r="L671" s="166"/>
      <c r="M671" s="166"/>
      <c r="N671" s="166"/>
      <c r="O671" s="166"/>
      <c r="P671" s="166"/>
      <c r="Q671" s="166"/>
      <c r="R671" s="166"/>
      <c r="S671" s="149"/>
      <c r="T671" s="149"/>
      <c r="U671" s="149"/>
      <c r="V671" s="149"/>
      <c r="W671" s="149"/>
      <c r="X671" s="165"/>
      <c r="Y671" s="165"/>
      <c r="Z671" s="172"/>
      <c r="AA671" s="188"/>
      <c r="AB671" s="172"/>
      <c r="AC671" s="172"/>
      <c r="AD671" s="175"/>
      <c r="AE671" s="66" t="s">
        <v>154</v>
      </c>
      <c r="AF671" s="134"/>
      <c r="AG671" s="67"/>
      <c r="AH671" s="69"/>
      <c r="AI671" s="69"/>
      <c r="AJ671" s="69"/>
      <c r="AK671" s="69"/>
      <c r="AL671" s="69"/>
      <c r="AM671" s="81" t="str">
        <f>IFERROR((Tablas!$C$1*VLOOKUP(AH671, tipo_control, 2, 0)+Tablas!$E$1*VLOOKUP(AI671, nat_control, 2, 0)+Tablas!$G$1*VLOOKUP(AJ671, ev_control, 2, 0)+Tablas!$I$1*VLOOKUP(AK671, frec_control, 2, 0)+Tablas!$K$1*VLOOKUP(AL671, doc_control, 2, 0))*0.1*peso_dis, "")</f>
        <v/>
      </c>
      <c r="AN671" s="69"/>
      <c r="AO671" s="69"/>
      <c r="AP671" s="69"/>
      <c r="AQ671" s="81" t="str">
        <f>IFERROR((Tablas!$C$9*VLOOKUP(AN671, amb_control, 2, 0)+Tablas!$E$9*VLOOKUP(AO671, ejec_control, 2, 0)+Tablas!$G$9*VLOOKUP(AP671, cub_control, 2, 0))*0.1*peso_ejec, "")</f>
        <v/>
      </c>
      <c r="AR671" s="93" t="str">
        <f t="shared" si="1142"/>
        <v/>
      </c>
      <c r="AS671" s="94" t="str">
        <f t="shared" si="1143"/>
        <v/>
      </c>
      <c r="AT671" s="94" t="str">
        <f t="shared" si="1144"/>
        <v/>
      </c>
      <c r="AU671" s="94" t="str">
        <f>IF(AR671&lt;Tablas!$G$19, 0, IF(AND(AR671&gt;=Tablas!$G$19, AR671&lt;Tablas!$G$20), 1,  IF(AND(AR671&gt;=Tablas!$G$20, AR671&lt;Tablas!$G$21), 2,  IF(AND(AR671&gt;=Tablas!$G$21, AR671&lt;=Tablas!$G$22), 3,  ""))))</f>
        <v/>
      </c>
      <c r="AV671" s="94" t="str">
        <f t="shared" si="1145"/>
        <v/>
      </c>
      <c r="AW671" s="102" t="str">
        <f t="shared" si="1146"/>
        <v/>
      </c>
      <c r="AX671" s="157"/>
      <c r="AY671" s="170"/>
      <c r="AZ671" s="179"/>
      <c r="BA671" s="170"/>
      <c r="BB671" s="182"/>
      <c r="BC671" s="182"/>
      <c r="BD671" s="185"/>
      <c r="BE671" s="185"/>
      <c r="BF671" s="159"/>
      <c r="BG671" s="191"/>
    </row>
    <row r="672" spans="1:59" x14ac:dyDescent="0.25">
      <c r="A672" s="167"/>
      <c r="B672" s="167"/>
      <c r="C672" s="161" t="s">
        <v>18</v>
      </c>
      <c r="D672" s="160" t="s">
        <v>158</v>
      </c>
      <c r="E672" s="162"/>
      <c r="F672" s="163" t="str">
        <f t="shared" si="1138"/>
        <v/>
      </c>
      <c r="G672" s="149"/>
      <c r="H672" s="149"/>
      <c r="I672" s="149"/>
      <c r="J672" s="149"/>
      <c r="K672" s="149"/>
      <c r="L672" s="165" t="str">
        <f t="shared" ref="L672" si="1157">IFERROR(VLOOKUP(G672, tabla02, 2, 0), "")</f>
        <v/>
      </c>
      <c r="M672" s="165" t="str">
        <f t="shared" ref="M672" si="1158">IFERROR(VLOOKUP(H672, tabla02, 2, 0), "")</f>
        <v/>
      </c>
      <c r="N672" s="165" t="str">
        <f t="shared" ref="N672" si="1159">IFERROR(VLOOKUP(I672, tabla02, 2, 0), "")</f>
        <v/>
      </c>
      <c r="O672" s="165" t="str">
        <f t="shared" ref="O672" si="1160">IFERROR(VLOOKUP(J672, tabla02, 2, 0), "")</f>
        <v/>
      </c>
      <c r="P672" s="165" t="str">
        <f t="shared" ref="P672" si="1161">IFERROR(VLOOKUP(K672, tabla02, 2, 0), "")</f>
        <v/>
      </c>
      <c r="Q672" s="165" t="str">
        <f t="shared" ref="Q672" si="1162">IF(SUM(L672:O676)=0, "", MAX(L672:P672))</f>
        <v/>
      </c>
      <c r="R672" s="165" t="str">
        <f>IFERROR(VLOOKUP(Q672, tabla04, 3, 0), "")</f>
        <v/>
      </c>
      <c r="S672" s="148"/>
      <c r="T672" s="148"/>
      <c r="U672" s="148"/>
      <c r="V672" s="148"/>
      <c r="W672" s="148"/>
      <c r="X672" s="163" t="str">
        <f>IFERROR(VLOOKUP(CONCATENATE(F672, "-", Q672), cuadrante_sev, 3, 0), "")</f>
        <v/>
      </c>
      <c r="Y672" s="163" t="str">
        <f t="shared" ref="Y672" si="1163">IFERROR(IF(X672="Baja", 1, IF(X672="Moderada", 2, IF(X672="Alta", 3, IF(X672="Extrema", 4, "")))), "")</f>
        <v/>
      </c>
      <c r="Z672" s="172"/>
      <c r="AA672" s="188"/>
      <c r="AB672" s="172"/>
      <c r="AC672" s="172"/>
      <c r="AD672" s="175"/>
      <c r="AE672" s="70" t="s">
        <v>113</v>
      </c>
      <c r="AF672" s="135"/>
      <c r="AG672" s="77"/>
      <c r="AH672" s="61"/>
      <c r="AI672" s="61"/>
      <c r="AJ672" s="61"/>
      <c r="AK672" s="61"/>
      <c r="AL672" s="61"/>
      <c r="AM672" s="82" t="str">
        <f>IFERROR((Tablas!$C$1*VLOOKUP(AH672, tipo_control, 2, 0)+Tablas!$E$1*VLOOKUP(AI672, nat_control, 2, 0)+Tablas!$G$1*VLOOKUP(AJ672, ev_control, 2, 0)+Tablas!$I$1*VLOOKUP(AK672, frec_control, 2, 0)+Tablas!$K$1*VLOOKUP(AL672, doc_control, 2, 0))*0.1*peso_dis, "")</f>
        <v/>
      </c>
      <c r="AN672" s="61"/>
      <c r="AO672" s="61"/>
      <c r="AP672" s="61"/>
      <c r="AQ672" s="82" t="str">
        <f>IFERROR((Tablas!$C$9*VLOOKUP(AN672, amb_control, 2, 0)+Tablas!$E$9*VLOOKUP(AO672, ejec_control, 2, 0)+Tablas!$G$9*VLOOKUP(AP672, cub_control, 2, 0))*0.1*peso_ejec, "")</f>
        <v/>
      </c>
      <c r="AR672" s="96" t="str">
        <f t="shared" si="1142"/>
        <v/>
      </c>
      <c r="AS672" s="97" t="str">
        <f t="shared" si="1143"/>
        <v/>
      </c>
      <c r="AT672" s="87" t="str">
        <f t="shared" si="1144"/>
        <v/>
      </c>
      <c r="AU672" s="97" t="str">
        <f>IF(AR672&lt;Tablas!$G$19, 0, IF(AND(AR672&gt;=Tablas!$G$19, AR672&lt;Tablas!$G$20), 1,  IF(AND(AR672&gt;=Tablas!$G$20, AR672&lt;Tablas!$G$21), 2,  IF(AND(AR672&gt;=Tablas!$G$21, AR672&lt;=Tablas!$G$22), 3,  ""))))</f>
        <v/>
      </c>
      <c r="AV672" s="97" t="str">
        <f t="shared" si="1145"/>
        <v/>
      </c>
      <c r="AW672" s="103" t="str">
        <f t="shared" si="1146"/>
        <v/>
      </c>
      <c r="AX672" s="176" t="str">
        <f t="shared" ref="AX672" si="1164">IFERROR(VLOOKUP(AY672, tabla04, 2, 0), "")</f>
        <v/>
      </c>
      <c r="AY672" s="168" t="str">
        <f>IF(F672="", "", IF((F672-MAX(AV672:AV676))&lt;=0, 1, F672-MAX(AV672:AV676)))</f>
        <v/>
      </c>
      <c r="AZ672" s="178" t="str">
        <f t="shared" ref="AZ672" si="1165">IFERROR(VLOOKUP(BA672, tabla04, 3, 0), "")</f>
        <v/>
      </c>
      <c r="BA672" s="168" t="str">
        <f>IF(Q672="", "", IF((Q672-MAX(AW672:AW676))&lt;=0, 1, Q672-MAX(AW672:AW676)))</f>
        <v/>
      </c>
      <c r="BB672" s="182"/>
      <c r="BC672" s="182"/>
      <c r="BD672" s="185"/>
      <c r="BE672" s="185"/>
      <c r="BF672" s="158" t="str">
        <f t="shared" ref="BF672:BF674" si="1166">IFERROR(VLOOKUP(CONCATENATE(AY672, "-", BA672), cuadrante_sev, 3, 0), "")</f>
        <v/>
      </c>
      <c r="BG672" s="191"/>
    </row>
    <row r="673" spans="1:59" x14ac:dyDescent="0.25">
      <c r="A673" s="167"/>
      <c r="B673" s="167"/>
      <c r="C673" s="161"/>
      <c r="D673" s="160"/>
      <c r="E673" s="162"/>
      <c r="F673" s="164"/>
      <c r="G673" s="161"/>
      <c r="H673" s="161"/>
      <c r="I673" s="161"/>
      <c r="J673" s="161"/>
      <c r="K673" s="161"/>
      <c r="L673" s="166"/>
      <c r="M673" s="166"/>
      <c r="N673" s="166"/>
      <c r="O673" s="166"/>
      <c r="P673" s="166"/>
      <c r="Q673" s="166"/>
      <c r="R673" s="166"/>
      <c r="S673" s="167"/>
      <c r="T673" s="167"/>
      <c r="U673" s="167"/>
      <c r="V673" s="167"/>
      <c r="W673" s="167"/>
      <c r="X673" s="164"/>
      <c r="Y673" s="164"/>
      <c r="Z673" s="172"/>
      <c r="AA673" s="188"/>
      <c r="AB673" s="172"/>
      <c r="AC673" s="172"/>
      <c r="AD673" s="175"/>
      <c r="AE673" s="62" t="s">
        <v>114</v>
      </c>
      <c r="AF673" s="133"/>
      <c r="AG673" s="65"/>
      <c r="AH673" s="64"/>
      <c r="AI673" s="64"/>
      <c r="AJ673" s="64"/>
      <c r="AK673" s="64"/>
      <c r="AL673" s="64"/>
      <c r="AM673" s="80" t="str">
        <f>IFERROR((Tablas!$C$1*VLOOKUP(AH673, tipo_control, 2, 0)+Tablas!$E$1*VLOOKUP(AI673, nat_control, 2, 0)+Tablas!$G$1*VLOOKUP(AJ673, ev_control, 2, 0)+Tablas!$I$1*VLOOKUP(AK673, frec_control, 2, 0)+Tablas!$K$1*VLOOKUP(AL673, doc_control, 2, 0))*0.1*peso_dis, "")</f>
        <v/>
      </c>
      <c r="AN673" s="64"/>
      <c r="AO673" s="64"/>
      <c r="AP673" s="64"/>
      <c r="AQ673" s="80" t="str">
        <f>IFERROR((Tablas!$C$9*VLOOKUP(AN673, amb_control, 2, 0)+Tablas!$E$9*VLOOKUP(AO673, ejec_control, 2, 0)+Tablas!$G$9*VLOOKUP(AP673, cub_control, 2, 0))*0.1*peso_ejec, "")</f>
        <v/>
      </c>
      <c r="AR673" s="91" t="str">
        <f t="shared" si="1142"/>
        <v/>
      </c>
      <c r="AS673" s="85" t="str">
        <f t="shared" si="1143"/>
        <v/>
      </c>
      <c r="AT673" s="85" t="str">
        <f t="shared" si="1144"/>
        <v/>
      </c>
      <c r="AU673" s="85" t="str">
        <f>IF(AR673&lt;Tablas!$G$19, 0, IF(AND(AR673&gt;=Tablas!$G$19, AR673&lt;Tablas!$G$20), 1,  IF(AND(AR673&gt;=Tablas!$G$20, AR673&lt;Tablas!$G$21), 2,  IF(AND(AR673&gt;=Tablas!$G$21, AR673&lt;=Tablas!$G$22), 3,  ""))))</f>
        <v/>
      </c>
      <c r="AV673" s="85" t="str">
        <f t="shared" si="1145"/>
        <v/>
      </c>
      <c r="AW673" s="101" t="str">
        <f t="shared" si="1146"/>
        <v/>
      </c>
      <c r="AX673" s="177"/>
      <c r="AY673" s="169"/>
      <c r="AZ673" s="158"/>
      <c r="BA673" s="169"/>
      <c r="BB673" s="182"/>
      <c r="BC673" s="182"/>
      <c r="BD673" s="185"/>
      <c r="BE673" s="185"/>
      <c r="BF673" s="158" t="str">
        <f t="shared" si="1166"/>
        <v/>
      </c>
      <c r="BG673" s="191"/>
    </row>
    <row r="674" spans="1:59" x14ac:dyDescent="0.25">
      <c r="A674" s="167"/>
      <c r="B674" s="167"/>
      <c r="C674" s="161"/>
      <c r="D674" s="160"/>
      <c r="E674" s="162"/>
      <c r="F674" s="164"/>
      <c r="G674" s="161"/>
      <c r="H674" s="161"/>
      <c r="I674" s="161"/>
      <c r="J674" s="161"/>
      <c r="K674" s="161"/>
      <c r="L674" s="166"/>
      <c r="M674" s="166"/>
      <c r="N674" s="166"/>
      <c r="O674" s="166"/>
      <c r="P674" s="166"/>
      <c r="Q674" s="166"/>
      <c r="R674" s="166"/>
      <c r="S674" s="167"/>
      <c r="T674" s="167"/>
      <c r="U674" s="167"/>
      <c r="V674" s="167"/>
      <c r="W674" s="167"/>
      <c r="X674" s="164"/>
      <c r="Y674" s="164"/>
      <c r="Z674" s="172"/>
      <c r="AA674" s="188"/>
      <c r="AB674" s="172"/>
      <c r="AC674" s="172"/>
      <c r="AD674" s="175"/>
      <c r="AE674" s="62" t="s">
        <v>115</v>
      </c>
      <c r="AF674" s="133"/>
      <c r="AG674" s="65"/>
      <c r="AH674" s="64"/>
      <c r="AI674" s="64"/>
      <c r="AJ674" s="64"/>
      <c r="AK674" s="64"/>
      <c r="AL674" s="64"/>
      <c r="AM674" s="80" t="str">
        <f>IFERROR((Tablas!$C$1*VLOOKUP(AH674, tipo_control, 2, 0)+Tablas!$E$1*VLOOKUP(AI674, nat_control, 2, 0)+Tablas!$G$1*VLOOKUP(AJ674, ev_control, 2, 0)+Tablas!$I$1*VLOOKUP(AK674, frec_control, 2, 0)+Tablas!$K$1*VLOOKUP(AL674, doc_control, 2, 0))*0.1*peso_dis, "")</f>
        <v/>
      </c>
      <c r="AN674" s="64"/>
      <c r="AO674" s="64"/>
      <c r="AP674" s="64"/>
      <c r="AQ674" s="80" t="str">
        <f>IFERROR((Tablas!$C$9*VLOOKUP(AN674, amb_control, 2, 0)+Tablas!$E$9*VLOOKUP(AO674, ejec_control, 2, 0)+Tablas!$G$9*VLOOKUP(AP674, cub_control, 2, 0))*0.1*peso_ejec, "")</f>
        <v/>
      </c>
      <c r="AR674" s="91" t="str">
        <f t="shared" si="1142"/>
        <v/>
      </c>
      <c r="AS674" s="85" t="str">
        <f t="shared" si="1143"/>
        <v/>
      </c>
      <c r="AT674" s="85" t="str">
        <f t="shared" si="1144"/>
        <v/>
      </c>
      <c r="AU674" s="85" t="str">
        <f>IF(AR674&lt;Tablas!$G$19, 0, IF(AND(AR674&gt;=Tablas!$G$19, AR674&lt;Tablas!$G$20), 1,  IF(AND(AR674&gt;=Tablas!$G$20, AR674&lt;Tablas!$G$21), 2,  IF(AND(AR674&gt;=Tablas!$G$21, AR674&lt;=Tablas!$G$22), 3,  ""))))</f>
        <v/>
      </c>
      <c r="AV674" s="85" t="str">
        <f t="shared" si="1145"/>
        <v/>
      </c>
      <c r="AW674" s="101" t="str">
        <f t="shared" si="1146"/>
        <v/>
      </c>
      <c r="AX674" s="177"/>
      <c r="AY674" s="169"/>
      <c r="AZ674" s="158"/>
      <c r="BA674" s="169"/>
      <c r="BB674" s="182"/>
      <c r="BC674" s="182"/>
      <c r="BD674" s="185"/>
      <c r="BE674" s="185"/>
      <c r="BF674" s="158" t="str">
        <f t="shared" si="1166"/>
        <v/>
      </c>
      <c r="BG674" s="191"/>
    </row>
    <row r="675" spans="1:59" x14ac:dyDescent="0.25">
      <c r="A675" s="167"/>
      <c r="B675" s="167"/>
      <c r="C675" s="161"/>
      <c r="D675" s="160"/>
      <c r="E675" s="162"/>
      <c r="F675" s="164"/>
      <c r="G675" s="161"/>
      <c r="H675" s="161"/>
      <c r="I675" s="161"/>
      <c r="J675" s="161"/>
      <c r="K675" s="161"/>
      <c r="L675" s="166"/>
      <c r="M675" s="166"/>
      <c r="N675" s="166"/>
      <c r="O675" s="166"/>
      <c r="P675" s="166"/>
      <c r="Q675" s="166"/>
      <c r="R675" s="166"/>
      <c r="S675" s="167"/>
      <c r="T675" s="167"/>
      <c r="U675" s="167"/>
      <c r="V675" s="167"/>
      <c r="W675" s="167"/>
      <c r="X675" s="164"/>
      <c r="Y675" s="164"/>
      <c r="Z675" s="172"/>
      <c r="AA675" s="188"/>
      <c r="AB675" s="172"/>
      <c r="AC675" s="172"/>
      <c r="AD675" s="175"/>
      <c r="AE675" s="62" t="s">
        <v>153</v>
      </c>
      <c r="AF675" s="133"/>
      <c r="AG675" s="65"/>
      <c r="AH675" s="64"/>
      <c r="AI675" s="64"/>
      <c r="AJ675" s="64"/>
      <c r="AK675" s="64"/>
      <c r="AL675" s="64"/>
      <c r="AM675" s="80" t="str">
        <f>IFERROR((Tablas!$C$1*VLOOKUP(AH675, tipo_control, 2, 0)+Tablas!$E$1*VLOOKUP(AI675, nat_control, 2, 0)+Tablas!$G$1*VLOOKUP(AJ675, ev_control, 2, 0)+Tablas!$I$1*VLOOKUP(AK675, frec_control, 2, 0)+Tablas!$K$1*VLOOKUP(AL675, doc_control, 2, 0))*0.1*peso_dis, "")</f>
        <v/>
      </c>
      <c r="AN675" s="64"/>
      <c r="AO675" s="64"/>
      <c r="AP675" s="64"/>
      <c r="AQ675" s="80" t="str">
        <f>IFERROR((Tablas!$C$9*VLOOKUP(AN675, amb_control, 2, 0)+Tablas!$E$9*VLOOKUP(AO675, ejec_control, 2, 0)+Tablas!$G$9*VLOOKUP(AP675, cub_control, 2, 0))*0.1*peso_ejec, "")</f>
        <v/>
      </c>
      <c r="AR675" s="91" t="str">
        <f t="shared" si="1142"/>
        <v/>
      </c>
      <c r="AS675" s="85" t="str">
        <f t="shared" si="1143"/>
        <v/>
      </c>
      <c r="AT675" s="85" t="str">
        <f t="shared" si="1144"/>
        <v/>
      </c>
      <c r="AU675" s="85" t="str">
        <f>IF(AR675&lt;Tablas!$G$19, 0, IF(AND(AR675&gt;=Tablas!$G$19, AR675&lt;Tablas!$G$20), 1,  IF(AND(AR675&gt;=Tablas!$G$20, AR675&lt;Tablas!$G$21), 2,  IF(AND(AR675&gt;=Tablas!$G$21, AR675&lt;=Tablas!$G$22), 3,  ""))))</f>
        <v/>
      </c>
      <c r="AV675" s="85" t="str">
        <f t="shared" si="1145"/>
        <v/>
      </c>
      <c r="AW675" s="101" t="str">
        <f t="shared" si="1146"/>
        <v/>
      </c>
      <c r="AX675" s="177"/>
      <c r="AY675" s="169"/>
      <c r="AZ675" s="158"/>
      <c r="BA675" s="169"/>
      <c r="BB675" s="182"/>
      <c r="BC675" s="182"/>
      <c r="BD675" s="185"/>
      <c r="BE675" s="185"/>
      <c r="BF675" s="158"/>
      <c r="BG675" s="191"/>
    </row>
    <row r="676" spans="1:59" ht="15.75" thickBot="1" x14ac:dyDescent="0.3">
      <c r="A676" s="167"/>
      <c r="B676" s="167"/>
      <c r="C676" s="161"/>
      <c r="D676" s="160"/>
      <c r="E676" s="162"/>
      <c r="F676" s="165"/>
      <c r="G676" s="161"/>
      <c r="H676" s="161"/>
      <c r="I676" s="161"/>
      <c r="J676" s="161"/>
      <c r="K676" s="161"/>
      <c r="L676" s="166"/>
      <c r="M676" s="166"/>
      <c r="N676" s="166"/>
      <c r="O676" s="166"/>
      <c r="P676" s="166"/>
      <c r="Q676" s="166"/>
      <c r="R676" s="166"/>
      <c r="S676" s="149"/>
      <c r="T676" s="149"/>
      <c r="U676" s="149"/>
      <c r="V676" s="149"/>
      <c r="W676" s="149"/>
      <c r="X676" s="165"/>
      <c r="Y676" s="165"/>
      <c r="Z676" s="172"/>
      <c r="AA676" s="188"/>
      <c r="AB676" s="172"/>
      <c r="AC676" s="172"/>
      <c r="AD676" s="175"/>
      <c r="AE676" s="66" t="s">
        <v>154</v>
      </c>
      <c r="AF676" s="134"/>
      <c r="AG676" s="67"/>
      <c r="AH676" s="69"/>
      <c r="AI676" s="69"/>
      <c r="AJ676" s="69"/>
      <c r="AK676" s="69"/>
      <c r="AL676" s="69"/>
      <c r="AM676" s="81" t="str">
        <f>IFERROR((Tablas!$C$1*VLOOKUP(AH676, tipo_control, 2, 0)+Tablas!$E$1*VLOOKUP(AI676, nat_control, 2, 0)+Tablas!$G$1*VLOOKUP(AJ676, ev_control, 2, 0)+Tablas!$I$1*VLOOKUP(AK676, frec_control, 2, 0)+Tablas!$K$1*VLOOKUP(AL676, doc_control, 2, 0))*0.1*peso_dis, "")</f>
        <v/>
      </c>
      <c r="AN676" s="69"/>
      <c r="AO676" s="69"/>
      <c r="AP676" s="69"/>
      <c r="AQ676" s="81" t="str">
        <f>IFERROR((Tablas!$C$9*VLOOKUP(AN676, amb_control, 2, 0)+Tablas!$E$9*VLOOKUP(AO676, ejec_control, 2, 0)+Tablas!$G$9*VLOOKUP(AP676, cub_control, 2, 0))*0.1*peso_ejec, "")</f>
        <v/>
      </c>
      <c r="AR676" s="93" t="str">
        <f t="shared" si="1142"/>
        <v/>
      </c>
      <c r="AS676" s="94" t="str">
        <f t="shared" si="1143"/>
        <v/>
      </c>
      <c r="AT676" s="94" t="str">
        <f t="shared" si="1144"/>
        <v/>
      </c>
      <c r="AU676" s="94" t="str">
        <f>IF(AR676&lt;Tablas!$G$19, 0, IF(AND(AR676&gt;=Tablas!$G$19, AR676&lt;Tablas!$G$20), 1,  IF(AND(AR676&gt;=Tablas!$G$20, AR676&lt;Tablas!$G$21), 2,  IF(AND(AR676&gt;=Tablas!$G$21, AR676&lt;=Tablas!$G$22), 3,  ""))))</f>
        <v/>
      </c>
      <c r="AV676" s="94" t="str">
        <f t="shared" si="1145"/>
        <v/>
      </c>
      <c r="AW676" s="102" t="str">
        <f t="shared" si="1146"/>
        <v/>
      </c>
      <c r="AX676" s="157"/>
      <c r="AY676" s="170"/>
      <c r="AZ676" s="179"/>
      <c r="BA676" s="170"/>
      <c r="BB676" s="182"/>
      <c r="BC676" s="182"/>
      <c r="BD676" s="185"/>
      <c r="BE676" s="185"/>
      <c r="BF676" s="159"/>
      <c r="BG676" s="191"/>
    </row>
    <row r="677" spans="1:59" x14ac:dyDescent="0.25">
      <c r="A677" s="167"/>
      <c r="B677" s="167"/>
      <c r="C677" s="161" t="s">
        <v>19</v>
      </c>
      <c r="D677" s="160" t="s">
        <v>158</v>
      </c>
      <c r="E677" s="162"/>
      <c r="F677" s="163" t="str">
        <f t="shared" si="1138"/>
        <v/>
      </c>
      <c r="G677" s="149"/>
      <c r="H677" s="149"/>
      <c r="I677" s="149"/>
      <c r="J677" s="149"/>
      <c r="K677" s="149"/>
      <c r="L677" s="165" t="str">
        <f t="shared" ref="L677" si="1167">IFERROR(VLOOKUP(G677, tabla02, 2, 0), "")</f>
        <v/>
      </c>
      <c r="M677" s="165" t="str">
        <f t="shared" ref="M677" si="1168">IFERROR(VLOOKUP(H677, tabla02, 2, 0), "")</f>
        <v/>
      </c>
      <c r="N677" s="165" t="str">
        <f t="shared" ref="N677" si="1169">IFERROR(VLOOKUP(I677, tabla02, 2, 0), "")</f>
        <v/>
      </c>
      <c r="O677" s="165" t="str">
        <f t="shared" ref="O677" si="1170">IFERROR(VLOOKUP(J677, tabla02, 2, 0), "")</f>
        <v/>
      </c>
      <c r="P677" s="165" t="str">
        <f t="shared" ref="P677" si="1171">IFERROR(VLOOKUP(K677, tabla02, 2, 0), "")</f>
        <v/>
      </c>
      <c r="Q677" s="165" t="str">
        <f t="shared" ref="Q677" si="1172">IF(SUM(L677:O681)=0, "", MAX(L677:P677))</f>
        <v/>
      </c>
      <c r="R677" s="165" t="str">
        <f>IFERROR(VLOOKUP(Q677, tabla04, 3, 0), "")</f>
        <v/>
      </c>
      <c r="S677" s="148"/>
      <c r="T677" s="148"/>
      <c r="U677" s="148"/>
      <c r="V677" s="148"/>
      <c r="W677" s="148"/>
      <c r="X677" s="163" t="str">
        <f>IFERROR(VLOOKUP(CONCATENATE(F677, "-", Q677), cuadrante_sev, 3, 0), "")</f>
        <v/>
      </c>
      <c r="Y677" s="163" t="str">
        <f t="shared" ref="Y677" si="1173">IFERROR(IF(X677="Baja", 1, IF(X677="Moderada", 2, IF(X677="Alta", 3, IF(X677="Extrema", 4, "")))), "")</f>
        <v/>
      </c>
      <c r="Z677" s="172"/>
      <c r="AA677" s="188"/>
      <c r="AB677" s="172"/>
      <c r="AC677" s="172"/>
      <c r="AD677" s="175"/>
      <c r="AE677" s="70" t="s">
        <v>113</v>
      </c>
      <c r="AF677" s="135"/>
      <c r="AG677" s="74"/>
      <c r="AH677" s="72"/>
      <c r="AI677" s="72"/>
      <c r="AJ677" s="72"/>
      <c r="AK677" s="72"/>
      <c r="AL677" s="72"/>
      <c r="AM677" s="82" t="str">
        <f>IFERROR((Tablas!$C$1*VLOOKUP(AH677, tipo_control, 2, 0)+Tablas!$E$1*VLOOKUP(AI677, nat_control, 2, 0)+Tablas!$G$1*VLOOKUP(AJ677, ev_control, 2, 0)+Tablas!$I$1*VLOOKUP(AK677, frec_control, 2, 0)+Tablas!$K$1*VLOOKUP(AL677, doc_control, 2, 0))*0.1*peso_dis, "")</f>
        <v/>
      </c>
      <c r="AN677" s="72"/>
      <c r="AO677" s="72"/>
      <c r="AP677" s="72"/>
      <c r="AQ677" s="82" t="str">
        <f>IFERROR((Tablas!$C$9*VLOOKUP(AN677, amb_control, 2, 0)+Tablas!$E$9*VLOOKUP(AO677, ejec_control, 2, 0)+Tablas!$G$9*VLOOKUP(AP677, cub_control, 2, 0))*0.1*peso_ejec, "")</f>
        <v/>
      </c>
      <c r="AR677" s="96" t="str">
        <f t="shared" si="1142"/>
        <v/>
      </c>
      <c r="AS677" s="97" t="str">
        <f t="shared" si="1143"/>
        <v/>
      </c>
      <c r="AT677" s="87" t="str">
        <f t="shared" si="1144"/>
        <v/>
      </c>
      <c r="AU677" s="97" t="str">
        <f>IF(AR677&lt;Tablas!$G$19, 0, IF(AND(AR677&gt;=Tablas!$G$19, AR677&lt;Tablas!$G$20), 1,  IF(AND(AR677&gt;=Tablas!$G$20, AR677&lt;Tablas!$G$21), 2,  IF(AND(AR677&gt;=Tablas!$G$21, AR677&lt;=Tablas!$G$22), 3,  ""))))</f>
        <v/>
      </c>
      <c r="AV677" s="97" t="str">
        <f t="shared" si="1145"/>
        <v/>
      </c>
      <c r="AW677" s="103" t="str">
        <f t="shared" si="1146"/>
        <v/>
      </c>
      <c r="AX677" s="176" t="str">
        <f t="shared" ref="AX677" si="1174">IFERROR(VLOOKUP(AY677, tabla04, 2, 0), "")</f>
        <v/>
      </c>
      <c r="AY677" s="168" t="str">
        <f>IF(F677="", "", IF((F677-MAX(AV677:AV681))&lt;=0, 1, F677-MAX(AV677:AV681)))</f>
        <v/>
      </c>
      <c r="AZ677" s="178" t="str">
        <f t="shared" ref="AZ677" si="1175">IFERROR(VLOOKUP(BA677, tabla04, 3, 0), "")</f>
        <v/>
      </c>
      <c r="BA677" s="168" t="str">
        <f>IF(Q677="", "", IF((Q677-MAX(AW677:AW681))&lt;=0, 1, Q677-MAX(AW677:AW681)))</f>
        <v/>
      </c>
      <c r="BB677" s="182"/>
      <c r="BC677" s="182"/>
      <c r="BD677" s="185"/>
      <c r="BE677" s="185"/>
      <c r="BF677" s="158" t="str">
        <f t="shared" ref="BF677:BF679" si="1176">IFERROR(VLOOKUP(CONCATENATE(AY677, "-", BA677), cuadrante_sev, 3, 0), "")</f>
        <v/>
      </c>
      <c r="BG677" s="191"/>
    </row>
    <row r="678" spans="1:59" x14ac:dyDescent="0.25">
      <c r="A678" s="167"/>
      <c r="B678" s="167"/>
      <c r="C678" s="161"/>
      <c r="D678" s="160"/>
      <c r="E678" s="162"/>
      <c r="F678" s="164"/>
      <c r="G678" s="161"/>
      <c r="H678" s="161"/>
      <c r="I678" s="161"/>
      <c r="J678" s="161"/>
      <c r="K678" s="161"/>
      <c r="L678" s="166"/>
      <c r="M678" s="166"/>
      <c r="N678" s="166"/>
      <c r="O678" s="166"/>
      <c r="P678" s="166"/>
      <c r="Q678" s="166"/>
      <c r="R678" s="166"/>
      <c r="S678" s="167"/>
      <c r="T678" s="167"/>
      <c r="U678" s="167"/>
      <c r="V678" s="167"/>
      <c r="W678" s="167"/>
      <c r="X678" s="164"/>
      <c r="Y678" s="164"/>
      <c r="Z678" s="172"/>
      <c r="AA678" s="188"/>
      <c r="AB678" s="172"/>
      <c r="AC678" s="172"/>
      <c r="AD678" s="175"/>
      <c r="AE678" s="62" t="s">
        <v>114</v>
      </c>
      <c r="AF678" s="133"/>
      <c r="AG678" s="65"/>
      <c r="AH678" s="64"/>
      <c r="AI678" s="64"/>
      <c r="AJ678" s="64"/>
      <c r="AK678" s="64"/>
      <c r="AL678" s="64"/>
      <c r="AM678" s="80" t="str">
        <f>IFERROR((Tablas!$C$1*VLOOKUP(AH678, tipo_control, 2, 0)+Tablas!$E$1*VLOOKUP(AI678, nat_control, 2, 0)+Tablas!$G$1*VLOOKUP(AJ678, ev_control, 2, 0)+Tablas!$I$1*VLOOKUP(AK678, frec_control, 2, 0)+Tablas!$K$1*VLOOKUP(AL678, doc_control, 2, 0))*0.1*peso_dis, "")</f>
        <v/>
      </c>
      <c r="AN678" s="64"/>
      <c r="AO678" s="64"/>
      <c r="AP678" s="64"/>
      <c r="AQ678" s="80" t="str">
        <f>IFERROR((Tablas!$C$9*VLOOKUP(AN678, amb_control, 2, 0)+Tablas!$E$9*VLOOKUP(AO678, ejec_control, 2, 0)+Tablas!$G$9*VLOOKUP(AP678, cub_control, 2, 0))*0.1*peso_ejec, "")</f>
        <v/>
      </c>
      <c r="AR678" s="91" t="str">
        <f t="shared" si="1142"/>
        <v/>
      </c>
      <c r="AS678" s="85" t="str">
        <f t="shared" si="1143"/>
        <v/>
      </c>
      <c r="AT678" s="85" t="str">
        <f t="shared" si="1144"/>
        <v/>
      </c>
      <c r="AU678" s="85" t="str">
        <f>IF(AR678&lt;Tablas!$G$19, 0, IF(AND(AR678&gt;=Tablas!$G$19, AR678&lt;Tablas!$G$20), 1,  IF(AND(AR678&gt;=Tablas!$G$20, AR678&lt;Tablas!$G$21), 2,  IF(AND(AR678&gt;=Tablas!$G$21, AR678&lt;=Tablas!$G$22), 3,  ""))))</f>
        <v/>
      </c>
      <c r="AV678" s="85" t="str">
        <f t="shared" si="1145"/>
        <v/>
      </c>
      <c r="AW678" s="101" t="str">
        <f t="shared" si="1146"/>
        <v/>
      </c>
      <c r="AX678" s="177"/>
      <c r="AY678" s="169"/>
      <c r="AZ678" s="158"/>
      <c r="BA678" s="169"/>
      <c r="BB678" s="182"/>
      <c r="BC678" s="182"/>
      <c r="BD678" s="185"/>
      <c r="BE678" s="185"/>
      <c r="BF678" s="158" t="str">
        <f t="shared" si="1176"/>
        <v/>
      </c>
      <c r="BG678" s="191"/>
    </row>
    <row r="679" spans="1:59" x14ac:dyDescent="0.25">
      <c r="A679" s="167"/>
      <c r="B679" s="167"/>
      <c r="C679" s="161"/>
      <c r="D679" s="160"/>
      <c r="E679" s="162"/>
      <c r="F679" s="164"/>
      <c r="G679" s="161"/>
      <c r="H679" s="161"/>
      <c r="I679" s="161"/>
      <c r="J679" s="161"/>
      <c r="K679" s="161"/>
      <c r="L679" s="166"/>
      <c r="M679" s="166"/>
      <c r="N679" s="166"/>
      <c r="O679" s="166"/>
      <c r="P679" s="166"/>
      <c r="Q679" s="166"/>
      <c r="R679" s="166"/>
      <c r="S679" s="167"/>
      <c r="T679" s="167"/>
      <c r="U679" s="167"/>
      <c r="V679" s="167"/>
      <c r="W679" s="167"/>
      <c r="X679" s="164"/>
      <c r="Y679" s="164"/>
      <c r="Z679" s="172"/>
      <c r="AA679" s="188"/>
      <c r="AB679" s="172"/>
      <c r="AC679" s="172"/>
      <c r="AD679" s="175"/>
      <c r="AE679" s="62" t="s">
        <v>115</v>
      </c>
      <c r="AF679" s="133"/>
      <c r="AG679" s="65"/>
      <c r="AH679" s="64"/>
      <c r="AI679" s="64"/>
      <c r="AJ679" s="64"/>
      <c r="AK679" s="64"/>
      <c r="AL679" s="64"/>
      <c r="AM679" s="80" t="str">
        <f>IFERROR((Tablas!$C$1*VLOOKUP(AH679, tipo_control, 2, 0)+Tablas!$E$1*VLOOKUP(AI679, nat_control, 2, 0)+Tablas!$G$1*VLOOKUP(AJ679, ev_control, 2, 0)+Tablas!$I$1*VLOOKUP(AK679, frec_control, 2, 0)+Tablas!$K$1*VLOOKUP(AL679, doc_control, 2, 0))*0.1*peso_dis, "")</f>
        <v/>
      </c>
      <c r="AN679" s="64"/>
      <c r="AO679" s="64"/>
      <c r="AP679" s="64"/>
      <c r="AQ679" s="80" t="str">
        <f>IFERROR((Tablas!$C$9*VLOOKUP(AN679, amb_control, 2, 0)+Tablas!$E$9*VLOOKUP(AO679, ejec_control, 2, 0)+Tablas!$G$9*VLOOKUP(AP679, cub_control, 2, 0))*0.1*peso_ejec, "")</f>
        <v/>
      </c>
      <c r="AR679" s="91" t="str">
        <f t="shared" si="1142"/>
        <v/>
      </c>
      <c r="AS679" s="85" t="str">
        <f t="shared" si="1143"/>
        <v/>
      </c>
      <c r="AT679" s="85" t="str">
        <f t="shared" si="1144"/>
        <v/>
      </c>
      <c r="AU679" s="85" t="str">
        <f>IF(AR679&lt;Tablas!$G$19, 0, IF(AND(AR679&gt;=Tablas!$G$19, AR679&lt;Tablas!$G$20), 1,  IF(AND(AR679&gt;=Tablas!$G$20, AR679&lt;Tablas!$G$21), 2,  IF(AND(AR679&gt;=Tablas!$G$21, AR679&lt;=Tablas!$G$22), 3,  ""))))</f>
        <v/>
      </c>
      <c r="AV679" s="85" t="str">
        <f t="shared" si="1145"/>
        <v/>
      </c>
      <c r="AW679" s="101" t="str">
        <f t="shared" si="1146"/>
        <v/>
      </c>
      <c r="AX679" s="177"/>
      <c r="AY679" s="169"/>
      <c r="AZ679" s="158"/>
      <c r="BA679" s="169"/>
      <c r="BB679" s="182"/>
      <c r="BC679" s="182"/>
      <c r="BD679" s="185"/>
      <c r="BE679" s="185"/>
      <c r="BF679" s="158" t="str">
        <f t="shared" si="1176"/>
        <v/>
      </c>
      <c r="BG679" s="191"/>
    </row>
    <row r="680" spans="1:59" x14ac:dyDescent="0.25">
      <c r="A680" s="167"/>
      <c r="B680" s="167"/>
      <c r="C680" s="161"/>
      <c r="D680" s="160"/>
      <c r="E680" s="162"/>
      <c r="F680" s="164"/>
      <c r="G680" s="161"/>
      <c r="H680" s="161"/>
      <c r="I680" s="161"/>
      <c r="J680" s="161"/>
      <c r="K680" s="161"/>
      <c r="L680" s="166"/>
      <c r="M680" s="166"/>
      <c r="N680" s="166"/>
      <c r="O680" s="166"/>
      <c r="P680" s="166"/>
      <c r="Q680" s="166"/>
      <c r="R680" s="166"/>
      <c r="S680" s="167"/>
      <c r="T680" s="167"/>
      <c r="U680" s="167"/>
      <c r="V680" s="167"/>
      <c r="W680" s="167"/>
      <c r="X680" s="164"/>
      <c r="Y680" s="164"/>
      <c r="Z680" s="172"/>
      <c r="AA680" s="188"/>
      <c r="AB680" s="172"/>
      <c r="AC680" s="172"/>
      <c r="AD680" s="175"/>
      <c r="AE680" s="62" t="s">
        <v>153</v>
      </c>
      <c r="AF680" s="133"/>
      <c r="AG680" s="65"/>
      <c r="AH680" s="64"/>
      <c r="AI680" s="64"/>
      <c r="AJ680" s="64"/>
      <c r="AK680" s="64"/>
      <c r="AL680" s="64"/>
      <c r="AM680" s="80" t="str">
        <f>IFERROR((Tablas!$C$1*VLOOKUP(AH680, tipo_control, 2, 0)+Tablas!$E$1*VLOOKUP(AI680, nat_control, 2, 0)+Tablas!$G$1*VLOOKUP(AJ680, ev_control, 2, 0)+Tablas!$I$1*VLOOKUP(AK680, frec_control, 2, 0)+Tablas!$K$1*VLOOKUP(AL680, doc_control, 2, 0))*0.1*peso_dis, "")</f>
        <v/>
      </c>
      <c r="AN680" s="64"/>
      <c r="AO680" s="64"/>
      <c r="AP680" s="64"/>
      <c r="AQ680" s="80" t="str">
        <f>IFERROR((Tablas!$C$9*VLOOKUP(AN680, amb_control, 2, 0)+Tablas!$E$9*VLOOKUP(AO680, ejec_control, 2, 0)+Tablas!$G$9*VLOOKUP(AP680, cub_control, 2, 0))*0.1*peso_ejec, "")</f>
        <v/>
      </c>
      <c r="AR680" s="91" t="str">
        <f t="shared" si="1142"/>
        <v/>
      </c>
      <c r="AS680" s="85" t="str">
        <f t="shared" si="1143"/>
        <v/>
      </c>
      <c r="AT680" s="85" t="str">
        <f t="shared" si="1144"/>
        <v/>
      </c>
      <c r="AU680" s="85" t="str">
        <f>IF(AR680&lt;Tablas!$G$19, 0, IF(AND(AR680&gt;=Tablas!$G$19, AR680&lt;Tablas!$G$20), 1,  IF(AND(AR680&gt;=Tablas!$G$20, AR680&lt;Tablas!$G$21), 2,  IF(AND(AR680&gt;=Tablas!$G$21, AR680&lt;=Tablas!$G$22), 3,  ""))))</f>
        <v/>
      </c>
      <c r="AV680" s="85" t="str">
        <f t="shared" si="1145"/>
        <v/>
      </c>
      <c r="AW680" s="101" t="str">
        <f t="shared" si="1146"/>
        <v/>
      </c>
      <c r="AX680" s="177"/>
      <c r="AY680" s="169"/>
      <c r="AZ680" s="158"/>
      <c r="BA680" s="169"/>
      <c r="BB680" s="182"/>
      <c r="BC680" s="182"/>
      <c r="BD680" s="185"/>
      <c r="BE680" s="185"/>
      <c r="BF680" s="158"/>
      <c r="BG680" s="191"/>
    </row>
    <row r="681" spans="1:59" ht="15.75" thickBot="1" x14ac:dyDescent="0.3">
      <c r="A681" s="167"/>
      <c r="B681" s="167"/>
      <c r="C681" s="161"/>
      <c r="D681" s="160"/>
      <c r="E681" s="162"/>
      <c r="F681" s="165"/>
      <c r="G681" s="161"/>
      <c r="H681" s="161"/>
      <c r="I681" s="161"/>
      <c r="J681" s="161"/>
      <c r="K681" s="161"/>
      <c r="L681" s="166"/>
      <c r="M681" s="166"/>
      <c r="N681" s="166"/>
      <c r="O681" s="166"/>
      <c r="P681" s="166"/>
      <c r="Q681" s="166"/>
      <c r="R681" s="166"/>
      <c r="S681" s="149"/>
      <c r="T681" s="149"/>
      <c r="U681" s="149"/>
      <c r="V681" s="149"/>
      <c r="W681" s="149"/>
      <c r="X681" s="165"/>
      <c r="Y681" s="165"/>
      <c r="Z681" s="172"/>
      <c r="AA681" s="188"/>
      <c r="AB681" s="172"/>
      <c r="AC681" s="172"/>
      <c r="AD681" s="175"/>
      <c r="AE681" s="66" t="s">
        <v>154</v>
      </c>
      <c r="AF681" s="134"/>
      <c r="AG681" s="67"/>
      <c r="AH681" s="69"/>
      <c r="AI681" s="69"/>
      <c r="AJ681" s="69"/>
      <c r="AK681" s="69"/>
      <c r="AL681" s="69"/>
      <c r="AM681" s="81" t="str">
        <f>IFERROR((Tablas!$C$1*VLOOKUP(AH681, tipo_control, 2, 0)+Tablas!$E$1*VLOOKUP(AI681, nat_control, 2, 0)+Tablas!$G$1*VLOOKUP(AJ681, ev_control, 2, 0)+Tablas!$I$1*VLOOKUP(AK681, frec_control, 2, 0)+Tablas!$K$1*VLOOKUP(AL681, doc_control, 2, 0))*0.1*peso_dis, "")</f>
        <v/>
      </c>
      <c r="AN681" s="69"/>
      <c r="AO681" s="69"/>
      <c r="AP681" s="69"/>
      <c r="AQ681" s="81" t="str">
        <f>IFERROR((Tablas!$C$9*VLOOKUP(AN681, amb_control, 2, 0)+Tablas!$E$9*VLOOKUP(AO681, ejec_control, 2, 0)+Tablas!$G$9*VLOOKUP(AP681, cub_control, 2, 0))*0.1*peso_ejec, "")</f>
        <v/>
      </c>
      <c r="AR681" s="93" t="str">
        <f t="shared" si="1142"/>
        <v/>
      </c>
      <c r="AS681" s="94" t="str">
        <f t="shared" si="1143"/>
        <v/>
      </c>
      <c r="AT681" s="94" t="str">
        <f t="shared" si="1144"/>
        <v/>
      </c>
      <c r="AU681" s="94" t="str">
        <f>IF(AR681&lt;Tablas!$G$19, 0, IF(AND(AR681&gt;=Tablas!$G$19, AR681&lt;Tablas!$G$20), 1,  IF(AND(AR681&gt;=Tablas!$G$20, AR681&lt;Tablas!$G$21), 2,  IF(AND(AR681&gt;=Tablas!$G$21, AR681&lt;=Tablas!$G$22), 3,  ""))))</f>
        <v/>
      </c>
      <c r="AV681" s="94" t="str">
        <f t="shared" si="1145"/>
        <v/>
      </c>
      <c r="AW681" s="102" t="str">
        <f t="shared" si="1146"/>
        <v/>
      </c>
      <c r="AX681" s="157"/>
      <c r="AY681" s="170"/>
      <c r="AZ681" s="179"/>
      <c r="BA681" s="170"/>
      <c r="BB681" s="182"/>
      <c r="BC681" s="182"/>
      <c r="BD681" s="185"/>
      <c r="BE681" s="185"/>
      <c r="BF681" s="159"/>
      <c r="BG681" s="191"/>
    </row>
    <row r="682" spans="1:59" x14ac:dyDescent="0.25">
      <c r="A682" s="167"/>
      <c r="B682" s="167"/>
      <c r="C682" s="161" t="s">
        <v>20</v>
      </c>
      <c r="D682" s="160" t="s">
        <v>158</v>
      </c>
      <c r="E682" s="162"/>
      <c r="F682" s="163" t="str">
        <f t="shared" si="1138"/>
        <v/>
      </c>
      <c r="G682" s="149"/>
      <c r="H682" s="149"/>
      <c r="I682" s="149"/>
      <c r="J682" s="149"/>
      <c r="K682" s="149"/>
      <c r="L682" s="165" t="str">
        <f t="shared" ref="L682" si="1177">IFERROR(VLOOKUP(G682, tabla02, 2, 0), "")</f>
        <v/>
      </c>
      <c r="M682" s="165" t="str">
        <f t="shared" ref="M682" si="1178">IFERROR(VLOOKUP(H682, tabla02, 2, 0), "")</f>
        <v/>
      </c>
      <c r="N682" s="165" t="str">
        <f t="shared" ref="N682" si="1179">IFERROR(VLOOKUP(I682, tabla02, 2, 0), "")</f>
        <v/>
      </c>
      <c r="O682" s="165" t="str">
        <f t="shared" ref="O682" si="1180">IFERROR(VLOOKUP(J682, tabla02, 2, 0), "")</f>
        <v/>
      </c>
      <c r="P682" s="165" t="str">
        <f t="shared" ref="P682" si="1181">IFERROR(VLOOKUP(K682, tabla02, 2, 0), "")</f>
        <v/>
      </c>
      <c r="Q682" s="165" t="str">
        <f t="shared" ref="Q682" si="1182">IF(SUM(L682:O686)=0, "", MAX(L682:P682))</f>
        <v/>
      </c>
      <c r="R682" s="165" t="str">
        <f>IFERROR(VLOOKUP(Q682, tabla04, 3, 0), "")</f>
        <v/>
      </c>
      <c r="S682" s="148"/>
      <c r="T682" s="148"/>
      <c r="U682" s="148"/>
      <c r="V682" s="148"/>
      <c r="W682" s="148"/>
      <c r="X682" s="163" t="str">
        <f>IFERROR(VLOOKUP(CONCATENATE(F682, "-", Q682), cuadrante_sev, 3, 0), "")</f>
        <v/>
      </c>
      <c r="Y682" s="163" t="str">
        <f t="shared" ref="Y682" si="1183">IFERROR(IF(X682="Baja", 1, IF(X682="Moderada", 2, IF(X682="Alta", 3, IF(X682="Extrema", 4, "")))), "")</f>
        <v/>
      </c>
      <c r="Z682" s="172"/>
      <c r="AA682" s="188"/>
      <c r="AB682" s="172"/>
      <c r="AC682" s="172"/>
      <c r="AD682" s="175"/>
      <c r="AE682" s="70" t="s">
        <v>113</v>
      </c>
      <c r="AF682" s="135"/>
      <c r="AG682" s="74"/>
      <c r="AH682" s="72"/>
      <c r="AI682" s="72"/>
      <c r="AJ682" s="72"/>
      <c r="AK682" s="72"/>
      <c r="AL682" s="72"/>
      <c r="AM682" s="82" t="str">
        <f>IFERROR((Tablas!$C$1*VLOOKUP(AH682, tipo_control, 2, 0)+Tablas!$E$1*VLOOKUP(AI682, nat_control, 2, 0)+Tablas!$G$1*VLOOKUP(AJ682, ev_control, 2, 0)+Tablas!$I$1*VLOOKUP(AK682, frec_control, 2, 0)+Tablas!$K$1*VLOOKUP(AL682, doc_control, 2, 0))*0.1*peso_dis, "")</f>
        <v/>
      </c>
      <c r="AN682" s="72"/>
      <c r="AO682" s="72"/>
      <c r="AP682" s="72"/>
      <c r="AQ682" s="82" t="str">
        <f>IFERROR((Tablas!$C$9*VLOOKUP(AN682, amb_control, 2, 0)+Tablas!$E$9*VLOOKUP(AO682, ejec_control, 2, 0)+Tablas!$G$9*VLOOKUP(AP682, cub_control, 2, 0))*0.1*peso_ejec, "")</f>
        <v/>
      </c>
      <c r="AR682" s="96" t="str">
        <f t="shared" si="1142"/>
        <v/>
      </c>
      <c r="AS682" s="97" t="str">
        <f t="shared" si="1143"/>
        <v/>
      </c>
      <c r="AT682" s="87" t="str">
        <f t="shared" si="1144"/>
        <v/>
      </c>
      <c r="AU682" s="97" t="str">
        <f>IF(AR682&lt;Tablas!$G$19, 0, IF(AND(AR682&gt;=Tablas!$G$19, AR682&lt;Tablas!$G$20), 1,  IF(AND(AR682&gt;=Tablas!$G$20, AR682&lt;Tablas!$G$21), 2,  IF(AND(AR682&gt;=Tablas!$G$21, AR682&lt;=Tablas!$G$22), 3,  ""))))</f>
        <v/>
      </c>
      <c r="AV682" s="97" t="str">
        <f t="shared" si="1145"/>
        <v/>
      </c>
      <c r="AW682" s="103" t="str">
        <f t="shared" si="1146"/>
        <v/>
      </c>
      <c r="AX682" s="176" t="str">
        <f t="shared" ref="AX682" si="1184">IFERROR(VLOOKUP(AY682, tabla04, 2, 0), "")</f>
        <v/>
      </c>
      <c r="AY682" s="168" t="str">
        <f>IF(F682="", "", IF((F682-MAX(AV682:AV686))&lt;=0, 1, F682-MAX(AV682:AV686)))</f>
        <v/>
      </c>
      <c r="AZ682" s="178" t="str">
        <f t="shared" ref="AZ682" si="1185">IFERROR(VLOOKUP(BA682, tabla04, 3, 0), "")</f>
        <v/>
      </c>
      <c r="BA682" s="168" t="str">
        <f>IF(Q682="", "", IF((Q682-MAX(AW682:AW686))&lt;=0, 1, Q682-MAX(AW682:AW686)))</f>
        <v/>
      </c>
      <c r="BB682" s="182"/>
      <c r="BC682" s="182"/>
      <c r="BD682" s="185"/>
      <c r="BE682" s="185"/>
      <c r="BF682" s="158" t="str">
        <f t="shared" ref="BF682:BF684" si="1186">IFERROR(VLOOKUP(CONCATENATE(AY682, "-", BA682), cuadrante_sev, 3, 0), "")</f>
        <v/>
      </c>
      <c r="BG682" s="191"/>
    </row>
    <row r="683" spans="1:59" x14ac:dyDescent="0.25">
      <c r="A683" s="167"/>
      <c r="B683" s="167"/>
      <c r="C683" s="161"/>
      <c r="D683" s="160"/>
      <c r="E683" s="162"/>
      <c r="F683" s="164"/>
      <c r="G683" s="161"/>
      <c r="H683" s="161"/>
      <c r="I683" s="161"/>
      <c r="J683" s="161"/>
      <c r="K683" s="161"/>
      <c r="L683" s="166"/>
      <c r="M683" s="166"/>
      <c r="N683" s="166"/>
      <c r="O683" s="166"/>
      <c r="P683" s="166"/>
      <c r="Q683" s="166"/>
      <c r="R683" s="166"/>
      <c r="S683" s="167"/>
      <c r="T683" s="167"/>
      <c r="U683" s="167"/>
      <c r="V683" s="167"/>
      <c r="W683" s="167"/>
      <c r="X683" s="164"/>
      <c r="Y683" s="164"/>
      <c r="Z683" s="172"/>
      <c r="AA683" s="188"/>
      <c r="AB683" s="172"/>
      <c r="AC683" s="172"/>
      <c r="AD683" s="175"/>
      <c r="AE683" s="62" t="s">
        <v>114</v>
      </c>
      <c r="AF683" s="133"/>
      <c r="AG683" s="65"/>
      <c r="AH683" s="64"/>
      <c r="AI683" s="64"/>
      <c r="AJ683" s="64"/>
      <c r="AK683" s="64"/>
      <c r="AL683" s="64"/>
      <c r="AM683" s="80" t="str">
        <f>IFERROR((Tablas!$C$1*VLOOKUP(AH683, tipo_control, 2, 0)+Tablas!$E$1*VLOOKUP(AI683, nat_control, 2, 0)+Tablas!$G$1*VLOOKUP(AJ683, ev_control, 2, 0)+Tablas!$I$1*VLOOKUP(AK683, frec_control, 2, 0)+Tablas!$K$1*VLOOKUP(AL683, doc_control, 2, 0))*0.1*peso_dis, "")</f>
        <v/>
      </c>
      <c r="AN683" s="64"/>
      <c r="AO683" s="64"/>
      <c r="AP683" s="64"/>
      <c r="AQ683" s="80" t="str">
        <f>IFERROR((Tablas!$C$9*VLOOKUP(AN683, amb_control, 2, 0)+Tablas!$E$9*VLOOKUP(AO683, ejec_control, 2, 0)+Tablas!$G$9*VLOOKUP(AP683, cub_control, 2, 0))*0.1*peso_ejec, "")</f>
        <v/>
      </c>
      <c r="AR683" s="91" t="str">
        <f t="shared" si="1142"/>
        <v/>
      </c>
      <c r="AS683" s="85" t="str">
        <f t="shared" si="1143"/>
        <v/>
      </c>
      <c r="AT683" s="85" t="str">
        <f t="shared" si="1144"/>
        <v/>
      </c>
      <c r="AU683" s="85" t="str">
        <f>IF(AR683&lt;Tablas!$G$19, 0, IF(AND(AR683&gt;=Tablas!$G$19, AR683&lt;Tablas!$G$20), 1,  IF(AND(AR683&gt;=Tablas!$G$20, AR683&lt;Tablas!$G$21), 2,  IF(AND(AR683&gt;=Tablas!$G$21, AR683&lt;=Tablas!$G$22), 3,  ""))))</f>
        <v/>
      </c>
      <c r="AV683" s="85" t="str">
        <f t="shared" si="1145"/>
        <v/>
      </c>
      <c r="AW683" s="101" t="str">
        <f t="shared" si="1146"/>
        <v/>
      </c>
      <c r="AX683" s="177"/>
      <c r="AY683" s="169"/>
      <c r="AZ683" s="158"/>
      <c r="BA683" s="169"/>
      <c r="BB683" s="182"/>
      <c r="BC683" s="182"/>
      <c r="BD683" s="185"/>
      <c r="BE683" s="185"/>
      <c r="BF683" s="158" t="str">
        <f t="shared" si="1186"/>
        <v/>
      </c>
      <c r="BG683" s="191"/>
    </row>
    <row r="684" spans="1:59" x14ac:dyDescent="0.25">
      <c r="A684" s="167"/>
      <c r="B684" s="167"/>
      <c r="C684" s="161"/>
      <c r="D684" s="160"/>
      <c r="E684" s="162"/>
      <c r="F684" s="164"/>
      <c r="G684" s="161"/>
      <c r="H684" s="161"/>
      <c r="I684" s="161"/>
      <c r="J684" s="161"/>
      <c r="K684" s="161"/>
      <c r="L684" s="166"/>
      <c r="M684" s="166"/>
      <c r="N684" s="166"/>
      <c r="O684" s="166"/>
      <c r="P684" s="166"/>
      <c r="Q684" s="166"/>
      <c r="R684" s="166"/>
      <c r="S684" s="167"/>
      <c r="T684" s="167"/>
      <c r="U684" s="167"/>
      <c r="V684" s="167"/>
      <c r="W684" s="167"/>
      <c r="X684" s="164"/>
      <c r="Y684" s="164"/>
      <c r="Z684" s="172"/>
      <c r="AA684" s="188"/>
      <c r="AB684" s="172"/>
      <c r="AC684" s="172"/>
      <c r="AD684" s="175"/>
      <c r="AE684" s="62" t="s">
        <v>115</v>
      </c>
      <c r="AF684" s="133"/>
      <c r="AG684" s="65"/>
      <c r="AH684" s="64"/>
      <c r="AI684" s="64"/>
      <c r="AJ684" s="64"/>
      <c r="AK684" s="64"/>
      <c r="AL684" s="64"/>
      <c r="AM684" s="80" t="str">
        <f>IFERROR((Tablas!$C$1*VLOOKUP(AH684, tipo_control, 2, 0)+Tablas!$E$1*VLOOKUP(AI684, nat_control, 2, 0)+Tablas!$G$1*VLOOKUP(AJ684, ev_control, 2, 0)+Tablas!$I$1*VLOOKUP(AK684, frec_control, 2, 0)+Tablas!$K$1*VLOOKUP(AL684, doc_control, 2, 0))*0.1*peso_dis, "")</f>
        <v/>
      </c>
      <c r="AN684" s="64"/>
      <c r="AO684" s="64"/>
      <c r="AP684" s="64"/>
      <c r="AQ684" s="80" t="str">
        <f>IFERROR((Tablas!$C$9*VLOOKUP(AN684, amb_control, 2, 0)+Tablas!$E$9*VLOOKUP(AO684, ejec_control, 2, 0)+Tablas!$G$9*VLOOKUP(AP684, cub_control, 2, 0))*0.1*peso_ejec, "")</f>
        <v/>
      </c>
      <c r="AR684" s="91" t="str">
        <f t="shared" si="1142"/>
        <v/>
      </c>
      <c r="AS684" s="85" t="str">
        <f t="shared" si="1143"/>
        <v/>
      </c>
      <c r="AT684" s="85" t="str">
        <f t="shared" si="1144"/>
        <v/>
      </c>
      <c r="AU684" s="85" t="str">
        <f>IF(AR684&lt;Tablas!$G$19, 0, IF(AND(AR684&gt;=Tablas!$G$19, AR684&lt;Tablas!$G$20), 1,  IF(AND(AR684&gt;=Tablas!$G$20, AR684&lt;Tablas!$G$21), 2,  IF(AND(AR684&gt;=Tablas!$G$21, AR684&lt;=Tablas!$G$22), 3,  ""))))</f>
        <v/>
      </c>
      <c r="AV684" s="85" t="str">
        <f t="shared" si="1145"/>
        <v/>
      </c>
      <c r="AW684" s="101" t="str">
        <f t="shared" si="1146"/>
        <v/>
      </c>
      <c r="AX684" s="177"/>
      <c r="AY684" s="169"/>
      <c r="AZ684" s="158"/>
      <c r="BA684" s="169"/>
      <c r="BB684" s="182"/>
      <c r="BC684" s="182"/>
      <c r="BD684" s="185"/>
      <c r="BE684" s="185"/>
      <c r="BF684" s="158" t="str">
        <f t="shared" si="1186"/>
        <v/>
      </c>
      <c r="BG684" s="191"/>
    </row>
    <row r="685" spans="1:59" x14ac:dyDescent="0.25">
      <c r="A685" s="167"/>
      <c r="B685" s="167"/>
      <c r="C685" s="161"/>
      <c r="D685" s="160"/>
      <c r="E685" s="162"/>
      <c r="F685" s="164"/>
      <c r="G685" s="161"/>
      <c r="H685" s="161"/>
      <c r="I685" s="161"/>
      <c r="J685" s="161"/>
      <c r="K685" s="161"/>
      <c r="L685" s="166"/>
      <c r="M685" s="166"/>
      <c r="N685" s="166"/>
      <c r="O685" s="166"/>
      <c r="P685" s="166"/>
      <c r="Q685" s="166"/>
      <c r="R685" s="166"/>
      <c r="S685" s="167"/>
      <c r="T685" s="167"/>
      <c r="U685" s="167"/>
      <c r="V685" s="167"/>
      <c r="W685" s="167"/>
      <c r="X685" s="164"/>
      <c r="Y685" s="164"/>
      <c r="Z685" s="172"/>
      <c r="AA685" s="188"/>
      <c r="AB685" s="172"/>
      <c r="AC685" s="172"/>
      <c r="AD685" s="175"/>
      <c r="AE685" s="62" t="s">
        <v>153</v>
      </c>
      <c r="AF685" s="133"/>
      <c r="AG685" s="65"/>
      <c r="AH685" s="64"/>
      <c r="AI685" s="64"/>
      <c r="AJ685" s="64"/>
      <c r="AK685" s="64"/>
      <c r="AL685" s="64"/>
      <c r="AM685" s="80" t="str">
        <f>IFERROR((Tablas!$C$1*VLOOKUP(AH685, tipo_control, 2, 0)+Tablas!$E$1*VLOOKUP(AI685, nat_control, 2, 0)+Tablas!$G$1*VLOOKUP(AJ685, ev_control, 2, 0)+Tablas!$I$1*VLOOKUP(AK685, frec_control, 2, 0)+Tablas!$K$1*VLOOKUP(AL685, doc_control, 2, 0))*0.1*peso_dis, "")</f>
        <v/>
      </c>
      <c r="AN685" s="64"/>
      <c r="AO685" s="64"/>
      <c r="AP685" s="64"/>
      <c r="AQ685" s="80" t="str">
        <f>IFERROR((Tablas!$C$9*VLOOKUP(AN685, amb_control, 2, 0)+Tablas!$E$9*VLOOKUP(AO685, ejec_control, 2, 0)+Tablas!$G$9*VLOOKUP(AP685, cub_control, 2, 0))*0.1*peso_ejec, "")</f>
        <v/>
      </c>
      <c r="AR685" s="91" t="str">
        <f t="shared" si="1142"/>
        <v/>
      </c>
      <c r="AS685" s="85" t="str">
        <f t="shared" si="1143"/>
        <v/>
      </c>
      <c r="AT685" s="85" t="str">
        <f t="shared" si="1144"/>
        <v/>
      </c>
      <c r="AU685" s="85" t="str">
        <f>IF(AR685&lt;Tablas!$G$19, 0, IF(AND(AR685&gt;=Tablas!$G$19, AR685&lt;Tablas!$G$20), 1,  IF(AND(AR685&gt;=Tablas!$G$20, AR685&lt;Tablas!$G$21), 2,  IF(AND(AR685&gt;=Tablas!$G$21, AR685&lt;=Tablas!$G$22), 3,  ""))))</f>
        <v/>
      </c>
      <c r="AV685" s="85" t="str">
        <f t="shared" si="1145"/>
        <v/>
      </c>
      <c r="AW685" s="101" t="str">
        <f t="shared" si="1146"/>
        <v/>
      </c>
      <c r="AX685" s="177"/>
      <c r="AY685" s="169"/>
      <c r="AZ685" s="158"/>
      <c r="BA685" s="169"/>
      <c r="BB685" s="182"/>
      <c r="BC685" s="182"/>
      <c r="BD685" s="185"/>
      <c r="BE685" s="185"/>
      <c r="BF685" s="158"/>
      <c r="BG685" s="191"/>
    </row>
    <row r="686" spans="1:59" ht="15.75" thickBot="1" x14ac:dyDescent="0.3">
      <c r="A686" s="167"/>
      <c r="B686" s="167"/>
      <c r="C686" s="161"/>
      <c r="D686" s="160"/>
      <c r="E686" s="162"/>
      <c r="F686" s="165"/>
      <c r="G686" s="161"/>
      <c r="H686" s="161"/>
      <c r="I686" s="161"/>
      <c r="J686" s="161"/>
      <c r="K686" s="161"/>
      <c r="L686" s="166"/>
      <c r="M686" s="166"/>
      <c r="N686" s="166"/>
      <c r="O686" s="166"/>
      <c r="P686" s="166"/>
      <c r="Q686" s="166"/>
      <c r="R686" s="166"/>
      <c r="S686" s="149"/>
      <c r="T686" s="149"/>
      <c r="U686" s="149"/>
      <c r="V686" s="149"/>
      <c r="W686" s="149"/>
      <c r="X686" s="165"/>
      <c r="Y686" s="165"/>
      <c r="Z686" s="172"/>
      <c r="AA686" s="188"/>
      <c r="AB686" s="172"/>
      <c r="AC686" s="172"/>
      <c r="AD686" s="175"/>
      <c r="AE686" s="66" t="s">
        <v>154</v>
      </c>
      <c r="AF686" s="134"/>
      <c r="AG686" s="67"/>
      <c r="AH686" s="69"/>
      <c r="AI686" s="69"/>
      <c r="AJ686" s="69"/>
      <c r="AK686" s="69"/>
      <c r="AL686" s="69"/>
      <c r="AM686" s="81" t="str">
        <f>IFERROR((Tablas!$C$1*VLOOKUP(AH686, tipo_control, 2, 0)+Tablas!$E$1*VLOOKUP(AI686, nat_control, 2, 0)+Tablas!$G$1*VLOOKUP(AJ686, ev_control, 2, 0)+Tablas!$I$1*VLOOKUP(AK686, frec_control, 2, 0)+Tablas!$K$1*VLOOKUP(AL686, doc_control, 2, 0))*0.1*peso_dis, "")</f>
        <v/>
      </c>
      <c r="AN686" s="69"/>
      <c r="AO686" s="69"/>
      <c r="AP686" s="69"/>
      <c r="AQ686" s="81" t="str">
        <f>IFERROR((Tablas!$C$9*VLOOKUP(AN686, amb_control, 2, 0)+Tablas!$E$9*VLOOKUP(AO686, ejec_control, 2, 0)+Tablas!$G$9*VLOOKUP(AP686, cub_control, 2, 0))*0.1*peso_ejec, "")</f>
        <v/>
      </c>
      <c r="AR686" s="93" t="str">
        <f t="shared" si="1142"/>
        <v/>
      </c>
      <c r="AS686" s="94" t="str">
        <f t="shared" si="1143"/>
        <v/>
      </c>
      <c r="AT686" s="94" t="str">
        <f t="shared" si="1144"/>
        <v/>
      </c>
      <c r="AU686" s="94" t="str">
        <f>IF(AR686&lt;Tablas!$G$19, 0, IF(AND(AR686&gt;=Tablas!$G$19, AR686&lt;Tablas!$G$20), 1,  IF(AND(AR686&gt;=Tablas!$G$20, AR686&lt;Tablas!$G$21), 2,  IF(AND(AR686&gt;=Tablas!$G$21, AR686&lt;=Tablas!$G$22), 3,  ""))))</f>
        <v/>
      </c>
      <c r="AV686" s="94" t="str">
        <f t="shared" si="1145"/>
        <v/>
      </c>
      <c r="AW686" s="102" t="str">
        <f t="shared" si="1146"/>
        <v/>
      </c>
      <c r="AX686" s="157"/>
      <c r="AY686" s="170"/>
      <c r="AZ686" s="179"/>
      <c r="BA686" s="170"/>
      <c r="BB686" s="182"/>
      <c r="BC686" s="182"/>
      <c r="BD686" s="185"/>
      <c r="BE686" s="185"/>
      <c r="BF686" s="159"/>
      <c r="BG686" s="191"/>
    </row>
    <row r="687" spans="1:59" x14ac:dyDescent="0.25">
      <c r="A687" s="167"/>
      <c r="B687" s="167"/>
      <c r="C687" s="161" t="s">
        <v>180</v>
      </c>
      <c r="D687" s="160" t="s">
        <v>158</v>
      </c>
      <c r="E687" s="162"/>
      <c r="F687" s="163" t="str">
        <f t="shared" si="1138"/>
        <v/>
      </c>
      <c r="G687" s="149"/>
      <c r="H687" s="149"/>
      <c r="I687" s="149"/>
      <c r="J687" s="149"/>
      <c r="K687" s="149"/>
      <c r="L687" s="165" t="str">
        <f t="shared" ref="L687" si="1187">IFERROR(VLOOKUP(G687, tabla02, 2, 0), "")</f>
        <v/>
      </c>
      <c r="M687" s="165" t="str">
        <f t="shared" ref="M687" si="1188">IFERROR(VLOOKUP(H687, tabla02, 2, 0), "")</f>
        <v/>
      </c>
      <c r="N687" s="165" t="str">
        <f t="shared" ref="N687" si="1189">IFERROR(VLOOKUP(I687, tabla02, 2, 0), "")</f>
        <v/>
      </c>
      <c r="O687" s="165" t="str">
        <f t="shared" ref="O687" si="1190">IFERROR(VLOOKUP(J687, tabla02, 2, 0), "")</f>
        <v/>
      </c>
      <c r="P687" s="165" t="str">
        <f t="shared" ref="P687" si="1191">IFERROR(VLOOKUP(K687, tabla02, 2, 0), "")</f>
        <v/>
      </c>
      <c r="Q687" s="165" t="str">
        <f t="shared" ref="Q687" si="1192">IF(SUM(L687:O691)=0, "", MAX(L687:P687))</f>
        <v/>
      </c>
      <c r="R687" s="165" t="str">
        <f>IFERROR(VLOOKUP(Q687, tabla04, 3, 0), "")</f>
        <v/>
      </c>
      <c r="S687" s="148"/>
      <c r="T687" s="148"/>
      <c r="U687" s="148"/>
      <c r="V687" s="148"/>
      <c r="W687" s="148"/>
      <c r="X687" s="163" t="str">
        <f>IFERROR(VLOOKUP(CONCATENATE(F687, "-", Q687), cuadrante_sev, 3, 0), "")</f>
        <v/>
      </c>
      <c r="Y687" s="163" t="str">
        <f t="shared" ref="Y687" si="1193">IFERROR(IF(X687="Baja", 1, IF(X687="Moderada", 2, IF(X687="Alta", 3, IF(X687="Extrema", 4, "")))), "")</f>
        <v/>
      </c>
      <c r="Z687" s="172"/>
      <c r="AA687" s="188"/>
      <c r="AB687" s="172"/>
      <c r="AC687" s="172"/>
      <c r="AD687" s="175"/>
      <c r="AE687" s="70" t="s">
        <v>113</v>
      </c>
      <c r="AF687" s="135"/>
      <c r="AG687" s="74"/>
      <c r="AH687" s="72"/>
      <c r="AI687" s="72"/>
      <c r="AJ687" s="72"/>
      <c r="AK687" s="72"/>
      <c r="AL687" s="72"/>
      <c r="AM687" s="82" t="str">
        <f>IFERROR((Tablas!$C$1*VLOOKUP(AH687, tipo_control, 2, 0)+Tablas!$E$1*VLOOKUP(AI687, nat_control, 2, 0)+Tablas!$G$1*VLOOKUP(AJ687, ev_control, 2, 0)+Tablas!$I$1*VLOOKUP(AK687, frec_control, 2, 0)+Tablas!$K$1*VLOOKUP(AL687, doc_control, 2, 0))*0.1*peso_dis, "")</f>
        <v/>
      </c>
      <c r="AN687" s="72"/>
      <c r="AO687" s="72"/>
      <c r="AP687" s="72"/>
      <c r="AQ687" s="82" t="str">
        <f>IFERROR((Tablas!$C$9*VLOOKUP(AN687, amb_control, 2, 0)+Tablas!$E$9*VLOOKUP(AO687, ejec_control, 2, 0)+Tablas!$G$9*VLOOKUP(AP687, cub_control, 2, 0))*0.1*peso_ejec, "")</f>
        <v/>
      </c>
      <c r="AR687" s="96" t="str">
        <f t="shared" si="1142"/>
        <v/>
      </c>
      <c r="AS687" s="97" t="str">
        <f t="shared" si="1143"/>
        <v/>
      </c>
      <c r="AT687" s="87" t="str">
        <f t="shared" si="1144"/>
        <v/>
      </c>
      <c r="AU687" s="97" t="str">
        <f>IF(AR687&lt;Tablas!$G$19, 0, IF(AND(AR687&gt;=Tablas!$G$19, AR687&lt;Tablas!$G$20), 1,  IF(AND(AR687&gt;=Tablas!$G$20, AR687&lt;Tablas!$G$21), 2,  IF(AND(AR687&gt;=Tablas!$G$21, AR687&lt;=Tablas!$G$22), 3,  ""))))</f>
        <v/>
      </c>
      <c r="AV687" s="97" t="str">
        <f t="shared" si="1145"/>
        <v/>
      </c>
      <c r="AW687" s="103" t="str">
        <f t="shared" si="1146"/>
        <v/>
      </c>
      <c r="AX687" s="176" t="str">
        <f t="shared" ref="AX687" si="1194">IFERROR(VLOOKUP(AY687, tabla04, 2, 0), "")</f>
        <v/>
      </c>
      <c r="AY687" s="168" t="str">
        <f>IF(F687="", "", IF((F687-MAX(AV687:AV691))&lt;=0, 1, F687-MAX(AV687:AV691)))</f>
        <v/>
      </c>
      <c r="AZ687" s="178" t="str">
        <f t="shared" ref="AZ687" si="1195">IFERROR(VLOOKUP(BA687, tabla04, 3, 0), "")</f>
        <v/>
      </c>
      <c r="BA687" s="168" t="str">
        <f>IF(Q687="", "", IF((Q687-MAX(AW687:AW691))&lt;=0, 1, Q687-MAX(AW687:AW691)))</f>
        <v/>
      </c>
      <c r="BB687" s="182"/>
      <c r="BC687" s="182"/>
      <c r="BD687" s="185"/>
      <c r="BE687" s="185"/>
      <c r="BF687" s="158" t="str">
        <f t="shared" ref="BF687:BF689" si="1196">IFERROR(VLOOKUP(CONCATENATE(AY687, "-", BA687), cuadrante_sev, 3, 0), "")</f>
        <v/>
      </c>
      <c r="BG687" s="191"/>
    </row>
    <row r="688" spans="1:59" x14ac:dyDescent="0.25">
      <c r="A688" s="167"/>
      <c r="B688" s="167"/>
      <c r="C688" s="161"/>
      <c r="D688" s="160"/>
      <c r="E688" s="162"/>
      <c r="F688" s="164"/>
      <c r="G688" s="161"/>
      <c r="H688" s="161"/>
      <c r="I688" s="161"/>
      <c r="J688" s="161"/>
      <c r="K688" s="161"/>
      <c r="L688" s="166"/>
      <c r="M688" s="166"/>
      <c r="N688" s="166"/>
      <c r="O688" s="166"/>
      <c r="P688" s="166"/>
      <c r="Q688" s="166"/>
      <c r="R688" s="166"/>
      <c r="S688" s="167"/>
      <c r="T688" s="167"/>
      <c r="U688" s="167"/>
      <c r="V688" s="167"/>
      <c r="W688" s="167"/>
      <c r="X688" s="164"/>
      <c r="Y688" s="164"/>
      <c r="Z688" s="172"/>
      <c r="AA688" s="188"/>
      <c r="AB688" s="172"/>
      <c r="AC688" s="172"/>
      <c r="AD688" s="175"/>
      <c r="AE688" s="62" t="s">
        <v>114</v>
      </c>
      <c r="AF688" s="133"/>
      <c r="AG688" s="65"/>
      <c r="AH688" s="64"/>
      <c r="AI688" s="64"/>
      <c r="AJ688" s="64"/>
      <c r="AK688" s="64"/>
      <c r="AL688" s="64"/>
      <c r="AM688" s="80" t="str">
        <f>IFERROR((Tablas!$C$1*VLOOKUP(AH688, tipo_control, 2, 0)+Tablas!$E$1*VLOOKUP(AI688, nat_control, 2, 0)+Tablas!$G$1*VLOOKUP(AJ688, ev_control, 2, 0)+Tablas!$I$1*VLOOKUP(AK688, frec_control, 2, 0)+Tablas!$K$1*VLOOKUP(AL688, doc_control, 2, 0))*0.1*peso_dis, "")</f>
        <v/>
      </c>
      <c r="AN688" s="64"/>
      <c r="AO688" s="64"/>
      <c r="AP688" s="64"/>
      <c r="AQ688" s="80" t="str">
        <f>IFERROR((Tablas!$C$9*VLOOKUP(AN688, amb_control, 2, 0)+Tablas!$E$9*VLOOKUP(AO688, ejec_control, 2, 0)+Tablas!$G$9*VLOOKUP(AP688, cub_control, 2, 0))*0.1*peso_ejec, "")</f>
        <v/>
      </c>
      <c r="AR688" s="91" t="str">
        <f t="shared" si="1142"/>
        <v/>
      </c>
      <c r="AS688" s="85" t="str">
        <f t="shared" si="1143"/>
        <v/>
      </c>
      <c r="AT688" s="85" t="str">
        <f t="shared" si="1144"/>
        <v/>
      </c>
      <c r="AU688" s="85" t="str">
        <f>IF(AR688&lt;Tablas!$G$19, 0, IF(AND(AR688&gt;=Tablas!$G$19, AR688&lt;Tablas!$G$20), 1,  IF(AND(AR688&gt;=Tablas!$G$20, AR688&lt;Tablas!$G$21), 2,  IF(AND(AR688&gt;=Tablas!$G$21, AR688&lt;=Tablas!$G$22), 3,  ""))))</f>
        <v/>
      </c>
      <c r="AV688" s="85" t="str">
        <f t="shared" si="1145"/>
        <v/>
      </c>
      <c r="AW688" s="101" t="str">
        <f t="shared" si="1146"/>
        <v/>
      </c>
      <c r="AX688" s="177"/>
      <c r="AY688" s="169"/>
      <c r="AZ688" s="158"/>
      <c r="BA688" s="169"/>
      <c r="BB688" s="182"/>
      <c r="BC688" s="182"/>
      <c r="BD688" s="185"/>
      <c r="BE688" s="185"/>
      <c r="BF688" s="158" t="str">
        <f t="shared" si="1196"/>
        <v/>
      </c>
      <c r="BG688" s="191"/>
    </row>
    <row r="689" spans="1:59" x14ac:dyDescent="0.25">
      <c r="A689" s="167"/>
      <c r="B689" s="167"/>
      <c r="C689" s="161"/>
      <c r="D689" s="160"/>
      <c r="E689" s="162"/>
      <c r="F689" s="164"/>
      <c r="G689" s="161"/>
      <c r="H689" s="161"/>
      <c r="I689" s="161"/>
      <c r="J689" s="161"/>
      <c r="K689" s="161"/>
      <c r="L689" s="166"/>
      <c r="M689" s="166"/>
      <c r="N689" s="166"/>
      <c r="O689" s="166"/>
      <c r="P689" s="166"/>
      <c r="Q689" s="166"/>
      <c r="R689" s="166"/>
      <c r="S689" s="167"/>
      <c r="T689" s="167"/>
      <c r="U689" s="167"/>
      <c r="V689" s="167"/>
      <c r="W689" s="167"/>
      <c r="X689" s="164"/>
      <c r="Y689" s="164"/>
      <c r="Z689" s="172"/>
      <c r="AA689" s="188"/>
      <c r="AB689" s="172"/>
      <c r="AC689" s="172"/>
      <c r="AD689" s="175"/>
      <c r="AE689" s="62" t="s">
        <v>115</v>
      </c>
      <c r="AF689" s="133"/>
      <c r="AG689" s="65"/>
      <c r="AH689" s="64"/>
      <c r="AI689" s="64"/>
      <c r="AJ689" s="64"/>
      <c r="AK689" s="64"/>
      <c r="AL689" s="64"/>
      <c r="AM689" s="80" t="str">
        <f>IFERROR((Tablas!$C$1*VLOOKUP(AH689, tipo_control, 2, 0)+Tablas!$E$1*VLOOKUP(AI689, nat_control, 2, 0)+Tablas!$G$1*VLOOKUP(AJ689, ev_control, 2, 0)+Tablas!$I$1*VLOOKUP(AK689, frec_control, 2, 0)+Tablas!$K$1*VLOOKUP(AL689, doc_control, 2, 0))*0.1*peso_dis, "")</f>
        <v/>
      </c>
      <c r="AN689" s="64"/>
      <c r="AO689" s="64"/>
      <c r="AP689" s="64"/>
      <c r="AQ689" s="80" t="str">
        <f>IFERROR((Tablas!$C$9*VLOOKUP(AN689, amb_control, 2, 0)+Tablas!$E$9*VLOOKUP(AO689, ejec_control, 2, 0)+Tablas!$G$9*VLOOKUP(AP689, cub_control, 2, 0))*0.1*peso_ejec, "")</f>
        <v/>
      </c>
      <c r="AR689" s="91" t="str">
        <f t="shared" si="1142"/>
        <v/>
      </c>
      <c r="AS689" s="85" t="str">
        <f t="shared" si="1143"/>
        <v/>
      </c>
      <c r="AT689" s="85" t="str">
        <f t="shared" si="1144"/>
        <v/>
      </c>
      <c r="AU689" s="85" t="str">
        <f>IF(AR689&lt;Tablas!$G$19, 0, IF(AND(AR689&gt;=Tablas!$G$19, AR689&lt;Tablas!$G$20), 1,  IF(AND(AR689&gt;=Tablas!$G$20, AR689&lt;Tablas!$G$21), 2,  IF(AND(AR689&gt;=Tablas!$G$21, AR689&lt;=Tablas!$G$22), 3,  ""))))</f>
        <v/>
      </c>
      <c r="AV689" s="85" t="str">
        <f t="shared" si="1145"/>
        <v/>
      </c>
      <c r="AW689" s="101" t="str">
        <f t="shared" si="1146"/>
        <v/>
      </c>
      <c r="AX689" s="177"/>
      <c r="AY689" s="169"/>
      <c r="AZ689" s="158"/>
      <c r="BA689" s="169"/>
      <c r="BB689" s="182"/>
      <c r="BC689" s="182"/>
      <c r="BD689" s="185"/>
      <c r="BE689" s="185"/>
      <c r="BF689" s="158" t="str">
        <f t="shared" si="1196"/>
        <v/>
      </c>
      <c r="BG689" s="191"/>
    </row>
    <row r="690" spans="1:59" x14ac:dyDescent="0.25">
      <c r="A690" s="167"/>
      <c r="B690" s="167"/>
      <c r="C690" s="161"/>
      <c r="D690" s="160"/>
      <c r="E690" s="162"/>
      <c r="F690" s="164"/>
      <c r="G690" s="161"/>
      <c r="H690" s="161"/>
      <c r="I690" s="161"/>
      <c r="J690" s="161"/>
      <c r="K690" s="161"/>
      <c r="L690" s="166"/>
      <c r="M690" s="166"/>
      <c r="N690" s="166"/>
      <c r="O690" s="166"/>
      <c r="P690" s="166"/>
      <c r="Q690" s="166"/>
      <c r="R690" s="166"/>
      <c r="S690" s="167"/>
      <c r="T690" s="167"/>
      <c r="U690" s="167"/>
      <c r="V690" s="167"/>
      <c r="W690" s="167"/>
      <c r="X690" s="164"/>
      <c r="Y690" s="164"/>
      <c r="Z690" s="172"/>
      <c r="AA690" s="188"/>
      <c r="AB690" s="172"/>
      <c r="AC690" s="172"/>
      <c r="AD690" s="175"/>
      <c r="AE690" s="62" t="s">
        <v>153</v>
      </c>
      <c r="AF690" s="133"/>
      <c r="AG690" s="65"/>
      <c r="AH690" s="64"/>
      <c r="AI690" s="64"/>
      <c r="AJ690" s="64"/>
      <c r="AK690" s="64"/>
      <c r="AL690" s="64"/>
      <c r="AM690" s="80" t="str">
        <f>IFERROR((Tablas!$C$1*VLOOKUP(AH690, tipo_control, 2, 0)+Tablas!$E$1*VLOOKUP(AI690, nat_control, 2, 0)+Tablas!$G$1*VLOOKUP(AJ690, ev_control, 2, 0)+Tablas!$I$1*VLOOKUP(AK690, frec_control, 2, 0)+Tablas!$K$1*VLOOKUP(AL690, doc_control, 2, 0))*0.1*peso_dis, "")</f>
        <v/>
      </c>
      <c r="AN690" s="64"/>
      <c r="AO690" s="64"/>
      <c r="AP690" s="64"/>
      <c r="AQ690" s="80" t="str">
        <f>IFERROR((Tablas!$C$9*VLOOKUP(AN690, amb_control, 2, 0)+Tablas!$E$9*VLOOKUP(AO690, ejec_control, 2, 0)+Tablas!$G$9*VLOOKUP(AP690, cub_control, 2, 0))*0.1*peso_ejec, "")</f>
        <v/>
      </c>
      <c r="AR690" s="91" t="str">
        <f t="shared" si="1142"/>
        <v/>
      </c>
      <c r="AS690" s="85" t="str">
        <f t="shared" si="1143"/>
        <v/>
      </c>
      <c r="AT690" s="85" t="str">
        <f t="shared" si="1144"/>
        <v/>
      </c>
      <c r="AU690" s="85" t="str">
        <f>IF(AR690&lt;Tablas!$G$19, 0, IF(AND(AR690&gt;=Tablas!$G$19, AR690&lt;Tablas!$G$20), 1,  IF(AND(AR690&gt;=Tablas!$G$20, AR690&lt;Tablas!$G$21), 2,  IF(AND(AR690&gt;=Tablas!$G$21, AR690&lt;=Tablas!$G$22), 3,  ""))))</f>
        <v/>
      </c>
      <c r="AV690" s="85" t="str">
        <f t="shared" si="1145"/>
        <v/>
      </c>
      <c r="AW690" s="101" t="str">
        <f t="shared" si="1146"/>
        <v/>
      </c>
      <c r="AX690" s="177"/>
      <c r="AY690" s="169"/>
      <c r="AZ690" s="158"/>
      <c r="BA690" s="169"/>
      <c r="BB690" s="182"/>
      <c r="BC690" s="182"/>
      <c r="BD690" s="185"/>
      <c r="BE690" s="185"/>
      <c r="BF690" s="158"/>
      <c r="BG690" s="191"/>
    </row>
    <row r="691" spans="1:59" ht="15.75" thickBot="1" x14ac:dyDescent="0.3">
      <c r="A691" s="167"/>
      <c r="B691" s="167"/>
      <c r="C691" s="161"/>
      <c r="D691" s="160"/>
      <c r="E691" s="162"/>
      <c r="F691" s="165"/>
      <c r="G691" s="161"/>
      <c r="H691" s="161"/>
      <c r="I691" s="161"/>
      <c r="J691" s="161"/>
      <c r="K691" s="161"/>
      <c r="L691" s="166"/>
      <c r="M691" s="166"/>
      <c r="N691" s="166"/>
      <c r="O691" s="166"/>
      <c r="P691" s="166"/>
      <c r="Q691" s="166"/>
      <c r="R691" s="166"/>
      <c r="S691" s="149"/>
      <c r="T691" s="149"/>
      <c r="U691" s="149"/>
      <c r="V691" s="149"/>
      <c r="W691" s="149"/>
      <c r="X691" s="165"/>
      <c r="Y691" s="165"/>
      <c r="Z691" s="172"/>
      <c r="AA691" s="188"/>
      <c r="AB691" s="172"/>
      <c r="AC691" s="172"/>
      <c r="AD691" s="175"/>
      <c r="AE691" s="66" t="s">
        <v>154</v>
      </c>
      <c r="AF691" s="134"/>
      <c r="AG691" s="67"/>
      <c r="AH691" s="69"/>
      <c r="AI691" s="69"/>
      <c r="AJ691" s="69"/>
      <c r="AK691" s="69"/>
      <c r="AL691" s="69"/>
      <c r="AM691" s="81" t="str">
        <f>IFERROR((Tablas!$C$1*VLOOKUP(AH691, tipo_control, 2, 0)+Tablas!$E$1*VLOOKUP(AI691, nat_control, 2, 0)+Tablas!$G$1*VLOOKUP(AJ691, ev_control, 2, 0)+Tablas!$I$1*VLOOKUP(AK691, frec_control, 2, 0)+Tablas!$K$1*VLOOKUP(AL691, doc_control, 2, 0))*0.1*peso_dis, "")</f>
        <v/>
      </c>
      <c r="AN691" s="69"/>
      <c r="AO691" s="69"/>
      <c r="AP691" s="69"/>
      <c r="AQ691" s="81" t="str">
        <f>IFERROR((Tablas!$C$9*VLOOKUP(AN691, amb_control, 2, 0)+Tablas!$E$9*VLOOKUP(AO691, ejec_control, 2, 0)+Tablas!$G$9*VLOOKUP(AP691, cub_control, 2, 0))*0.1*peso_ejec, "")</f>
        <v/>
      </c>
      <c r="AR691" s="93" t="str">
        <f t="shared" si="1142"/>
        <v/>
      </c>
      <c r="AS691" s="94" t="str">
        <f t="shared" si="1143"/>
        <v/>
      </c>
      <c r="AT691" s="94" t="str">
        <f t="shared" si="1144"/>
        <v/>
      </c>
      <c r="AU691" s="94" t="str">
        <f>IF(AR691&lt;Tablas!$G$19, 0, IF(AND(AR691&gt;=Tablas!$G$19, AR691&lt;Tablas!$G$20), 1,  IF(AND(AR691&gt;=Tablas!$G$20, AR691&lt;Tablas!$G$21), 2,  IF(AND(AR691&gt;=Tablas!$G$21, AR691&lt;=Tablas!$G$22), 3,  ""))))</f>
        <v/>
      </c>
      <c r="AV691" s="94" t="str">
        <f t="shared" si="1145"/>
        <v/>
      </c>
      <c r="AW691" s="102" t="str">
        <f t="shared" si="1146"/>
        <v/>
      </c>
      <c r="AX691" s="157"/>
      <c r="AY691" s="170"/>
      <c r="AZ691" s="179"/>
      <c r="BA691" s="170"/>
      <c r="BB691" s="182"/>
      <c r="BC691" s="182"/>
      <c r="BD691" s="185"/>
      <c r="BE691" s="185"/>
      <c r="BF691" s="159"/>
      <c r="BG691" s="191"/>
    </row>
    <row r="692" spans="1:59" x14ac:dyDescent="0.25">
      <c r="A692" s="167"/>
      <c r="B692" s="167"/>
      <c r="C692" s="161" t="s">
        <v>181</v>
      </c>
      <c r="D692" s="160" t="s">
        <v>158</v>
      </c>
      <c r="E692" s="162"/>
      <c r="F692" s="163" t="str">
        <f t="shared" si="1138"/>
        <v/>
      </c>
      <c r="G692" s="149"/>
      <c r="H692" s="149"/>
      <c r="I692" s="149"/>
      <c r="J692" s="149"/>
      <c r="K692" s="149"/>
      <c r="L692" s="165" t="str">
        <f t="shared" ref="L692" si="1197">IFERROR(VLOOKUP(G692, tabla02, 2, 0), "")</f>
        <v/>
      </c>
      <c r="M692" s="165" t="str">
        <f t="shared" ref="M692" si="1198">IFERROR(VLOOKUP(H692, tabla02, 2, 0), "")</f>
        <v/>
      </c>
      <c r="N692" s="165" t="str">
        <f t="shared" ref="N692" si="1199">IFERROR(VLOOKUP(I692, tabla02, 2, 0), "")</f>
        <v/>
      </c>
      <c r="O692" s="165" t="str">
        <f t="shared" ref="O692" si="1200">IFERROR(VLOOKUP(J692, tabla02, 2, 0), "")</f>
        <v/>
      </c>
      <c r="P692" s="165" t="str">
        <f t="shared" ref="P692" si="1201">IFERROR(VLOOKUP(K692, tabla02, 2, 0), "")</f>
        <v/>
      </c>
      <c r="Q692" s="165" t="str">
        <f t="shared" ref="Q692" si="1202">IF(SUM(L692:O696)=0, "", MAX(L692:P692))</f>
        <v/>
      </c>
      <c r="R692" s="165" t="str">
        <f>IFERROR(VLOOKUP(Q692, tabla04, 3, 0), "")</f>
        <v/>
      </c>
      <c r="S692" s="148"/>
      <c r="T692" s="148"/>
      <c r="U692" s="148"/>
      <c r="V692" s="148"/>
      <c r="W692" s="148"/>
      <c r="X692" s="163" t="str">
        <f>IFERROR(VLOOKUP(CONCATENATE(F692, "-", Q692), cuadrante_sev, 3, 0), "")</f>
        <v/>
      </c>
      <c r="Y692" s="163" t="str">
        <f t="shared" ref="Y692" si="1203">IFERROR(IF(X692="Baja", 1, IF(X692="Moderada", 2, IF(X692="Alta", 3, IF(X692="Extrema", 4, "")))), "")</f>
        <v/>
      </c>
      <c r="Z692" s="172"/>
      <c r="AA692" s="188"/>
      <c r="AB692" s="172"/>
      <c r="AC692" s="172"/>
      <c r="AD692" s="175"/>
      <c r="AE692" s="70" t="s">
        <v>113</v>
      </c>
      <c r="AF692" s="135"/>
      <c r="AG692" s="74"/>
      <c r="AH692" s="72"/>
      <c r="AI692" s="72"/>
      <c r="AJ692" s="72"/>
      <c r="AK692" s="72"/>
      <c r="AL692" s="72"/>
      <c r="AM692" s="82" t="str">
        <f>IFERROR((Tablas!$C$1*VLOOKUP(AH692, tipo_control, 2, 0)+Tablas!$E$1*VLOOKUP(AI692, nat_control, 2, 0)+Tablas!$G$1*VLOOKUP(AJ692, ev_control, 2, 0)+Tablas!$I$1*VLOOKUP(AK692, frec_control, 2, 0)+Tablas!$K$1*VLOOKUP(AL692, doc_control, 2, 0))*0.1*peso_dis, "")</f>
        <v/>
      </c>
      <c r="AN692" s="72"/>
      <c r="AO692" s="72"/>
      <c r="AP692" s="72"/>
      <c r="AQ692" s="82" t="str">
        <f>IFERROR((Tablas!$C$9*VLOOKUP(AN692, amb_control, 2, 0)+Tablas!$E$9*VLOOKUP(AO692, ejec_control, 2, 0)+Tablas!$G$9*VLOOKUP(AP692, cub_control, 2, 0))*0.1*peso_ejec, "")</f>
        <v/>
      </c>
      <c r="AR692" s="96" t="str">
        <f t="shared" si="1142"/>
        <v/>
      </c>
      <c r="AS692" s="97" t="str">
        <f t="shared" si="1143"/>
        <v/>
      </c>
      <c r="AT692" s="87" t="str">
        <f t="shared" si="1144"/>
        <v/>
      </c>
      <c r="AU692" s="97" t="str">
        <f>IF(AR692&lt;Tablas!$G$19, 0, IF(AND(AR692&gt;=Tablas!$G$19, AR692&lt;Tablas!$G$20), 1,  IF(AND(AR692&gt;=Tablas!$G$20, AR692&lt;Tablas!$G$21), 2,  IF(AND(AR692&gt;=Tablas!$G$21, AR692&lt;=Tablas!$G$22), 3,  ""))))</f>
        <v/>
      </c>
      <c r="AV692" s="97" t="str">
        <f t="shared" si="1145"/>
        <v/>
      </c>
      <c r="AW692" s="103" t="str">
        <f t="shared" si="1146"/>
        <v/>
      </c>
      <c r="AX692" s="176" t="str">
        <f t="shared" ref="AX692" si="1204">IFERROR(VLOOKUP(AY692, tabla04, 2, 0), "")</f>
        <v/>
      </c>
      <c r="AY692" s="168" t="str">
        <f>IF(F692="", "", IF((F692-MAX(AV692:AV696))&lt;=0, 1, F692-MAX(AV692:AV696)))</f>
        <v/>
      </c>
      <c r="AZ692" s="178" t="str">
        <f t="shared" ref="AZ692" si="1205">IFERROR(VLOOKUP(BA692, tabla04, 3, 0), "")</f>
        <v/>
      </c>
      <c r="BA692" s="168" t="str">
        <f>IF(Q692="", "", IF((Q692-MAX(AW692:AW696))&lt;=0, 1, Q692-MAX(AW692:AW696)))</f>
        <v/>
      </c>
      <c r="BB692" s="182"/>
      <c r="BC692" s="182"/>
      <c r="BD692" s="185"/>
      <c r="BE692" s="185"/>
      <c r="BF692" s="158" t="str">
        <f t="shared" ref="BF692:BF694" si="1206">IFERROR(VLOOKUP(CONCATENATE(AY692, "-", BA692), cuadrante_sev, 3, 0), "")</f>
        <v/>
      </c>
      <c r="BG692" s="191"/>
    </row>
    <row r="693" spans="1:59" x14ac:dyDescent="0.25">
      <c r="A693" s="167"/>
      <c r="B693" s="167"/>
      <c r="C693" s="161"/>
      <c r="D693" s="160"/>
      <c r="E693" s="162"/>
      <c r="F693" s="164"/>
      <c r="G693" s="161"/>
      <c r="H693" s="161"/>
      <c r="I693" s="161"/>
      <c r="J693" s="161"/>
      <c r="K693" s="161"/>
      <c r="L693" s="166"/>
      <c r="M693" s="166"/>
      <c r="N693" s="166"/>
      <c r="O693" s="166"/>
      <c r="P693" s="166"/>
      <c r="Q693" s="166"/>
      <c r="R693" s="166"/>
      <c r="S693" s="167"/>
      <c r="T693" s="167"/>
      <c r="U693" s="167"/>
      <c r="V693" s="167"/>
      <c r="W693" s="167"/>
      <c r="X693" s="164"/>
      <c r="Y693" s="164"/>
      <c r="Z693" s="172"/>
      <c r="AA693" s="188"/>
      <c r="AB693" s="172"/>
      <c r="AC693" s="172"/>
      <c r="AD693" s="175"/>
      <c r="AE693" s="62" t="s">
        <v>114</v>
      </c>
      <c r="AF693" s="133"/>
      <c r="AG693" s="65"/>
      <c r="AH693" s="64"/>
      <c r="AI693" s="64"/>
      <c r="AJ693" s="64"/>
      <c r="AK693" s="64"/>
      <c r="AL693" s="64"/>
      <c r="AM693" s="80" t="str">
        <f>IFERROR((Tablas!$C$1*VLOOKUP(AH693, tipo_control, 2, 0)+Tablas!$E$1*VLOOKUP(AI693, nat_control, 2, 0)+Tablas!$G$1*VLOOKUP(AJ693, ev_control, 2, 0)+Tablas!$I$1*VLOOKUP(AK693, frec_control, 2, 0)+Tablas!$K$1*VLOOKUP(AL693, doc_control, 2, 0))*0.1*peso_dis, "")</f>
        <v/>
      </c>
      <c r="AN693" s="64"/>
      <c r="AO693" s="64"/>
      <c r="AP693" s="64"/>
      <c r="AQ693" s="80" t="str">
        <f>IFERROR((Tablas!$C$9*VLOOKUP(AN693, amb_control, 2, 0)+Tablas!$E$9*VLOOKUP(AO693, ejec_control, 2, 0)+Tablas!$G$9*VLOOKUP(AP693, cub_control, 2, 0))*0.1*peso_ejec, "")</f>
        <v/>
      </c>
      <c r="AR693" s="91" t="str">
        <f t="shared" si="1142"/>
        <v/>
      </c>
      <c r="AS693" s="85" t="str">
        <f t="shared" si="1143"/>
        <v/>
      </c>
      <c r="AT693" s="85" t="str">
        <f t="shared" si="1144"/>
        <v/>
      </c>
      <c r="AU693" s="85" t="str">
        <f>IF(AR693&lt;Tablas!$G$19, 0, IF(AND(AR693&gt;=Tablas!$G$19, AR693&lt;Tablas!$G$20), 1,  IF(AND(AR693&gt;=Tablas!$G$20, AR693&lt;Tablas!$G$21), 2,  IF(AND(AR693&gt;=Tablas!$G$21, AR693&lt;=Tablas!$G$22), 3,  ""))))</f>
        <v/>
      </c>
      <c r="AV693" s="85" t="str">
        <f t="shared" si="1145"/>
        <v/>
      </c>
      <c r="AW693" s="101" t="str">
        <f t="shared" si="1146"/>
        <v/>
      </c>
      <c r="AX693" s="177"/>
      <c r="AY693" s="169"/>
      <c r="AZ693" s="158"/>
      <c r="BA693" s="169"/>
      <c r="BB693" s="182"/>
      <c r="BC693" s="182"/>
      <c r="BD693" s="185"/>
      <c r="BE693" s="185"/>
      <c r="BF693" s="158" t="str">
        <f t="shared" si="1206"/>
        <v/>
      </c>
      <c r="BG693" s="191"/>
    </row>
    <row r="694" spans="1:59" x14ac:dyDescent="0.25">
      <c r="A694" s="167"/>
      <c r="B694" s="167"/>
      <c r="C694" s="161"/>
      <c r="D694" s="160"/>
      <c r="E694" s="162"/>
      <c r="F694" s="164"/>
      <c r="G694" s="161"/>
      <c r="H694" s="161"/>
      <c r="I694" s="161"/>
      <c r="J694" s="161"/>
      <c r="K694" s="161"/>
      <c r="L694" s="166"/>
      <c r="M694" s="166"/>
      <c r="N694" s="166"/>
      <c r="O694" s="166"/>
      <c r="P694" s="166"/>
      <c r="Q694" s="166"/>
      <c r="R694" s="166"/>
      <c r="S694" s="167"/>
      <c r="T694" s="167"/>
      <c r="U694" s="167"/>
      <c r="V694" s="167"/>
      <c r="W694" s="167"/>
      <c r="X694" s="164"/>
      <c r="Y694" s="164"/>
      <c r="Z694" s="172"/>
      <c r="AA694" s="188"/>
      <c r="AB694" s="172"/>
      <c r="AC694" s="172"/>
      <c r="AD694" s="175"/>
      <c r="AE694" s="62" t="s">
        <v>115</v>
      </c>
      <c r="AF694" s="133"/>
      <c r="AG694" s="65"/>
      <c r="AH694" s="64"/>
      <c r="AI694" s="64"/>
      <c r="AJ694" s="64"/>
      <c r="AK694" s="64"/>
      <c r="AL694" s="64"/>
      <c r="AM694" s="80" t="str">
        <f>IFERROR((Tablas!$C$1*VLOOKUP(AH694, tipo_control, 2, 0)+Tablas!$E$1*VLOOKUP(AI694, nat_control, 2, 0)+Tablas!$G$1*VLOOKUP(AJ694, ev_control, 2, 0)+Tablas!$I$1*VLOOKUP(AK694, frec_control, 2, 0)+Tablas!$K$1*VLOOKUP(AL694, doc_control, 2, 0))*0.1*peso_dis, "")</f>
        <v/>
      </c>
      <c r="AN694" s="64"/>
      <c r="AO694" s="64"/>
      <c r="AP694" s="64"/>
      <c r="AQ694" s="80" t="str">
        <f>IFERROR((Tablas!$C$9*VLOOKUP(AN694, amb_control, 2, 0)+Tablas!$E$9*VLOOKUP(AO694, ejec_control, 2, 0)+Tablas!$G$9*VLOOKUP(AP694, cub_control, 2, 0))*0.1*peso_ejec, "")</f>
        <v/>
      </c>
      <c r="AR694" s="91" t="str">
        <f t="shared" si="1142"/>
        <v/>
      </c>
      <c r="AS694" s="85" t="str">
        <f t="shared" si="1143"/>
        <v/>
      </c>
      <c r="AT694" s="85" t="str">
        <f t="shared" si="1144"/>
        <v/>
      </c>
      <c r="AU694" s="85" t="str">
        <f>IF(AR694&lt;Tablas!$G$19, 0, IF(AND(AR694&gt;=Tablas!$G$19, AR694&lt;Tablas!$G$20), 1,  IF(AND(AR694&gt;=Tablas!$G$20, AR694&lt;Tablas!$G$21), 2,  IF(AND(AR694&gt;=Tablas!$G$21, AR694&lt;=Tablas!$G$22), 3,  ""))))</f>
        <v/>
      </c>
      <c r="AV694" s="85" t="str">
        <f t="shared" si="1145"/>
        <v/>
      </c>
      <c r="AW694" s="101" t="str">
        <f t="shared" si="1146"/>
        <v/>
      </c>
      <c r="AX694" s="177"/>
      <c r="AY694" s="169"/>
      <c r="AZ694" s="158"/>
      <c r="BA694" s="169"/>
      <c r="BB694" s="182"/>
      <c r="BC694" s="182"/>
      <c r="BD694" s="185"/>
      <c r="BE694" s="185"/>
      <c r="BF694" s="158" t="str">
        <f t="shared" si="1206"/>
        <v/>
      </c>
      <c r="BG694" s="191"/>
    </row>
    <row r="695" spans="1:59" x14ac:dyDescent="0.25">
      <c r="A695" s="167"/>
      <c r="B695" s="167"/>
      <c r="C695" s="161"/>
      <c r="D695" s="160"/>
      <c r="E695" s="162"/>
      <c r="F695" s="164"/>
      <c r="G695" s="161"/>
      <c r="H695" s="161"/>
      <c r="I695" s="161"/>
      <c r="J695" s="161"/>
      <c r="K695" s="161"/>
      <c r="L695" s="166"/>
      <c r="M695" s="166"/>
      <c r="N695" s="166"/>
      <c r="O695" s="166"/>
      <c r="P695" s="166"/>
      <c r="Q695" s="166"/>
      <c r="R695" s="166"/>
      <c r="S695" s="167"/>
      <c r="T695" s="167"/>
      <c r="U695" s="167"/>
      <c r="V695" s="167"/>
      <c r="W695" s="167"/>
      <c r="X695" s="164"/>
      <c r="Y695" s="164"/>
      <c r="Z695" s="172"/>
      <c r="AA695" s="188"/>
      <c r="AB695" s="172"/>
      <c r="AC695" s="172"/>
      <c r="AD695" s="175"/>
      <c r="AE695" s="62" t="s">
        <v>153</v>
      </c>
      <c r="AF695" s="133"/>
      <c r="AG695" s="65"/>
      <c r="AH695" s="64"/>
      <c r="AI695" s="64"/>
      <c r="AJ695" s="64"/>
      <c r="AK695" s="64"/>
      <c r="AL695" s="64"/>
      <c r="AM695" s="80" t="str">
        <f>IFERROR((Tablas!$C$1*VLOOKUP(AH695, tipo_control, 2, 0)+Tablas!$E$1*VLOOKUP(AI695, nat_control, 2, 0)+Tablas!$G$1*VLOOKUP(AJ695, ev_control, 2, 0)+Tablas!$I$1*VLOOKUP(AK695, frec_control, 2, 0)+Tablas!$K$1*VLOOKUP(AL695, doc_control, 2, 0))*0.1*peso_dis, "")</f>
        <v/>
      </c>
      <c r="AN695" s="64"/>
      <c r="AO695" s="64"/>
      <c r="AP695" s="64"/>
      <c r="AQ695" s="80" t="str">
        <f>IFERROR((Tablas!$C$9*VLOOKUP(AN695, amb_control, 2, 0)+Tablas!$E$9*VLOOKUP(AO695, ejec_control, 2, 0)+Tablas!$G$9*VLOOKUP(AP695, cub_control, 2, 0))*0.1*peso_ejec, "")</f>
        <v/>
      </c>
      <c r="AR695" s="91" t="str">
        <f t="shared" si="1142"/>
        <v/>
      </c>
      <c r="AS695" s="85" t="str">
        <f t="shared" si="1143"/>
        <v/>
      </c>
      <c r="AT695" s="85" t="str">
        <f t="shared" si="1144"/>
        <v/>
      </c>
      <c r="AU695" s="85" t="str">
        <f>IF(AR695&lt;Tablas!$G$19, 0, IF(AND(AR695&gt;=Tablas!$G$19, AR695&lt;Tablas!$G$20), 1,  IF(AND(AR695&gt;=Tablas!$G$20, AR695&lt;Tablas!$G$21), 2,  IF(AND(AR695&gt;=Tablas!$G$21, AR695&lt;=Tablas!$G$22), 3,  ""))))</f>
        <v/>
      </c>
      <c r="AV695" s="85" t="str">
        <f t="shared" si="1145"/>
        <v/>
      </c>
      <c r="AW695" s="101" t="str">
        <f t="shared" si="1146"/>
        <v/>
      </c>
      <c r="AX695" s="177"/>
      <c r="AY695" s="169"/>
      <c r="AZ695" s="158"/>
      <c r="BA695" s="169"/>
      <c r="BB695" s="182"/>
      <c r="BC695" s="182"/>
      <c r="BD695" s="185"/>
      <c r="BE695" s="185"/>
      <c r="BF695" s="158"/>
      <c r="BG695" s="191"/>
    </row>
    <row r="696" spans="1:59" ht="15.75" thickBot="1" x14ac:dyDescent="0.3">
      <c r="A696" s="167"/>
      <c r="B696" s="167"/>
      <c r="C696" s="161"/>
      <c r="D696" s="160"/>
      <c r="E696" s="162"/>
      <c r="F696" s="165"/>
      <c r="G696" s="161"/>
      <c r="H696" s="161"/>
      <c r="I696" s="161"/>
      <c r="J696" s="161"/>
      <c r="K696" s="161"/>
      <c r="L696" s="166"/>
      <c r="M696" s="166"/>
      <c r="N696" s="166"/>
      <c r="O696" s="166"/>
      <c r="P696" s="166"/>
      <c r="Q696" s="166"/>
      <c r="R696" s="166"/>
      <c r="S696" s="149"/>
      <c r="T696" s="149"/>
      <c r="U696" s="149"/>
      <c r="V696" s="149"/>
      <c r="W696" s="149"/>
      <c r="X696" s="165"/>
      <c r="Y696" s="165"/>
      <c r="Z696" s="172"/>
      <c r="AA696" s="188"/>
      <c r="AB696" s="172"/>
      <c r="AC696" s="172"/>
      <c r="AD696" s="175"/>
      <c r="AE696" s="66" t="s">
        <v>154</v>
      </c>
      <c r="AF696" s="134"/>
      <c r="AG696" s="67"/>
      <c r="AH696" s="69"/>
      <c r="AI696" s="69"/>
      <c r="AJ696" s="69"/>
      <c r="AK696" s="69"/>
      <c r="AL696" s="69"/>
      <c r="AM696" s="81" t="str">
        <f>IFERROR((Tablas!$C$1*VLOOKUP(AH696, tipo_control, 2, 0)+Tablas!$E$1*VLOOKUP(AI696, nat_control, 2, 0)+Tablas!$G$1*VLOOKUP(AJ696, ev_control, 2, 0)+Tablas!$I$1*VLOOKUP(AK696, frec_control, 2, 0)+Tablas!$K$1*VLOOKUP(AL696, doc_control, 2, 0))*0.1*peso_dis, "")</f>
        <v/>
      </c>
      <c r="AN696" s="69"/>
      <c r="AO696" s="69"/>
      <c r="AP696" s="69"/>
      <c r="AQ696" s="81" t="str">
        <f>IFERROR((Tablas!$C$9*VLOOKUP(AN696, amb_control, 2, 0)+Tablas!$E$9*VLOOKUP(AO696, ejec_control, 2, 0)+Tablas!$G$9*VLOOKUP(AP696, cub_control, 2, 0))*0.1*peso_ejec, "")</f>
        <v/>
      </c>
      <c r="AR696" s="93" t="str">
        <f t="shared" si="1142"/>
        <v/>
      </c>
      <c r="AS696" s="94" t="str">
        <f t="shared" si="1143"/>
        <v/>
      </c>
      <c r="AT696" s="94" t="str">
        <f t="shared" si="1144"/>
        <v/>
      </c>
      <c r="AU696" s="94" t="str">
        <f>IF(AR696&lt;Tablas!$G$19, 0, IF(AND(AR696&gt;=Tablas!$G$19, AR696&lt;Tablas!$G$20), 1,  IF(AND(AR696&gt;=Tablas!$G$20, AR696&lt;Tablas!$G$21), 2,  IF(AND(AR696&gt;=Tablas!$G$21, AR696&lt;=Tablas!$G$22), 3,  ""))))</f>
        <v/>
      </c>
      <c r="AV696" s="94" t="str">
        <f t="shared" si="1145"/>
        <v/>
      </c>
      <c r="AW696" s="102" t="str">
        <f t="shared" si="1146"/>
        <v/>
      </c>
      <c r="AX696" s="157"/>
      <c r="AY696" s="170"/>
      <c r="AZ696" s="179"/>
      <c r="BA696" s="170"/>
      <c r="BB696" s="182"/>
      <c r="BC696" s="182"/>
      <c r="BD696" s="185"/>
      <c r="BE696" s="185"/>
      <c r="BF696" s="159"/>
      <c r="BG696" s="191"/>
    </row>
    <row r="697" spans="1:59" x14ac:dyDescent="0.25">
      <c r="A697" s="167"/>
      <c r="B697" s="167"/>
      <c r="C697" s="161" t="s">
        <v>182</v>
      </c>
      <c r="D697" s="160" t="s">
        <v>158</v>
      </c>
      <c r="E697" s="162"/>
      <c r="F697" s="163" t="str">
        <f t="shared" si="1138"/>
        <v/>
      </c>
      <c r="G697" s="149"/>
      <c r="H697" s="149"/>
      <c r="I697" s="149"/>
      <c r="J697" s="149"/>
      <c r="K697" s="149"/>
      <c r="L697" s="165" t="str">
        <f t="shared" ref="L697" si="1207">IFERROR(VLOOKUP(G697, tabla02, 2, 0), "")</f>
        <v/>
      </c>
      <c r="M697" s="165" t="str">
        <f t="shared" ref="M697" si="1208">IFERROR(VLOOKUP(H697, tabla02, 2, 0), "")</f>
        <v/>
      </c>
      <c r="N697" s="165" t="str">
        <f t="shared" ref="N697" si="1209">IFERROR(VLOOKUP(I697, tabla02, 2, 0), "")</f>
        <v/>
      </c>
      <c r="O697" s="165" t="str">
        <f t="shared" ref="O697" si="1210">IFERROR(VLOOKUP(J697, tabla02, 2, 0), "")</f>
        <v/>
      </c>
      <c r="P697" s="165" t="str">
        <f t="shared" ref="P697" si="1211">IFERROR(VLOOKUP(K697, tabla02, 2, 0), "")</f>
        <v/>
      </c>
      <c r="Q697" s="165" t="str">
        <f t="shared" ref="Q697" si="1212">IF(SUM(L697:O701)=0, "", MAX(L697:P697))</f>
        <v/>
      </c>
      <c r="R697" s="165" t="str">
        <f>IFERROR(VLOOKUP(Q697, tabla04, 3, 0), "")</f>
        <v/>
      </c>
      <c r="S697" s="148"/>
      <c r="T697" s="148"/>
      <c r="U697" s="148"/>
      <c r="V697" s="148"/>
      <c r="W697" s="148"/>
      <c r="X697" s="163" t="str">
        <f>IFERROR(VLOOKUP(CONCATENATE(F697, "-", Q697), cuadrante_sev, 3, 0), "")</f>
        <v/>
      </c>
      <c r="Y697" s="163" t="str">
        <f t="shared" ref="Y697" si="1213">IFERROR(IF(X697="Baja", 1, IF(X697="Moderada", 2, IF(X697="Alta", 3, IF(X697="Extrema", 4, "")))), "")</f>
        <v/>
      </c>
      <c r="Z697" s="172"/>
      <c r="AA697" s="188"/>
      <c r="AB697" s="172"/>
      <c r="AC697" s="172"/>
      <c r="AD697" s="175"/>
      <c r="AE697" s="70" t="s">
        <v>113</v>
      </c>
      <c r="AF697" s="135"/>
      <c r="AG697" s="74"/>
      <c r="AH697" s="72"/>
      <c r="AI697" s="72"/>
      <c r="AJ697" s="72"/>
      <c r="AK697" s="72"/>
      <c r="AL697" s="72"/>
      <c r="AM697" s="82" t="str">
        <f>IFERROR((Tablas!$C$1*VLOOKUP(AH697, tipo_control, 2, 0)+Tablas!$E$1*VLOOKUP(AI697, nat_control, 2, 0)+Tablas!$G$1*VLOOKUP(AJ697, ev_control, 2, 0)+Tablas!$I$1*VLOOKUP(AK697, frec_control, 2, 0)+Tablas!$K$1*VLOOKUP(AL697, doc_control, 2, 0))*0.1*peso_dis, "")</f>
        <v/>
      </c>
      <c r="AN697" s="72"/>
      <c r="AO697" s="72"/>
      <c r="AP697" s="72"/>
      <c r="AQ697" s="82" t="str">
        <f>IFERROR((Tablas!$C$9*VLOOKUP(AN697, amb_control, 2, 0)+Tablas!$E$9*VLOOKUP(AO697, ejec_control, 2, 0)+Tablas!$G$9*VLOOKUP(AP697, cub_control, 2, 0))*0.1*peso_ejec, "")</f>
        <v/>
      </c>
      <c r="AR697" s="96" t="str">
        <f t="shared" si="1142"/>
        <v/>
      </c>
      <c r="AS697" s="97" t="str">
        <f t="shared" si="1143"/>
        <v/>
      </c>
      <c r="AT697" s="87" t="str">
        <f t="shared" si="1144"/>
        <v/>
      </c>
      <c r="AU697" s="97" t="str">
        <f>IF(AR697&lt;Tablas!$G$19, 0, IF(AND(AR697&gt;=Tablas!$G$19, AR697&lt;Tablas!$G$20), 1,  IF(AND(AR697&gt;=Tablas!$G$20, AR697&lt;Tablas!$G$21), 2,  IF(AND(AR697&gt;=Tablas!$G$21, AR697&lt;=Tablas!$G$22), 3,  ""))))</f>
        <v/>
      </c>
      <c r="AV697" s="97" t="str">
        <f t="shared" si="1145"/>
        <v/>
      </c>
      <c r="AW697" s="103" t="str">
        <f t="shared" si="1146"/>
        <v/>
      </c>
      <c r="AX697" s="176" t="str">
        <f t="shared" ref="AX697" si="1214">IFERROR(VLOOKUP(AY697, tabla04, 2, 0), "")</f>
        <v/>
      </c>
      <c r="AY697" s="168" t="str">
        <f>IF(F697="", "", IF((F697-MAX(AV697:AV701))&lt;=0, 1, F697-MAX(AV697:AV701)))</f>
        <v/>
      </c>
      <c r="AZ697" s="178" t="str">
        <f t="shared" ref="AZ697" si="1215">IFERROR(VLOOKUP(BA697, tabla04, 3, 0), "")</f>
        <v/>
      </c>
      <c r="BA697" s="168" t="str">
        <f>IF(Q697="", "", IF((Q697-MAX(AW697:AW701))&lt;=0, 1, Q697-MAX(AW697:AW701)))</f>
        <v/>
      </c>
      <c r="BB697" s="182"/>
      <c r="BC697" s="182"/>
      <c r="BD697" s="185"/>
      <c r="BE697" s="185"/>
      <c r="BF697" s="158" t="str">
        <f t="shared" ref="BF697:BF699" si="1216">IFERROR(VLOOKUP(CONCATENATE(AY697, "-", BA697), cuadrante_sev, 3, 0), "")</f>
        <v/>
      </c>
      <c r="BG697" s="191"/>
    </row>
    <row r="698" spans="1:59" x14ac:dyDescent="0.25">
      <c r="A698" s="167"/>
      <c r="B698" s="167"/>
      <c r="C698" s="161"/>
      <c r="D698" s="160"/>
      <c r="E698" s="162"/>
      <c r="F698" s="164"/>
      <c r="G698" s="161"/>
      <c r="H698" s="161"/>
      <c r="I698" s="161"/>
      <c r="J698" s="161"/>
      <c r="K698" s="161"/>
      <c r="L698" s="166"/>
      <c r="M698" s="166"/>
      <c r="N698" s="166"/>
      <c r="O698" s="166"/>
      <c r="P698" s="166"/>
      <c r="Q698" s="166"/>
      <c r="R698" s="166"/>
      <c r="S698" s="167"/>
      <c r="T698" s="167"/>
      <c r="U698" s="167"/>
      <c r="V698" s="167"/>
      <c r="W698" s="167"/>
      <c r="X698" s="164"/>
      <c r="Y698" s="164"/>
      <c r="Z698" s="172"/>
      <c r="AA698" s="188"/>
      <c r="AB698" s="172"/>
      <c r="AC698" s="172"/>
      <c r="AD698" s="175"/>
      <c r="AE698" s="62" t="s">
        <v>114</v>
      </c>
      <c r="AF698" s="133"/>
      <c r="AG698" s="65"/>
      <c r="AH698" s="64"/>
      <c r="AI698" s="64"/>
      <c r="AJ698" s="64"/>
      <c r="AK698" s="64"/>
      <c r="AL698" s="64"/>
      <c r="AM698" s="80" t="str">
        <f>IFERROR((Tablas!$C$1*VLOOKUP(AH698, tipo_control, 2, 0)+Tablas!$E$1*VLOOKUP(AI698, nat_control, 2, 0)+Tablas!$G$1*VLOOKUP(AJ698, ev_control, 2, 0)+Tablas!$I$1*VLOOKUP(AK698, frec_control, 2, 0)+Tablas!$K$1*VLOOKUP(AL698, doc_control, 2, 0))*0.1*peso_dis, "")</f>
        <v/>
      </c>
      <c r="AN698" s="64"/>
      <c r="AO698" s="64"/>
      <c r="AP698" s="64"/>
      <c r="AQ698" s="80" t="str">
        <f>IFERROR((Tablas!$C$9*VLOOKUP(AN698, amb_control, 2, 0)+Tablas!$E$9*VLOOKUP(AO698, ejec_control, 2, 0)+Tablas!$G$9*VLOOKUP(AP698, cub_control, 2, 0))*0.1*peso_ejec, "")</f>
        <v/>
      </c>
      <c r="AR698" s="91" t="str">
        <f t="shared" si="1142"/>
        <v/>
      </c>
      <c r="AS698" s="85" t="str">
        <f t="shared" si="1143"/>
        <v/>
      </c>
      <c r="AT698" s="85" t="str">
        <f t="shared" si="1144"/>
        <v/>
      </c>
      <c r="AU698" s="85" t="str">
        <f>IF(AR698&lt;Tablas!$G$19, 0, IF(AND(AR698&gt;=Tablas!$G$19, AR698&lt;Tablas!$G$20), 1,  IF(AND(AR698&gt;=Tablas!$G$20, AR698&lt;Tablas!$G$21), 2,  IF(AND(AR698&gt;=Tablas!$G$21, AR698&lt;=Tablas!$G$22), 3,  ""))))</f>
        <v/>
      </c>
      <c r="AV698" s="85" t="str">
        <f t="shared" si="1145"/>
        <v/>
      </c>
      <c r="AW698" s="101" t="str">
        <f t="shared" si="1146"/>
        <v/>
      </c>
      <c r="AX698" s="177"/>
      <c r="AY698" s="169"/>
      <c r="AZ698" s="158"/>
      <c r="BA698" s="169"/>
      <c r="BB698" s="182"/>
      <c r="BC698" s="182"/>
      <c r="BD698" s="185"/>
      <c r="BE698" s="185"/>
      <c r="BF698" s="158" t="str">
        <f t="shared" si="1216"/>
        <v/>
      </c>
      <c r="BG698" s="191"/>
    </row>
    <row r="699" spans="1:59" x14ac:dyDescent="0.25">
      <c r="A699" s="167"/>
      <c r="B699" s="167"/>
      <c r="C699" s="161"/>
      <c r="D699" s="160"/>
      <c r="E699" s="162"/>
      <c r="F699" s="164"/>
      <c r="G699" s="161"/>
      <c r="H699" s="161"/>
      <c r="I699" s="161"/>
      <c r="J699" s="161"/>
      <c r="K699" s="161"/>
      <c r="L699" s="166"/>
      <c r="M699" s="166"/>
      <c r="N699" s="166"/>
      <c r="O699" s="166"/>
      <c r="P699" s="166"/>
      <c r="Q699" s="166"/>
      <c r="R699" s="166"/>
      <c r="S699" s="167"/>
      <c r="T699" s="167"/>
      <c r="U699" s="167"/>
      <c r="V699" s="167"/>
      <c r="W699" s="167"/>
      <c r="X699" s="164"/>
      <c r="Y699" s="164"/>
      <c r="Z699" s="172"/>
      <c r="AA699" s="188"/>
      <c r="AB699" s="172"/>
      <c r="AC699" s="172"/>
      <c r="AD699" s="175"/>
      <c r="AE699" s="62" t="s">
        <v>115</v>
      </c>
      <c r="AF699" s="133"/>
      <c r="AG699" s="65"/>
      <c r="AH699" s="64"/>
      <c r="AI699" s="64"/>
      <c r="AJ699" s="64"/>
      <c r="AK699" s="64"/>
      <c r="AL699" s="64"/>
      <c r="AM699" s="80" t="str">
        <f>IFERROR((Tablas!$C$1*VLOOKUP(AH699, tipo_control, 2, 0)+Tablas!$E$1*VLOOKUP(AI699, nat_control, 2, 0)+Tablas!$G$1*VLOOKUP(AJ699, ev_control, 2, 0)+Tablas!$I$1*VLOOKUP(AK699, frec_control, 2, 0)+Tablas!$K$1*VLOOKUP(AL699, doc_control, 2, 0))*0.1*peso_dis, "")</f>
        <v/>
      </c>
      <c r="AN699" s="64"/>
      <c r="AO699" s="64"/>
      <c r="AP699" s="64"/>
      <c r="AQ699" s="80" t="str">
        <f>IFERROR((Tablas!$C$9*VLOOKUP(AN699, amb_control, 2, 0)+Tablas!$E$9*VLOOKUP(AO699, ejec_control, 2, 0)+Tablas!$G$9*VLOOKUP(AP699, cub_control, 2, 0))*0.1*peso_ejec, "")</f>
        <v/>
      </c>
      <c r="AR699" s="91" t="str">
        <f t="shared" si="1142"/>
        <v/>
      </c>
      <c r="AS699" s="85" t="str">
        <f t="shared" si="1143"/>
        <v/>
      </c>
      <c r="AT699" s="85" t="str">
        <f t="shared" si="1144"/>
        <v/>
      </c>
      <c r="AU699" s="85" t="str">
        <f>IF(AR699&lt;Tablas!$G$19, 0, IF(AND(AR699&gt;=Tablas!$G$19, AR699&lt;Tablas!$G$20), 1,  IF(AND(AR699&gt;=Tablas!$G$20, AR699&lt;Tablas!$G$21), 2,  IF(AND(AR699&gt;=Tablas!$G$21, AR699&lt;=Tablas!$G$22), 3,  ""))))</f>
        <v/>
      </c>
      <c r="AV699" s="85" t="str">
        <f t="shared" si="1145"/>
        <v/>
      </c>
      <c r="AW699" s="101" t="str">
        <f t="shared" si="1146"/>
        <v/>
      </c>
      <c r="AX699" s="177"/>
      <c r="AY699" s="169"/>
      <c r="AZ699" s="158"/>
      <c r="BA699" s="169"/>
      <c r="BB699" s="182"/>
      <c r="BC699" s="182"/>
      <c r="BD699" s="185"/>
      <c r="BE699" s="185"/>
      <c r="BF699" s="158" t="str">
        <f t="shared" si="1216"/>
        <v/>
      </c>
      <c r="BG699" s="191"/>
    </row>
    <row r="700" spans="1:59" x14ac:dyDescent="0.25">
      <c r="A700" s="167"/>
      <c r="B700" s="167"/>
      <c r="C700" s="161"/>
      <c r="D700" s="160"/>
      <c r="E700" s="162"/>
      <c r="F700" s="164"/>
      <c r="G700" s="161"/>
      <c r="H700" s="161"/>
      <c r="I700" s="161"/>
      <c r="J700" s="161"/>
      <c r="K700" s="161"/>
      <c r="L700" s="166"/>
      <c r="M700" s="166"/>
      <c r="N700" s="166"/>
      <c r="O700" s="166"/>
      <c r="P700" s="166"/>
      <c r="Q700" s="166"/>
      <c r="R700" s="166"/>
      <c r="S700" s="167"/>
      <c r="T700" s="167"/>
      <c r="U700" s="167"/>
      <c r="V700" s="167"/>
      <c r="W700" s="167"/>
      <c r="X700" s="164"/>
      <c r="Y700" s="164"/>
      <c r="Z700" s="172"/>
      <c r="AA700" s="188"/>
      <c r="AB700" s="172"/>
      <c r="AC700" s="172"/>
      <c r="AD700" s="175"/>
      <c r="AE700" s="62" t="s">
        <v>153</v>
      </c>
      <c r="AF700" s="133"/>
      <c r="AG700" s="65"/>
      <c r="AH700" s="64"/>
      <c r="AI700" s="64"/>
      <c r="AJ700" s="64"/>
      <c r="AK700" s="64"/>
      <c r="AL700" s="64"/>
      <c r="AM700" s="80" t="str">
        <f>IFERROR((Tablas!$C$1*VLOOKUP(AH700, tipo_control, 2, 0)+Tablas!$E$1*VLOOKUP(AI700, nat_control, 2, 0)+Tablas!$G$1*VLOOKUP(AJ700, ev_control, 2, 0)+Tablas!$I$1*VLOOKUP(AK700, frec_control, 2, 0)+Tablas!$K$1*VLOOKUP(AL700, doc_control, 2, 0))*0.1*peso_dis, "")</f>
        <v/>
      </c>
      <c r="AN700" s="64"/>
      <c r="AO700" s="64"/>
      <c r="AP700" s="64"/>
      <c r="AQ700" s="80" t="str">
        <f>IFERROR((Tablas!$C$9*VLOOKUP(AN700, amb_control, 2, 0)+Tablas!$E$9*VLOOKUP(AO700, ejec_control, 2, 0)+Tablas!$G$9*VLOOKUP(AP700, cub_control, 2, 0))*0.1*peso_ejec, "")</f>
        <v/>
      </c>
      <c r="AR700" s="91" t="str">
        <f t="shared" si="1142"/>
        <v/>
      </c>
      <c r="AS700" s="85" t="str">
        <f t="shared" si="1143"/>
        <v/>
      </c>
      <c r="AT700" s="85" t="str">
        <f t="shared" si="1144"/>
        <v/>
      </c>
      <c r="AU700" s="85" t="str">
        <f>IF(AR700&lt;Tablas!$G$19, 0, IF(AND(AR700&gt;=Tablas!$G$19, AR700&lt;Tablas!$G$20), 1,  IF(AND(AR700&gt;=Tablas!$G$20, AR700&lt;Tablas!$G$21), 2,  IF(AND(AR700&gt;=Tablas!$G$21, AR700&lt;=Tablas!$G$22), 3,  ""))))</f>
        <v/>
      </c>
      <c r="AV700" s="85" t="str">
        <f t="shared" si="1145"/>
        <v/>
      </c>
      <c r="AW700" s="101" t="str">
        <f t="shared" si="1146"/>
        <v/>
      </c>
      <c r="AX700" s="177"/>
      <c r="AY700" s="169"/>
      <c r="AZ700" s="158"/>
      <c r="BA700" s="169"/>
      <c r="BB700" s="182"/>
      <c r="BC700" s="182"/>
      <c r="BD700" s="185"/>
      <c r="BE700" s="185"/>
      <c r="BF700" s="158"/>
      <c r="BG700" s="191"/>
    </row>
    <row r="701" spans="1:59" ht="15.75" thickBot="1" x14ac:dyDescent="0.3">
      <c r="A701" s="167"/>
      <c r="B701" s="167"/>
      <c r="C701" s="161"/>
      <c r="D701" s="160"/>
      <c r="E701" s="162"/>
      <c r="F701" s="165"/>
      <c r="G701" s="161"/>
      <c r="H701" s="161"/>
      <c r="I701" s="161"/>
      <c r="J701" s="161"/>
      <c r="K701" s="161"/>
      <c r="L701" s="166"/>
      <c r="M701" s="166"/>
      <c r="N701" s="166"/>
      <c r="O701" s="166"/>
      <c r="P701" s="166"/>
      <c r="Q701" s="166"/>
      <c r="R701" s="166"/>
      <c r="S701" s="149"/>
      <c r="T701" s="149"/>
      <c r="U701" s="149"/>
      <c r="V701" s="149"/>
      <c r="W701" s="149"/>
      <c r="X701" s="165"/>
      <c r="Y701" s="165"/>
      <c r="Z701" s="172"/>
      <c r="AA701" s="188"/>
      <c r="AB701" s="172"/>
      <c r="AC701" s="172"/>
      <c r="AD701" s="175"/>
      <c r="AE701" s="66" t="s">
        <v>154</v>
      </c>
      <c r="AF701" s="134"/>
      <c r="AG701" s="67"/>
      <c r="AH701" s="69"/>
      <c r="AI701" s="69"/>
      <c r="AJ701" s="69"/>
      <c r="AK701" s="69"/>
      <c r="AL701" s="69"/>
      <c r="AM701" s="81" t="str">
        <f>IFERROR((Tablas!$C$1*VLOOKUP(AH701, tipo_control, 2, 0)+Tablas!$E$1*VLOOKUP(AI701, nat_control, 2, 0)+Tablas!$G$1*VLOOKUP(AJ701, ev_control, 2, 0)+Tablas!$I$1*VLOOKUP(AK701, frec_control, 2, 0)+Tablas!$K$1*VLOOKUP(AL701, doc_control, 2, 0))*0.1*peso_dis, "")</f>
        <v/>
      </c>
      <c r="AN701" s="69"/>
      <c r="AO701" s="69"/>
      <c r="AP701" s="69"/>
      <c r="AQ701" s="81" t="str">
        <f>IFERROR((Tablas!$C$9*VLOOKUP(AN701, amb_control, 2, 0)+Tablas!$E$9*VLOOKUP(AO701, ejec_control, 2, 0)+Tablas!$G$9*VLOOKUP(AP701, cub_control, 2, 0))*0.1*peso_ejec, "")</f>
        <v/>
      </c>
      <c r="AR701" s="93" t="str">
        <f t="shared" si="1142"/>
        <v/>
      </c>
      <c r="AS701" s="94" t="str">
        <f t="shared" si="1143"/>
        <v/>
      </c>
      <c r="AT701" s="94" t="str">
        <f t="shared" si="1144"/>
        <v/>
      </c>
      <c r="AU701" s="94" t="str">
        <f>IF(AR701&lt;Tablas!$G$19, 0, IF(AND(AR701&gt;=Tablas!$G$19, AR701&lt;Tablas!$G$20), 1,  IF(AND(AR701&gt;=Tablas!$G$20, AR701&lt;Tablas!$G$21), 2,  IF(AND(AR701&gt;=Tablas!$G$21, AR701&lt;=Tablas!$G$22), 3,  ""))))</f>
        <v/>
      </c>
      <c r="AV701" s="94" t="str">
        <f t="shared" si="1145"/>
        <v/>
      </c>
      <c r="AW701" s="102" t="str">
        <f t="shared" si="1146"/>
        <v/>
      </c>
      <c r="AX701" s="157"/>
      <c r="AY701" s="170"/>
      <c r="AZ701" s="179"/>
      <c r="BA701" s="170"/>
      <c r="BB701" s="182"/>
      <c r="BC701" s="182"/>
      <c r="BD701" s="185"/>
      <c r="BE701" s="185"/>
      <c r="BF701" s="159"/>
      <c r="BG701" s="191"/>
    </row>
    <row r="702" spans="1:59" x14ac:dyDescent="0.25">
      <c r="A702" s="167"/>
      <c r="B702" s="167"/>
      <c r="C702" s="161" t="s">
        <v>183</v>
      </c>
      <c r="D702" s="160" t="s">
        <v>158</v>
      </c>
      <c r="E702" s="162"/>
      <c r="F702" s="163" t="str">
        <f t="shared" si="1138"/>
        <v/>
      </c>
      <c r="G702" s="149"/>
      <c r="H702" s="149"/>
      <c r="I702" s="149"/>
      <c r="J702" s="149"/>
      <c r="K702" s="149"/>
      <c r="L702" s="165" t="str">
        <f t="shared" ref="L702" si="1217">IFERROR(VLOOKUP(G702, tabla02, 2, 0), "")</f>
        <v/>
      </c>
      <c r="M702" s="165" t="str">
        <f t="shared" ref="M702" si="1218">IFERROR(VLOOKUP(H702, tabla02, 2, 0), "")</f>
        <v/>
      </c>
      <c r="N702" s="165" t="str">
        <f t="shared" ref="N702" si="1219">IFERROR(VLOOKUP(I702, tabla02, 2, 0), "")</f>
        <v/>
      </c>
      <c r="O702" s="165" t="str">
        <f t="shared" ref="O702" si="1220">IFERROR(VLOOKUP(J702, tabla02, 2, 0), "")</f>
        <v/>
      </c>
      <c r="P702" s="165" t="str">
        <f t="shared" ref="P702" si="1221">IFERROR(VLOOKUP(K702, tabla02, 2, 0), "")</f>
        <v/>
      </c>
      <c r="Q702" s="165" t="str">
        <f t="shared" ref="Q702" si="1222">IF(SUM(L702:O706)=0, "", MAX(L702:P702))</f>
        <v/>
      </c>
      <c r="R702" s="165" t="str">
        <f>IFERROR(VLOOKUP(Q702, tabla04, 3, 0), "")</f>
        <v/>
      </c>
      <c r="S702" s="148"/>
      <c r="T702" s="148"/>
      <c r="U702" s="148"/>
      <c r="V702" s="148"/>
      <c r="W702" s="148"/>
      <c r="X702" s="163" t="str">
        <f>IFERROR(VLOOKUP(CONCATENATE(F702, "-", Q702), cuadrante_sev, 3, 0), "")</f>
        <v/>
      </c>
      <c r="Y702" s="163" t="str">
        <f t="shared" ref="Y702" si="1223">IFERROR(IF(X702="Baja", 1, IF(X702="Moderada", 2, IF(X702="Alta", 3, IF(X702="Extrema", 4, "")))), "")</f>
        <v/>
      </c>
      <c r="Z702" s="172"/>
      <c r="AA702" s="188"/>
      <c r="AB702" s="172"/>
      <c r="AC702" s="172"/>
      <c r="AD702" s="175"/>
      <c r="AE702" s="70" t="s">
        <v>113</v>
      </c>
      <c r="AF702" s="135"/>
      <c r="AG702" s="74"/>
      <c r="AH702" s="72"/>
      <c r="AI702" s="72"/>
      <c r="AJ702" s="72"/>
      <c r="AK702" s="72"/>
      <c r="AL702" s="72"/>
      <c r="AM702" s="82" t="str">
        <f>IFERROR((Tablas!$C$1*VLOOKUP(AH702, tipo_control, 2, 0)+Tablas!$E$1*VLOOKUP(AI702, nat_control, 2, 0)+Tablas!$G$1*VLOOKUP(AJ702, ev_control, 2, 0)+Tablas!$I$1*VLOOKUP(AK702, frec_control, 2, 0)+Tablas!$K$1*VLOOKUP(AL702, doc_control, 2, 0))*0.1*peso_dis, "")</f>
        <v/>
      </c>
      <c r="AN702" s="72"/>
      <c r="AO702" s="72"/>
      <c r="AP702" s="72"/>
      <c r="AQ702" s="82" t="str">
        <f>IFERROR((Tablas!$C$9*VLOOKUP(AN702, amb_control, 2, 0)+Tablas!$E$9*VLOOKUP(AO702, ejec_control, 2, 0)+Tablas!$G$9*VLOOKUP(AP702, cub_control, 2, 0))*0.1*peso_ejec, "")</f>
        <v/>
      </c>
      <c r="AR702" s="96" t="str">
        <f t="shared" si="1142"/>
        <v/>
      </c>
      <c r="AS702" s="97" t="str">
        <f t="shared" si="1143"/>
        <v/>
      </c>
      <c r="AT702" s="87" t="str">
        <f t="shared" si="1144"/>
        <v/>
      </c>
      <c r="AU702" s="97" t="str">
        <f>IF(AR702&lt;Tablas!$G$19, 0, IF(AND(AR702&gt;=Tablas!$G$19, AR702&lt;Tablas!$G$20), 1,  IF(AND(AR702&gt;=Tablas!$G$20, AR702&lt;Tablas!$G$21), 2,  IF(AND(AR702&gt;=Tablas!$G$21, AR702&lt;=Tablas!$G$22), 3,  ""))))</f>
        <v/>
      </c>
      <c r="AV702" s="97" t="str">
        <f t="shared" si="1145"/>
        <v/>
      </c>
      <c r="AW702" s="103" t="str">
        <f t="shared" si="1146"/>
        <v/>
      </c>
      <c r="AX702" s="176" t="str">
        <f t="shared" ref="AX702" si="1224">IFERROR(VLOOKUP(AY702, tabla04, 2, 0), "")</f>
        <v/>
      </c>
      <c r="AY702" s="168" t="str">
        <f>IF(F702="", "", IF((F702-MAX(AV702:AV706))&lt;=0, 1, F702-MAX(AV702:AV706)))</f>
        <v/>
      </c>
      <c r="AZ702" s="178" t="str">
        <f t="shared" ref="AZ702" si="1225">IFERROR(VLOOKUP(BA702, tabla04, 3, 0), "")</f>
        <v/>
      </c>
      <c r="BA702" s="168" t="str">
        <f>IF(Q702="", "", IF((Q702-MAX(AW702:AW706))&lt;=0, 1, Q702-MAX(AW702:AW706)))</f>
        <v/>
      </c>
      <c r="BB702" s="182"/>
      <c r="BC702" s="182"/>
      <c r="BD702" s="185"/>
      <c r="BE702" s="185"/>
      <c r="BF702" s="158" t="str">
        <f t="shared" ref="BF702:BF704" si="1226">IFERROR(VLOOKUP(CONCATENATE(AY702, "-", BA702), cuadrante_sev, 3, 0), "")</f>
        <v/>
      </c>
      <c r="BG702" s="191"/>
    </row>
    <row r="703" spans="1:59" x14ac:dyDescent="0.25">
      <c r="A703" s="167"/>
      <c r="B703" s="167"/>
      <c r="C703" s="161"/>
      <c r="D703" s="160"/>
      <c r="E703" s="162"/>
      <c r="F703" s="164"/>
      <c r="G703" s="161"/>
      <c r="H703" s="161"/>
      <c r="I703" s="161"/>
      <c r="J703" s="161"/>
      <c r="K703" s="161"/>
      <c r="L703" s="166"/>
      <c r="M703" s="166"/>
      <c r="N703" s="166"/>
      <c r="O703" s="166"/>
      <c r="P703" s="166"/>
      <c r="Q703" s="166"/>
      <c r="R703" s="166"/>
      <c r="S703" s="167"/>
      <c r="T703" s="167"/>
      <c r="U703" s="167"/>
      <c r="V703" s="167"/>
      <c r="W703" s="167"/>
      <c r="X703" s="164"/>
      <c r="Y703" s="164"/>
      <c r="Z703" s="172"/>
      <c r="AA703" s="188"/>
      <c r="AB703" s="172"/>
      <c r="AC703" s="172"/>
      <c r="AD703" s="175"/>
      <c r="AE703" s="62" t="s">
        <v>114</v>
      </c>
      <c r="AF703" s="133"/>
      <c r="AG703" s="65"/>
      <c r="AH703" s="64"/>
      <c r="AI703" s="64"/>
      <c r="AJ703" s="64"/>
      <c r="AK703" s="64"/>
      <c r="AL703" s="64"/>
      <c r="AM703" s="80" t="str">
        <f>IFERROR((Tablas!$C$1*VLOOKUP(AH703, tipo_control, 2, 0)+Tablas!$E$1*VLOOKUP(AI703, nat_control, 2, 0)+Tablas!$G$1*VLOOKUP(AJ703, ev_control, 2, 0)+Tablas!$I$1*VLOOKUP(AK703, frec_control, 2, 0)+Tablas!$K$1*VLOOKUP(AL703, doc_control, 2, 0))*0.1*peso_dis, "")</f>
        <v/>
      </c>
      <c r="AN703" s="64"/>
      <c r="AO703" s="64"/>
      <c r="AP703" s="64"/>
      <c r="AQ703" s="80" t="str">
        <f>IFERROR((Tablas!$C$9*VLOOKUP(AN703, amb_control, 2, 0)+Tablas!$E$9*VLOOKUP(AO703, ejec_control, 2, 0)+Tablas!$G$9*VLOOKUP(AP703, cub_control, 2, 0))*0.1*peso_ejec, "")</f>
        <v/>
      </c>
      <c r="AR703" s="91" t="str">
        <f t="shared" si="1142"/>
        <v/>
      </c>
      <c r="AS703" s="85" t="str">
        <f t="shared" si="1143"/>
        <v/>
      </c>
      <c r="AT703" s="85" t="str">
        <f t="shared" si="1144"/>
        <v/>
      </c>
      <c r="AU703" s="85" t="str">
        <f>IF(AR703&lt;Tablas!$G$19, 0, IF(AND(AR703&gt;=Tablas!$G$19, AR703&lt;Tablas!$G$20), 1,  IF(AND(AR703&gt;=Tablas!$G$20, AR703&lt;Tablas!$G$21), 2,  IF(AND(AR703&gt;=Tablas!$G$21, AR703&lt;=Tablas!$G$22), 3,  ""))))</f>
        <v/>
      </c>
      <c r="AV703" s="85" t="str">
        <f t="shared" si="1145"/>
        <v/>
      </c>
      <c r="AW703" s="101" t="str">
        <f t="shared" si="1146"/>
        <v/>
      </c>
      <c r="AX703" s="177"/>
      <c r="AY703" s="169"/>
      <c r="AZ703" s="158"/>
      <c r="BA703" s="169"/>
      <c r="BB703" s="182"/>
      <c r="BC703" s="182"/>
      <c r="BD703" s="185"/>
      <c r="BE703" s="185"/>
      <c r="BF703" s="158" t="str">
        <f t="shared" si="1226"/>
        <v/>
      </c>
      <c r="BG703" s="191"/>
    </row>
    <row r="704" spans="1:59" x14ac:dyDescent="0.25">
      <c r="A704" s="167"/>
      <c r="B704" s="167"/>
      <c r="C704" s="161"/>
      <c r="D704" s="160"/>
      <c r="E704" s="162"/>
      <c r="F704" s="164"/>
      <c r="G704" s="161"/>
      <c r="H704" s="161"/>
      <c r="I704" s="161"/>
      <c r="J704" s="161"/>
      <c r="K704" s="161"/>
      <c r="L704" s="166"/>
      <c r="M704" s="166"/>
      <c r="N704" s="166"/>
      <c r="O704" s="166"/>
      <c r="P704" s="166"/>
      <c r="Q704" s="166"/>
      <c r="R704" s="166"/>
      <c r="S704" s="167"/>
      <c r="T704" s="167"/>
      <c r="U704" s="167"/>
      <c r="V704" s="167"/>
      <c r="W704" s="167"/>
      <c r="X704" s="164"/>
      <c r="Y704" s="164"/>
      <c r="Z704" s="172"/>
      <c r="AA704" s="188"/>
      <c r="AB704" s="172"/>
      <c r="AC704" s="172"/>
      <c r="AD704" s="175"/>
      <c r="AE704" s="62" t="s">
        <v>115</v>
      </c>
      <c r="AF704" s="133"/>
      <c r="AG704" s="65"/>
      <c r="AH704" s="64"/>
      <c r="AI704" s="64"/>
      <c r="AJ704" s="64"/>
      <c r="AK704" s="64"/>
      <c r="AL704" s="64"/>
      <c r="AM704" s="80" t="str">
        <f>IFERROR((Tablas!$C$1*VLOOKUP(AH704, tipo_control, 2, 0)+Tablas!$E$1*VLOOKUP(AI704, nat_control, 2, 0)+Tablas!$G$1*VLOOKUP(AJ704, ev_control, 2, 0)+Tablas!$I$1*VLOOKUP(AK704, frec_control, 2, 0)+Tablas!$K$1*VLOOKUP(AL704, doc_control, 2, 0))*0.1*peso_dis, "")</f>
        <v/>
      </c>
      <c r="AN704" s="64"/>
      <c r="AO704" s="64"/>
      <c r="AP704" s="64"/>
      <c r="AQ704" s="80" t="str">
        <f>IFERROR((Tablas!$C$9*VLOOKUP(AN704, amb_control, 2, 0)+Tablas!$E$9*VLOOKUP(AO704, ejec_control, 2, 0)+Tablas!$G$9*VLOOKUP(AP704, cub_control, 2, 0))*0.1*peso_ejec, "")</f>
        <v/>
      </c>
      <c r="AR704" s="91" t="str">
        <f t="shared" si="1142"/>
        <v/>
      </c>
      <c r="AS704" s="85" t="str">
        <f t="shared" si="1143"/>
        <v/>
      </c>
      <c r="AT704" s="85" t="str">
        <f t="shared" si="1144"/>
        <v/>
      </c>
      <c r="AU704" s="85" t="str">
        <f>IF(AR704&lt;Tablas!$G$19, 0, IF(AND(AR704&gt;=Tablas!$G$19, AR704&lt;Tablas!$G$20), 1,  IF(AND(AR704&gt;=Tablas!$G$20, AR704&lt;Tablas!$G$21), 2,  IF(AND(AR704&gt;=Tablas!$G$21, AR704&lt;=Tablas!$G$22), 3,  ""))))</f>
        <v/>
      </c>
      <c r="AV704" s="85" t="str">
        <f t="shared" si="1145"/>
        <v/>
      </c>
      <c r="AW704" s="101" t="str">
        <f t="shared" si="1146"/>
        <v/>
      </c>
      <c r="AX704" s="177"/>
      <c r="AY704" s="169"/>
      <c r="AZ704" s="158"/>
      <c r="BA704" s="169"/>
      <c r="BB704" s="182"/>
      <c r="BC704" s="182"/>
      <c r="BD704" s="185"/>
      <c r="BE704" s="185"/>
      <c r="BF704" s="158" t="str">
        <f t="shared" si="1226"/>
        <v/>
      </c>
      <c r="BG704" s="191"/>
    </row>
    <row r="705" spans="1:59" x14ac:dyDescent="0.25">
      <c r="A705" s="167"/>
      <c r="B705" s="167"/>
      <c r="C705" s="161"/>
      <c r="D705" s="160"/>
      <c r="E705" s="162"/>
      <c r="F705" s="164"/>
      <c r="G705" s="161"/>
      <c r="H705" s="161"/>
      <c r="I705" s="161"/>
      <c r="J705" s="161"/>
      <c r="K705" s="161"/>
      <c r="L705" s="166"/>
      <c r="M705" s="166"/>
      <c r="N705" s="166"/>
      <c r="O705" s="166"/>
      <c r="P705" s="166"/>
      <c r="Q705" s="166"/>
      <c r="R705" s="166"/>
      <c r="S705" s="167"/>
      <c r="T705" s="167"/>
      <c r="U705" s="167"/>
      <c r="V705" s="167"/>
      <c r="W705" s="167"/>
      <c r="X705" s="164"/>
      <c r="Y705" s="164"/>
      <c r="Z705" s="172"/>
      <c r="AA705" s="188"/>
      <c r="AB705" s="172"/>
      <c r="AC705" s="172"/>
      <c r="AD705" s="175"/>
      <c r="AE705" s="62" t="s">
        <v>153</v>
      </c>
      <c r="AF705" s="133"/>
      <c r="AG705" s="65"/>
      <c r="AH705" s="64"/>
      <c r="AI705" s="64"/>
      <c r="AJ705" s="64"/>
      <c r="AK705" s="64"/>
      <c r="AL705" s="64"/>
      <c r="AM705" s="80" t="str">
        <f>IFERROR((Tablas!$C$1*VLOOKUP(AH705, tipo_control, 2, 0)+Tablas!$E$1*VLOOKUP(AI705, nat_control, 2, 0)+Tablas!$G$1*VLOOKUP(AJ705, ev_control, 2, 0)+Tablas!$I$1*VLOOKUP(AK705, frec_control, 2, 0)+Tablas!$K$1*VLOOKUP(AL705, doc_control, 2, 0))*0.1*peso_dis, "")</f>
        <v/>
      </c>
      <c r="AN705" s="64"/>
      <c r="AO705" s="64"/>
      <c r="AP705" s="64"/>
      <c r="AQ705" s="80" t="str">
        <f>IFERROR((Tablas!$C$9*VLOOKUP(AN705, amb_control, 2, 0)+Tablas!$E$9*VLOOKUP(AO705, ejec_control, 2, 0)+Tablas!$G$9*VLOOKUP(AP705, cub_control, 2, 0))*0.1*peso_ejec, "")</f>
        <v/>
      </c>
      <c r="AR705" s="91" t="str">
        <f t="shared" si="1142"/>
        <v/>
      </c>
      <c r="AS705" s="85" t="str">
        <f t="shared" si="1143"/>
        <v/>
      </c>
      <c r="AT705" s="85" t="str">
        <f t="shared" si="1144"/>
        <v/>
      </c>
      <c r="AU705" s="85" t="str">
        <f>IF(AR705&lt;Tablas!$G$19, 0, IF(AND(AR705&gt;=Tablas!$G$19, AR705&lt;Tablas!$G$20), 1,  IF(AND(AR705&gt;=Tablas!$G$20, AR705&lt;Tablas!$G$21), 2,  IF(AND(AR705&gt;=Tablas!$G$21, AR705&lt;=Tablas!$G$22), 3,  ""))))</f>
        <v/>
      </c>
      <c r="AV705" s="85" t="str">
        <f t="shared" si="1145"/>
        <v/>
      </c>
      <c r="AW705" s="101" t="str">
        <f t="shared" si="1146"/>
        <v/>
      </c>
      <c r="AX705" s="177"/>
      <c r="AY705" s="169"/>
      <c r="AZ705" s="158"/>
      <c r="BA705" s="169"/>
      <c r="BB705" s="182"/>
      <c r="BC705" s="182"/>
      <c r="BD705" s="185"/>
      <c r="BE705" s="185"/>
      <c r="BF705" s="158"/>
      <c r="BG705" s="191"/>
    </row>
    <row r="706" spans="1:59" ht="15.75" thickBot="1" x14ac:dyDescent="0.3">
      <c r="A706" s="149"/>
      <c r="B706" s="149"/>
      <c r="C706" s="161"/>
      <c r="D706" s="160"/>
      <c r="E706" s="162"/>
      <c r="F706" s="165"/>
      <c r="G706" s="161"/>
      <c r="H706" s="161"/>
      <c r="I706" s="161"/>
      <c r="J706" s="161"/>
      <c r="K706" s="161"/>
      <c r="L706" s="166"/>
      <c r="M706" s="166"/>
      <c r="N706" s="166"/>
      <c r="O706" s="166"/>
      <c r="P706" s="166"/>
      <c r="Q706" s="166"/>
      <c r="R706" s="166"/>
      <c r="S706" s="149"/>
      <c r="T706" s="149"/>
      <c r="U706" s="149"/>
      <c r="V706" s="149"/>
      <c r="W706" s="149"/>
      <c r="X706" s="165"/>
      <c r="Y706" s="165"/>
      <c r="Z706" s="173"/>
      <c r="AA706" s="189"/>
      <c r="AB706" s="173"/>
      <c r="AC706" s="173"/>
      <c r="AD706" s="175"/>
      <c r="AE706" s="75" t="s">
        <v>154</v>
      </c>
      <c r="AF706" s="136"/>
      <c r="AG706" s="68"/>
      <c r="AH706" s="76"/>
      <c r="AI706" s="76"/>
      <c r="AJ706" s="76"/>
      <c r="AK706" s="76"/>
      <c r="AL706" s="76"/>
      <c r="AM706" s="83" t="str">
        <f>IFERROR((Tablas!$C$1*VLOOKUP(AH706, tipo_control, 2, 0)+Tablas!$E$1*VLOOKUP(AI706, nat_control, 2, 0)+Tablas!$G$1*VLOOKUP(AJ706, ev_control, 2, 0)+Tablas!$I$1*VLOOKUP(AK706, frec_control, 2, 0)+Tablas!$K$1*VLOOKUP(AL706, doc_control, 2, 0))*0.1*peso_dis, "")</f>
        <v/>
      </c>
      <c r="AN706" s="76"/>
      <c r="AO706" s="76"/>
      <c r="AP706" s="76"/>
      <c r="AQ706" s="83" t="str">
        <f>IFERROR((Tablas!$C$9*VLOOKUP(AN706, amb_control, 2, 0)+Tablas!$E$9*VLOOKUP(AO706, ejec_control, 2, 0)+Tablas!$G$9*VLOOKUP(AP706, cub_control, 2, 0))*0.1*peso_ejec, "")</f>
        <v/>
      </c>
      <c r="AR706" s="99" t="str">
        <f t="shared" si="1142"/>
        <v/>
      </c>
      <c r="AS706" s="86" t="str">
        <f t="shared" si="1143"/>
        <v/>
      </c>
      <c r="AT706" s="86" t="str">
        <f t="shared" si="1144"/>
        <v/>
      </c>
      <c r="AU706" s="86" t="str">
        <f>IF(AR706&lt;Tablas!$G$19, 0, IF(AND(AR706&gt;=Tablas!$G$19, AR706&lt;Tablas!$G$20), 1,  IF(AND(AR706&gt;=Tablas!$G$20, AR706&lt;Tablas!$G$21), 2,  IF(AND(AR706&gt;=Tablas!$G$21, AR706&lt;=Tablas!$G$22), 3,  ""))))</f>
        <v/>
      </c>
      <c r="AV706" s="86" t="str">
        <f t="shared" si="1145"/>
        <v/>
      </c>
      <c r="AW706" s="84" t="str">
        <f t="shared" si="1146"/>
        <v/>
      </c>
      <c r="AX706" s="157"/>
      <c r="AY706" s="170"/>
      <c r="AZ706" s="179"/>
      <c r="BA706" s="170"/>
      <c r="BB706" s="183"/>
      <c r="BC706" s="183"/>
      <c r="BD706" s="186"/>
      <c r="BE706" s="186"/>
      <c r="BF706" s="159"/>
      <c r="BG706" s="191"/>
    </row>
    <row r="707" spans="1:59" x14ac:dyDescent="0.25">
      <c r="A707" s="148" t="s">
        <v>203</v>
      </c>
      <c r="B707" s="148" t="s">
        <v>204</v>
      </c>
      <c r="C707" s="161" t="s">
        <v>14</v>
      </c>
      <c r="D707" s="160" t="s">
        <v>158</v>
      </c>
      <c r="E707" s="193"/>
      <c r="F707" s="163" t="str">
        <f t="shared" si="1138"/>
        <v/>
      </c>
      <c r="G707" s="149"/>
      <c r="H707" s="149"/>
      <c r="I707" s="149"/>
      <c r="J707" s="149"/>
      <c r="K707" s="149"/>
      <c r="L707" s="165" t="str">
        <f>IFERROR(VLOOKUP(G707, tabla02, 2, 0), "")</f>
        <v/>
      </c>
      <c r="M707" s="165" t="str">
        <f>IFERROR(VLOOKUP(H707, tabla02, 2, 0), "")</f>
        <v/>
      </c>
      <c r="N707" s="165" t="str">
        <f>IFERROR(VLOOKUP(I707, tabla02, 2, 0), "")</f>
        <v/>
      </c>
      <c r="O707" s="165" t="str">
        <f>IFERROR(VLOOKUP(J707, tabla02, 2, 0), "")</f>
        <v/>
      </c>
      <c r="P707" s="165" t="str">
        <f>IFERROR(VLOOKUP(K707, tabla02, 2, 0), "")</f>
        <v/>
      </c>
      <c r="Q707" s="165" t="str">
        <f t="shared" ref="Q707" si="1227">IF(SUM(L707:O711)=0, "", MAX(L707:P707))</f>
        <v/>
      </c>
      <c r="R707" s="165" t="str">
        <f>IFERROR(VLOOKUP(Q707, tabla04, 3, 0), "")</f>
        <v/>
      </c>
      <c r="S707" s="148"/>
      <c r="T707" s="148"/>
      <c r="U707" s="148"/>
      <c r="V707" s="148"/>
      <c r="W707" s="148"/>
      <c r="X707" s="164" t="str">
        <f>IFERROR(VLOOKUP(CONCATENATE(F707, "-", Q707), cuadrante_sev, 3, 0), "")</f>
        <v/>
      </c>
      <c r="Y707" s="163" t="str">
        <f>IFERROR(IF(X707="Baja", 1, IF(X707="Moderada", 2, IF(X707="Alta", 3, IF(X707="Extrema", 4, "")))), "")</f>
        <v/>
      </c>
      <c r="Z707" s="171">
        <f t="shared" ref="Z707" si="1228">MAX(F707:F756)</f>
        <v>0</v>
      </c>
      <c r="AA707" s="187">
        <f t="shared" ref="AA707" si="1229">MAX(Q707:Q756)</f>
        <v>0</v>
      </c>
      <c r="AB707" s="171" t="str">
        <f>IFERROR(VLOOKUP(Z707, tabla04, 2, 0), "")</f>
        <v/>
      </c>
      <c r="AC707" s="171" t="str">
        <f>IFERROR(VLOOKUP(AA707, tabla04, 3, 0), "")</f>
        <v/>
      </c>
      <c r="AD707" s="174" t="str">
        <f>IFERROR(VLOOKUP(CONCATENATE(Z707, "-", AA707), cuadrante_sev, 3, 0), "")</f>
        <v/>
      </c>
      <c r="AE707" s="59" t="s">
        <v>113</v>
      </c>
      <c r="AF707" s="132"/>
      <c r="AG707" s="77"/>
      <c r="AH707" s="61"/>
      <c r="AI707" s="61"/>
      <c r="AJ707" s="61"/>
      <c r="AK707" s="61"/>
      <c r="AL707" s="61"/>
      <c r="AM707" s="79" t="str">
        <f>IFERROR((Tablas!$C$1*VLOOKUP(AH707, tipo_control, 2, 0)+Tablas!$E$1*VLOOKUP(AI707, nat_control, 2, 0)+Tablas!$G$1*VLOOKUP(AJ707, ev_control, 2, 0)+Tablas!$I$1*VLOOKUP(AK707, frec_control, 2, 0)+Tablas!$K$1*VLOOKUP(AL707, doc_control, 2, 0))*0.1*peso_dis, "")</f>
        <v/>
      </c>
      <c r="AN707" s="61"/>
      <c r="AO707" s="61"/>
      <c r="AP707" s="61"/>
      <c r="AQ707" s="79" t="str">
        <f>IFERROR((Tablas!$C$9*VLOOKUP(AN707, amb_control, 2, 0)+Tablas!$E$9*VLOOKUP(AO707, ejec_control, 2, 0)+Tablas!$G$9*VLOOKUP(AP707, cub_control, 2, 0))*0.1*peso_ejec, "")</f>
        <v/>
      </c>
      <c r="AR707" s="89" t="str">
        <f>IFERROR(AM707+AQ707, "")</f>
        <v/>
      </c>
      <c r="AS707" s="87" t="str">
        <f t="shared" si="1143"/>
        <v/>
      </c>
      <c r="AT707" s="87" t="str">
        <f t="shared" si="1144"/>
        <v/>
      </c>
      <c r="AU707" s="87" t="str">
        <f>IF(AR707&lt;Tablas!$G$19, 0, IF(AND(AR707&gt;=Tablas!$G$19, AR707&lt;Tablas!$G$20), 1,  IF(AND(AR707&gt;=Tablas!$G$20, AR707&lt;Tablas!$G$21), 2,  IF(AND(AR707&gt;=Tablas!$G$21, AR707&lt;=Tablas!$G$22), 3,  ""))))</f>
        <v/>
      </c>
      <c r="AV707" s="87" t="str">
        <f>IF(AS707="Sí",AU707,"")</f>
        <v/>
      </c>
      <c r="AW707" s="100" t="str">
        <f>IF(AT707="Sí",AU707,"")</f>
        <v/>
      </c>
      <c r="AX707" s="176" t="str">
        <f>IFERROR(VLOOKUP(AY707, tabla04, 2, 0), "")</f>
        <v/>
      </c>
      <c r="AY707" s="168" t="str">
        <f>IF(F707="", "", IF((F707-MAX(AV707:AV711))&lt;=0, 1, F707-MAX(AV707:AV711)))</f>
        <v/>
      </c>
      <c r="AZ707" s="178" t="str">
        <f>IFERROR(VLOOKUP(BA707, tabla04, 3, 0), "")</f>
        <v/>
      </c>
      <c r="BA707" s="168" t="str">
        <f>IF(Q707="", "", IF((Q707-MAX(AW707:AW711))&lt;=0, 1, Q707-MAX(AW707:AW711)))</f>
        <v/>
      </c>
      <c r="BB707" s="170">
        <f>IFERROR(MAX(AY707:AY756), "")</f>
        <v>0</v>
      </c>
      <c r="BC707" s="170">
        <f>IFERROR(MAX(BA707:BA756), "")</f>
        <v>0</v>
      </c>
      <c r="BD707" s="184" t="str">
        <f>IFERROR(VLOOKUP(BB707, tabla04, 2, 0), "")</f>
        <v/>
      </c>
      <c r="BE707" s="184" t="str">
        <f>IFERROR(VLOOKUP(BC707, tabla04, 3, 0), "")</f>
        <v/>
      </c>
      <c r="BF707" s="158" t="str">
        <f>IFERROR(VLOOKUP(CONCATENATE(AY707, "-", BA707), cuadrante_sev, 3, 0), "")</f>
        <v/>
      </c>
      <c r="BG707" s="190" t="str">
        <f>IFERROR(VLOOKUP(CONCATENATE(BB707, "-", BC707), cuadrante_sev, 3, 0), "")</f>
        <v/>
      </c>
    </row>
    <row r="708" spans="1:59" x14ac:dyDescent="0.25">
      <c r="A708" s="167"/>
      <c r="B708" s="167"/>
      <c r="C708" s="161"/>
      <c r="D708" s="160"/>
      <c r="E708" s="162"/>
      <c r="F708" s="164"/>
      <c r="G708" s="161"/>
      <c r="H708" s="161"/>
      <c r="I708" s="161"/>
      <c r="J708" s="161"/>
      <c r="K708" s="161"/>
      <c r="L708" s="166"/>
      <c r="M708" s="166"/>
      <c r="N708" s="166"/>
      <c r="O708" s="166"/>
      <c r="P708" s="166"/>
      <c r="Q708" s="166"/>
      <c r="R708" s="166"/>
      <c r="S708" s="167"/>
      <c r="T708" s="167"/>
      <c r="U708" s="167"/>
      <c r="V708" s="167"/>
      <c r="W708" s="167"/>
      <c r="X708" s="164"/>
      <c r="Y708" s="164"/>
      <c r="Z708" s="172"/>
      <c r="AA708" s="188"/>
      <c r="AB708" s="172"/>
      <c r="AC708" s="172"/>
      <c r="AD708" s="175"/>
      <c r="AE708" s="62" t="s">
        <v>114</v>
      </c>
      <c r="AF708" s="133"/>
      <c r="AG708" s="65"/>
      <c r="AH708" s="64"/>
      <c r="AI708" s="64"/>
      <c r="AJ708" s="64"/>
      <c r="AK708" s="64"/>
      <c r="AL708" s="64"/>
      <c r="AM708" s="80" t="str">
        <f>IFERROR((Tablas!$C$1*VLOOKUP(AH708, tipo_control, 2, 0)+Tablas!$E$1*VLOOKUP(AI708, nat_control, 2, 0)+Tablas!$G$1*VLOOKUP(AJ708, ev_control, 2, 0)+Tablas!$I$1*VLOOKUP(AK708, frec_control, 2, 0)+Tablas!$K$1*VLOOKUP(AL708, doc_control, 2, 0))*0.1*peso_dis, "")</f>
        <v/>
      </c>
      <c r="AN708" s="64"/>
      <c r="AO708" s="64"/>
      <c r="AP708" s="64"/>
      <c r="AQ708" s="80" t="str">
        <f>IFERROR((Tablas!$C$9*VLOOKUP(AN708, amb_control, 2, 0)+Tablas!$E$9*VLOOKUP(AO708, ejec_control, 2, 0)+Tablas!$G$9*VLOOKUP(AP708, cub_control, 2, 0))*0.1*peso_ejec, "")</f>
        <v/>
      </c>
      <c r="AR708" s="91" t="str">
        <f t="shared" ref="AR708:AR756" si="1230">IFERROR(AM708+AQ708, "")</f>
        <v/>
      </c>
      <c r="AS708" s="87" t="str">
        <f t="shared" si="1143"/>
        <v/>
      </c>
      <c r="AT708" s="85" t="str">
        <f t="shared" si="1144"/>
        <v/>
      </c>
      <c r="AU708" s="85" t="str">
        <f>IF(AR708&lt;Tablas!$G$19, 0, IF(AND(AR708&gt;=Tablas!$G$19, AR708&lt;Tablas!$G$20), 1,  IF(AND(AR708&gt;=Tablas!$G$20, AR708&lt;Tablas!$G$21), 2,  IF(AND(AR708&gt;=Tablas!$G$21, AR708&lt;=Tablas!$G$22), 3,  ""))))</f>
        <v/>
      </c>
      <c r="AV708" s="85" t="str">
        <f t="shared" ref="AV708:AV756" si="1231">IF(AS708="Sí",AU708,"")</f>
        <v/>
      </c>
      <c r="AW708" s="101" t="str">
        <f t="shared" ref="AW708:AW756" si="1232">IF(AT708="Sí",AU708,"")</f>
        <v/>
      </c>
      <c r="AX708" s="177"/>
      <c r="AY708" s="169"/>
      <c r="AZ708" s="158"/>
      <c r="BA708" s="169"/>
      <c r="BB708" s="182"/>
      <c r="BC708" s="182"/>
      <c r="BD708" s="185"/>
      <c r="BE708" s="185"/>
      <c r="BF708" s="158"/>
      <c r="BG708" s="191"/>
    </row>
    <row r="709" spans="1:59" x14ac:dyDescent="0.25">
      <c r="A709" s="167"/>
      <c r="B709" s="167"/>
      <c r="C709" s="161"/>
      <c r="D709" s="160"/>
      <c r="E709" s="162"/>
      <c r="F709" s="164"/>
      <c r="G709" s="161"/>
      <c r="H709" s="161"/>
      <c r="I709" s="161"/>
      <c r="J709" s="161"/>
      <c r="K709" s="161"/>
      <c r="L709" s="166"/>
      <c r="M709" s="166"/>
      <c r="N709" s="166"/>
      <c r="O709" s="166"/>
      <c r="P709" s="166"/>
      <c r="Q709" s="166"/>
      <c r="R709" s="166"/>
      <c r="S709" s="167"/>
      <c r="T709" s="167"/>
      <c r="U709" s="167"/>
      <c r="V709" s="167"/>
      <c r="W709" s="167"/>
      <c r="X709" s="164"/>
      <c r="Y709" s="164"/>
      <c r="Z709" s="172"/>
      <c r="AA709" s="188"/>
      <c r="AB709" s="172"/>
      <c r="AC709" s="172"/>
      <c r="AD709" s="175"/>
      <c r="AE709" s="62" t="s">
        <v>115</v>
      </c>
      <c r="AF709" s="133"/>
      <c r="AG709" s="65"/>
      <c r="AH709" s="64"/>
      <c r="AI709" s="64"/>
      <c r="AJ709" s="64"/>
      <c r="AK709" s="64"/>
      <c r="AL709" s="64"/>
      <c r="AM709" s="80" t="str">
        <f>IFERROR((Tablas!$C$1*VLOOKUP(AH709, tipo_control, 2, 0)+Tablas!$E$1*VLOOKUP(AI709, nat_control, 2, 0)+Tablas!$G$1*VLOOKUP(AJ709, ev_control, 2, 0)+Tablas!$I$1*VLOOKUP(AK709, frec_control, 2, 0)+Tablas!$K$1*VLOOKUP(AL709, doc_control, 2, 0))*0.1*peso_dis, "")</f>
        <v/>
      </c>
      <c r="AN709" s="64"/>
      <c r="AO709" s="64"/>
      <c r="AP709" s="64"/>
      <c r="AQ709" s="80" t="str">
        <f>IFERROR((Tablas!$C$9*VLOOKUP(AN709, amb_control, 2, 0)+Tablas!$E$9*VLOOKUP(AO709, ejec_control, 2, 0)+Tablas!$G$9*VLOOKUP(AP709, cub_control, 2, 0))*0.1*peso_ejec, "")</f>
        <v/>
      </c>
      <c r="AR709" s="91" t="str">
        <f t="shared" si="1230"/>
        <v/>
      </c>
      <c r="AS709" s="87" t="str">
        <f t="shared" si="1143"/>
        <v/>
      </c>
      <c r="AT709" s="85" t="str">
        <f t="shared" si="1144"/>
        <v/>
      </c>
      <c r="AU709" s="85" t="str">
        <f>IF(AR709&lt;Tablas!$G$19, 0, IF(AND(AR709&gt;=Tablas!$G$19, AR709&lt;Tablas!$G$20), 1,  IF(AND(AR709&gt;=Tablas!$G$20, AR709&lt;Tablas!$G$21), 2,  IF(AND(AR709&gt;=Tablas!$G$21, AR709&lt;=Tablas!$G$22), 3,  ""))))</f>
        <v/>
      </c>
      <c r="AV709" s="85" t="str">
        <f t="shared" si="1231"/>
        <v/>
      </c>
      <c r="AW709" s="101" t="str">
        <f t="shared" si="1232"/>
        <v/>
      </c>
      <c r="AX709" s="177"/>
      <c r="AY709" s="169"/>
      <c r="AZ709" s="158"/>
      <c r="BA709" s="169"/>
      <c r="BB709" s="182"/>
      <c r="BC709" s="182"/>
      <c r="BD709" s="185"/>
      <c r="BE709" s="185"/>
      <c r="BF709" s="158"/>
      <c r="BG709" s="191"/>
    </row>
    <row r="710" spans="1:59" x14ac:dyDescent="0.25">
      <c r="A710" s="167"/>
      <c r="B710" s="167"/>
      <c r="C710" s="161"/>
      <c r="D710" s="160"/>
      <c r="E710" s="162"/>
      <c r="F710" s="164"/>
      <c r="G710" s="161"/>
      <c r="H710" s="161"/>
      <c r="I710" s="161"/>
      <c r="J710" s="161"/>
      <c r="K710" s="161"/>
      <c r="L710" s="166"/>
      <c r="M710" s="166"/>
      <c r="N710" s="166"/>
      <c r="O710" s="166"/>
      <c r="P710" s="166"/>
      <c r="Q710" s="166"/>
      <c r="R710" s="166"/>
      <c r="S710" s="167"/>
      <c r="T710" s="167"/>
      <c r="U710" s="167"/>
      <c r="V710" s="167"/>
      <c r="W710" s="167"/>
      <c r="X710" s="164"/>
      <c r="Y710" s="164"/>
      <c r="Z710" s="172"/>
      <c r="AA710" s="188"/>
      <c r="AB710" s="172"/>
      <c r="AC710" s="172"/>
      <c r="AD710" s="175"/>
      <c r="AE710" s="62" t="s">
        <v>153</v>
      </c>
      <c r="AF710" s="133"/>
      <c r="AG710" s="65"/>
      <c r="AH710" s="64"/>
      <c r="AI710" s="64"/>
      <c r="AJ710" s="64"/>
      <c r="AK710" s="64"/>
      <c r="AL710" s="64"/>
      <c r="AM710" s="80" t="str">
        <f>IFERROR((Tablas!$C$1*VLOOKUP(AH710, tipo_control, 2, 0)+Tablas!$E$1*VLOOKUP(AI710, nat_control, 2, 0)+Tablas!$G$1*VLOOKUP(AJ710, ev_control, 2, 0)+Tablas!$I$1*VLOOKUP(AK710, frec_control, 2, 0)+Tablas!$K$1*VLOOKUP(AL710, doc_control, 2, 0))*0.1*peso_dis, "")</f>
        <v/>
      </c>
      <c r="AN710" s="64"/>
      <c r="AO710" s="64"/>
      <c r="AP710" s="64"/>
      <c r="AQ710" s="80" t="str">
        <f>IFERROR((Tablas!$C$9*VLOOKUP(AN710, amb_control, 2, 0)+Tablas!$E$9*VLOOKUP(AO710, ejec_control, 2, 0)+Tablas!$G$9*VLOOKUP(AP710, cub_control, 2, 0))*0.1*peso_ejec, "")</f>
        <v/>
      </c>
      <c r="AR710" s="91" t="str">
        <f t="shared" si="1230"/>
        <v/>
      </c>
      <c r="AS710" s="87" t="str">
        <f t="shared" si="1143"/>
        <v/>
      </c>
      <c r="AT710" s="85" t="str">
        <f t="shared" si="1144"/>
        <v/>
      </c>
      <c r="AU710" s="85" t="str">
        <f>IF(AR710&lt;Tablas!$G$19, 0, IF(AND(AR710&gt;=Tablas!$G$19, AR710&lt;Tablas!$G$20), 1,  IF(AND(AR710&gt;=Tablas!$G$20, AR710&lt;Tablas!$G$21), 2,  IF(AND(AR710&gt;=Tablas!$G$21, AR710&lt;=Tablas!$G$22), 3,  ""))))</f>
        <v/>
      </c>
      <c r="AV710" s="85" t="str">
        <f t="shared" si="1231"/>
        <v/>
      </c>
      <c r="AW710" s="101" t="str">
        <f t="shared" si="1232"/>
        <v/>
      </c>
      <c r="AX710" s="177"/>
      <c r="AY710" s="169"/>
      <c r="AZ710" s="158"/>
      <c r="BA710" s="169"/>
      <c r="BB710" s="182"/>
      <c r="BC710" s="182"/>
      <c r="BD710" s="185"/>
      <c r="BE710" s="185"/>
      <c r="BF710" s="158"/>
      <c r="BG710" s="191"/>
    </row>
    <row r="711" spans="1:59" ht="15.75" thickBot="1" x14ac:dyDescent="0.3">
      <c r="A711" s="167"/>
      <c r="B711" s="167"/>
      <c r="C711" s="161"/>
      <c r="D711" s="160"/>
      <c r="E711" s="162"/>
      <c r="F711" s="165"/>
      <c r="G711" s="161"/>
      <c r="H711" s="161"/>
      <c r="I711" s="161"/>
      <c r="J711" s="161"/>
      <c r="K711" s="161"/>
      <c r="L711" s="166"/>
      <c r="M711" s="166"/>
      <c r="N711" s="166"/>
      <c r="O711" s="166"/>
      <c r="P711" s="166"/>
      <c r="Q711" s="166"/>
      <c r="R711" s="166"/>
      <c r="S711" s="149"/>
      <c r="T711" s="149"/>
      <c r="U711" s="149"/>
      <c r="V711" s="149"/>
      <c r="W711" s="149"/>
      <c r="X711" s="165"/>
      <c r="Y711" s="165"/>
      <c r="Z711" s="172"/>
      <c r="AA711" s="188"/>
      <c r="AB711" s="172"/>
      <c r="AC711" s="172"/>
      <c r="AD711" s="175"/>
      <c r="AE711" s="66" t="s">
        <v>154</v>
      </c>
      <c r="AF711" s="134"/>
      <c r="AG711" s="67"/>
      <c r="AH711" s="69"/>
      <c r="AI711" s="69"/>
      <c r="AJ711" s="69"/>
      <c r="AK711" s="69"/>
      <c r="AL711" s="69"/>
      <c r="AM711" s="81" t="str">
        <f>IFERROR((Tablas!$C$1*VLOOKUP(AH711, tipo_control, 2, 0)+Tablas!$E$1*VLOOKUP(AI711, nat_control, 2, 0)+Tablas!$G$1*VLOOKUP(AJ711, ev_control, 2, 0)+Tablas!$I$1*VLOOKUP(AK711, frec_control, 2, 0)+Tablas!$K$1*VLOOKUP(AL711, doc_control, 2, 0))*0.1*peso_dis, "")</f>
        <v/>
      </c>
      <c r="AN711" s="69"/>
      <c r="AO711" s="69"/>
      <c r="AP711" s="69"/>
      <c r="AQ711" s="81" t="str">
        <f>IFERROR((Tablas!$C$9*VLOOKUP(AN711, amb_control, 2, 0)+Tablas!$E$9*VLOOKUP(AO711, ejec_control, 2, 0)+Tablas!$G$9*VLOOKUP(AP711, cub_control, 2, 0))*0.1*peso_ejec, "")</f>
        <v/>
      </c>
      <c r="AR711" s="93" t="str">
        <f t="shared" si="1230"/>
        <v/>
      </c>
      <c r="AS711" s="87" t="str">
        <f t="shared" si="1143"/>
        <v/>
      </c>
      <c r="AT711" s="94" t="str">
        <f t="shared" si="1144"/>
        <v/>
      </c>
      <c r="AU711" s="94" t="str">
        <f>IF(AR711&lt;Tablas!$G$19, 0, IF(AND(AR711&gt;=Tablas!$G$19, AR711&lt;Tablas!$G$20), 1,  IF(AND(AR711&gt;=Tablas!$G$20, AR711&lt;Tablas!$G$21), 2,  IF(AND(AR711&gt;=Tablas!$G$21, AR711&lt;=Tablas!$G$22), 3,  ""))))</f>
        <v/>
      </c>
      <c r="AV711" s="94" t="str">
        <f t="shared" si="1231"/>
        <v/>
      </c>
      <c r="AW711" s="102" t="str">
        <f t="shared" si="1232"/>
        <v/>
      </c>
      <c r="AX711" s="157"/>
      <c r="AY711" s="170"/>
      <c r="AZ711" s="179"/>
      <c r="BA711" s="170"/>
      <c r="BB711" s="182"/>
      <c r="BC711" s="182"/>
      <c r="BD711" s="185"/>
      <c r="BE711" s="185"/>
      <c r="BF711" s="159"/>
      <c r="BG711" s="191"/>
    </row>
    <row r="712" spans="1:59" x14ac:dyDescent="0.25">
      <c r="A712" s="167"/>
      <c r="B712" s="167"/>
      <c r="C712" s="161" t="s">
        <v>15</v>
      </c>
      <c r="D712" s="160" t="s">
        <v>158</v>
      </c>
      <c r="E712" s="162"/>
      <c r="F712" s="163" t="str">
        <f t="shared" si="1138"/>
        <v/>
      </c>
      <c r="G712" s="149"/>
      <c r="H712" s="149"/>
      <c r="I712" s="149"/>
      <c r="J712" s="149"/>
      <c r="K712" s="149"/>
      <c r="L712" s="165" t="str">
        <f>IFERROR(VLOOKUP(G712, tabla02, 2, 0), "")</f>
        <v/>
      </c>
      <c r="M712" s="165" t="str">
        <f>IFERROR(VLOOKUP(H712, tabla02, 2, 0), "")</f>
        <v/>
      </c>
      <c r="N712" s="165" t="str">
        <f>IFERROR(VLOOKUP(I712, tabla02, 2, 0), "")</f>
        <v/>
      </c>
      <c r="O712" s="165" t="str">
        <f>IFERROR(VLOOKUP(J712, tabla02, 2, 0), "")</f>
        <v/>
      </c>
      <c r="P712" s="165" t="str">
        <f>IFERROR(VLOOKUP(K712, tabla02, 2, 0), "")</f>
        <v/>
      </c>
      <c r="Q712" s="165" t="str">
        <f t="shared" ref="Q712" si="1233">IF(SUM(L712:O716)=0, "", MAX(L712:P712))</f>
        <v/>
      </c>
      <c r="R712" s="165" t="str">
        <f>IFERROR(VLOOKUP(Q712, tabla04, 3, 0), "")</f>
        <v/>
      </c>
      <c r="S712" s="148"/>
      <c r="T712" s="148"/>
      <c r="U712" s="148"/>
      <c r="V712" s="148"/>
      <c r="W712" s="148"/>
      <c r="X712" s="163" t="str">
        <f>IFERROR(VLOOKUP(CONCATENATE(F712, "-", Q712), cuadrante_sev, 3, 0), "")</f>
        <v/>
      </c>
      <c r="Y712" s="163" t="str">
        <f t="shared" ref="Y712" si="1234">IFERROR(IF(X712="Baja", 1, IF(X712="Moderada", 2, IF(X712="Alta", 3, IF(X712="Extrema", 4, "")))), "")</f>
        <v/>
      </c>
      <c r="Z712" s="172"/>
      <c r="AA712" s="188"/>
      <c r="AB712" s="172"/>
      <c r="AC712" s="172"/>
      <c r="AD712" s="175"/>
      <c r="AE712" s="70" t="s">
        <v>113</v>
      </c>
      <c r="AF712" s="135"/>
      <c r="AG712" s="74"/>
      <c r="AH712" s="72"/>
      <c r="AI712" s="72"/>
      <c r="AJ712" s="72"/>
      <c r="AK712" s="72"/>
      <c r="AL712" s="72"/>
      <c r="AM712" s="82" t="str">
        <f>IFERROR((Tablas!$C$1*VLOOKUP(AH712, tipo_control, 2, 0)+Tablas!$E$1*VLOOKUP(AI712, nat_control, 2, 0)+Tablas!$G$1*VLOOKUP(AJ712, ev_control, 2, 0)+Tablas!$I$1*VLOOKUP(AK712, frec_control, 2, 0)+Tablas!$K$1*VLOOKUP(AL712, doc_control, 2, 0))*0.1*peso_dis, "")</f>
        <v/>
      </c>
      <c r="AN712" s="72"/>
      <c r="AO712" s="72"/>
      <c r="AP712" s="72"/>
      <c r="AQ712" s="82" t="str">
        <f>IFERROR((Tablas!$C$9*VLOOKUP(AN712, amb_control, 2, 0)+Tablas!$E$9*VLOOKUP(AO712, ejec_control, 2, 0)+Tablas!$G$9*VLOOKUP(AP712, cub_control, 2, 0))*0.1*peso_ejec, "")</f>
        <v/>
      </c>
      <c r="AR712" s="96" t="str">
        <f t="shared" si="1230"/>
        <v/>
      </c>
      <c r="AS712" s="97" t="str">
        <f t="shared" si="1143"/>
        <v/>
      </c>
      <c r="AT712" s="87" t="str">
        <f t="shared" si="1144"/>
        <v/>
      </c>
      <c r="AU712" s="97" t="str">
        <f>IF(AR712&lt;Tablas!$G$19, 0, IF(AND(AR712&gt;=Tablas!$G$19, AR712&lt;Tablas!$G$20), 1,  IF(AND(AR712&gt;=Tablas!$G$20, AR712&lt;Tablas!$G$21), 2,  IF(AND(AR712&gt;=Tablas!$G$21, AR712&lt;=Tablas!$G$22), 3,  ""))))</f>
        <v/>
      </c>
      <c r="AV712" s="97" t="str">
        <f t="shared" si="1231"/>
        <v/>
      </c>
      <c r="AW712" s="103" t="str">
        <f t="shared" si="1232"/>
        <v/>
      </c>
      <c r="AX712" s="176" t="str">
        <f t="shared" ref="AX712" si="1235">IFERROR(VLOOKUP(AY712, tabla04, 2, 0), "")</f>
        <v/>
      </c>
      <c r="AY712" s="168" t="str">
        <f>IF(F712="", "", IF((F712-MAX(AV712:AV716))&lt;=0, 1, F712-MAX(AV712:AV716)))</f>
        <v/>
      </c>
      <c r="AZ712" s="178" t="str">
        <f t="shared" ref="AZ712" si="1236">IFERROR(VLOOKUP(BA712, tabla04, 3, 0), "")</f>
        <v/>
      </c>
      <c r="BA712" s="168" t="str">
        <f>IF(Q712="", "", IF((Q712-MAX(AW712:AW716))&lt;=0, 1, Q712-MAX(AW712:AW716)))</f>
        <v/>
      </c>
      <c r="BB712" s="182"/>
      <c r="BC712" s="182"/>
      <c r="BD712" s="185"/>
      <c r="BE712" s="185"/>
      <c r="BF712" s="158" t="str">
        <f t="shared" ref="BF712:BF714" si="1237">IFERROR(VLOOKUP(CONCATENATE(AY712, "-", BA712), cuadrante_sev, 3, 0), "")</f>
        <v/>
      </c>
      <c r="BG712" s="191"/>
    </row>
    <row r="713" spans="1:59" x14ac:dyDescent="0.25">
      <c r="A713" s="167"/>
      <c r="B713" s="167"/>
      <c r="C713" s="161"/>
      <c r="D713" s="160"/>
      <c r="E713" s="162"/>
      <c r="F713" s="164"/>
      <c r="G713" s="161"/>
      <c r="H713" s="161"/>
      <c r="I713" s="161"/>
      <c r="J713" s="161"/>
      <c r="K713" s="161"/>
      <c r="L713" s="166"/>
      <c r="M713" s="166"/>
      <c r="N713" s="166"/>
      <c r="O713" s="166"/>
      <c r="P713" s="166"/>
      <c r="Q713" s="166"/>
      <c r="R713" s="166"/>
      <c r="S713" s="167"/>
      <c r="T713" s="167"/>
      <c r="U713" s="167"/>
      <c r="V713" s="167"/>
      <c r="W713" s="167"/>
      <c r="X713" s="164"/>
      <c r="Y713" s="164"/>
      <c r="Z713" s="172"/>
      <c r="AA713" s="188"/>
      <c r="AB713" s="172"/>
      <c r="AC713" s="172"/>
      <c r="AD713" s="175"/>
      <c r="AE713" s="62" t="s">
        <v>114</v>
      </c>
      <c r="AF713" s="133"/>
      <c r="AG713" s="65"/>
      <c r="AH713" s="64"/>
      <c r="AI713" s="64"/>
      <c r="AJ713" s="64"/>
      <c r="AK713" s="64"/>
      <c r="AL713" s="64"/>
      <c r="AM713" s="80" t="str">
        <f>IFERROR((Tablas!$C$1*VLOOKUP(AH713, tipo_control, 2, 0)+Tablas!$E$1*VLOOKUP(AI713, nat_control, 2, 0)+Tablas!$G$1*VLOOKUP(AJ713, ev_control, 2, 0)+Tablas!$I$1*VLOOKUP(AK713, frec_control, 2, 0)+Tablas!$K$1*VLOOKUP(AL713, doc_control, 2, 0))*0.1*peso_dis, "")</f>
        <v/>
      </c>
      <c r="AN713" s="64"/>
      <c r="AO713" s="64"/>
      <c r="AP713" s="64"/>
      <c r="AQ713" s="80" t="str">
        <f>IFERROR((Tablas!$C$9*VLOOKUP(AN713, amb_control, 2, 0)+Tablas!$E$9*VLOOKUP(AO713, ejec_control, 2, 0)+Tablas!$G$9*VLOOKUP(AP713, cub_control, 2, 0))*0.1*peso_ejec, "")</f>
        <v/>
      </c>
      <c r="AR713" s="91" t="str">
        <f t="shared" si="1230"/>
        <v/>
      </c>
      <c r="AS713" s="85" t="str">
        <f t="shared" si="1143"/>
        <v/>
      </c>
      <c r="AT713" s="85" t="str">
        <f t="shared" si="1144"/>
        <v/>
      </c>
      <c r="AU713" s="85" t="str">
        <f>IF(AR713&lt;Tablas!$G$19, 0, IF(AND(AR713&gt;=Tablas!$G$19, AR713&lt;Tablas!$G$20), 1,  IF(AND(AR713&gt;=Tablas!$G$20, AR713&lt;Tablas!$G$21), 2,  IF(AND(AR713&gt;=Tablas!$G$21, AR713&lt;=Tablas!$G$22), 3,  ""))))</f>
        <v/>
      </c>
      <c r="AV713" s="85" t="str">
        <f t="shared" si="1231"/>
        <v/>
      </c>
      <c r="AW713" s="101" t="str">
        <f t="shared" si="1232"/>
        <v/>
      </c>
      <c r="AX713" s="177"/>
      <c r="AY713" s="169"/>
      <c r="AZ713" s="158"/>
      <c r="BA713" s="169"/>
      <c r="BB713" s="182"/>
      <c r="BC713" s="182"/>
      <c r="BD713" s="185"/>
      <c r="BE713" s="185"/>
      <c r="BF713" s="158" t="str">
        <f t="shared" si="1237"/>
        <v/>
      </c>
      <c r="BG713" s="191"/>
    </row>
    <row r="714" spans="1:59" x14ac:dyDescent="0.25">
      <c r="A714" s="167"/>
      <c r="B714" s="167"/>
      <c r="C714" s="161"/>
      <c r="D714" s="160"/>
      <c r="E714" s="162"/>
      <c r="F714" s="164"/>
      <c r="G714" s="161"/>
      <c r="H714" s="161"/>
      <c r="I714" s="161"/>
      <c r="J714" s="161"/>
      <c r="K714" s="161"/>
      <c r="L714" s="166"/>
      <c r="M714" s="166"/>
      <c r="N714" s="166"/>
      <c r="O714" s="166"/>
      <c r="P714" s="166"/>
      <c r="Q714" s="166"/>
      <c r="R714" s="166"/>
      <c r="S714" s="167"/>
      <c r="T714" s="167"/>
      <c r="U714" s="167"/>
      <c r="V714" s="167"/>
      <c r="W714" s="167"/>
      <c r="X714" s="164"/>
      <c r="Y714" s="164"/>
      <c r="Z714" s="172"/>
      <c r="AA714" s="188"/>
      <c r="AB714" s="172"/>
      <c r="AC714" s="172"/>
      <c r="AD714" s="175"/>
      <c r="AE714" s="62" t="s">
        <v>115</v>
      </c>
      <c r="AF714" s="133"/>
      <c r="AG714" s="65"/>
      <c r="AH714" s="64"/>
      <c r="AI714" s="64"/>
      <c r="AJ714" s="64"/>
      <c r="AK714" s="64"/>
      <c r="AL714" s="64"/>
      <c r="AM714" s="80" t="str">
        <f>IFERROR((Tablas!$C$1*VLOOKUP(AH714, tipo_control, 2, 0)+Tablas!$E$1*VLOOKUP(AI714, nat_control, 2, 0)+Tablas!$G$1*VLOOKUP(AJ714, ev_control, 2, 0)+Tablas!$I$1*VLOOKUP(AK714, frec_control, 2, 0)+Tablas!$K$1*VLOOKUP(AL714, doc_control, 2, 0))*0.1*peso_dis, "")</f>
        <v/>
      </c>
      <c r="AN714" s="64"/>
      <c r="AO714" s="64"/>
      <c r="AP714" s="64"/>
      <c r="AQ714" s="80" t="str">
        <f>IFERROR((Tablas!$C$9*VLOOKUP(AN714, amb_control, 2, 0)+Tablas!$E$9*VLOOKUP(AO714, ejec_control, 2, 0)+Tablas!$G$9*VLOOKUP(AP714, cub_control, 2, 0))*0.1*peso_ejec, "")</f>
        <v/>
      </c>
      <c r="AR714" s="91" t="str">
        <f t="shared" si="1230"/>
        <v/>
      </c>
      <c r="AS714" s="85" t="str">
        <f t="shared" si="1143"/>
        <v/>
      </c>
      <c r="AT714" s="85" t="str">
        <f t="shared" si="1144"/>
        <v/>
      </c>
      <c r="AU714" s="85" t="str">
        <f>IF(AR714&lt;Tablas!$G$19, 0, IF(AND(AR714&gt;=Tablas!$G$19, AR714&lt;Tablas!$G$20), 1,  IF(AND(AR714&gt;=Tablas!$G$20, AR714&lt;Tablas!$G$21), 2,  IF(AND(AR714&gt;=Tablas!$G$21, AR714&lt;=Tablas!$G$22), 3,  ""))))</f>
        <v/>
      </c>
      <c r="AV714" s="85" t="str">
        <f t="shared" si="1231"/>
        <v/>
      </c>
      <c r="AW714" s="101" t="str">
        <f t="shared" si="1232"/>
        <v/>
      </c>
      <c r="AX714" s="177"/>
      <c r="AY714" s="169"/>
      <c r="AZ714" s="158"/>
      <c r="BA714" s="169"/>
      <c r="BB714" s="182"/>
      <c r="BC714" s="182"/>
      <c r="BD714" s="185"/>
      <c r="BE714" s="185"/>
      <c r="BF714" s="158" t="str">
        <f t="shared" si="1237"/>
        <v/>
      </c>
      <c r="BG714" s="191"/>
    </row>
    <row r="715" spans="1:59" x14ac:dyDescent="0.25">
      <c r="A715" s="167"/>
      <c r="B715" s="167"/>
      <c r="C715" s="161"/>
      <c r="D715" s="160"/>
      <c r="E715" s="162"/>
      <c r="F715" s="164"/>
      <c r="G715" s="161"/>
      <c r="H715" s="161"/>
      <c r="I715" s="161"/>
      <c r="J715" s="161"/>
      <c r="K715" s="161"/>
      <c r="L715" s="166"/>
      <c r="M715" s="166"/>
      <c r="N715" s="166"/>
      <c r="O715" s="166"/>
      <c r="P715" s="166"/>
      <c r="Q715" s="166"/>
      <c r="R715" s="166"/>
      <c r="S715" s="167"/>
      <c r="T715" s="167"/>
      <c r="U715" s="167"/>
      <c r="V715" s="167"/>
      <c r="W715" s="167"/>
      <c r="X715" s="164"/>
      <c r="Y715" s="164"/>
      <c r="Z715" s="172"/>
      <c r="AA715" s="188"/>
      <c r="AB715" s="172"/>
      <c r="AC715" s="172"/>
      <c r="AD715" s="175"/>
      <c r="AE715" s="62" t="s">
        <v>153</v>
      </c>
      <c r="AF715" s="133"/>
      <c r="AG715" s="65"/>
      <c r="AH715" s="64"/>
      <c r="AI715" s="64"/>
      <c r="AJ715" s="64"/>
      <c r="AK715" s="64"/>
      <c r="AL715" s="64"/>
      <c r="AM715" s="80" t="str">
        <f>IFERROR((Tablas!$C$1*VLOOKUP(AH715, tipo_control, 2, 0)+Tablas!$E$1*VLOOKUP(AI715, nat_control, 2, 0)+Tablas!$G$1*VLOOKUP(AJ715, ev_control, 2, 0)+Tablas!$I$1*VLOOKUP(AK715, frec_control, 2, 0)+Tablas!$K$1*VLOOKUP(AL715, doc_control, 2, 0))*0.1*peso_dis, "")</f>
        <v/>
      </c>
      <c r="AN715" s="64"/>
      <c r="AO715" s="64"/>
      <c r="AP715" s="64"/>
      <c r="AQ715" s="80" t="str">
        <f>IFERROR((Tablas!$C$9*VLOOKUP(AN715, amb_control, 2, 0)+Tablas!$E$9*VLOOKUP(AO715, ejec_control, 2, 0)+Tablas!$G$9*VLOOKUP(AP715, cub_control, 2, 0))*0.1*peso_ejec, "")</f>
        <v/>
      </c>
      <c r="AR715" s="91" t="str">
        <f t="shared" si="1230"/>
        <v/>
      </c>
      <c r="AS715" s="85" t="str">
        <f t="shared" si="1143"/>
        <v/>
      </c>
      <c r="AT715" s="85" t="str">
        <f t="shared" si="1144"/>
        <v/>
      </c>
      <c r="AU715" s="85" t="str">
        <f>IF(AR715&lt;Tablas!$G$19, 0, IF(AND(AR715&gt;=Tablas!$G$19, AR715&lt;Tablas!$G$20), 1,  IF(AND(AR715&gt;=Tablas!$G$20, AR715&lt;Tablas!$G$21), 2,  IF(AND(AR715&gt;=Tablas!$G$21, AR715&lt;=Tablas!$G$22), 3,  ""))))</f>
        <v/>
      </c>
      <c r="AV715" s="85" t="str">
        <f t="shared" si="1231"/>
        <v/>
      </c>
      <c r="AW715" s="101" t="str">
        <f t="shared" si="1232"/>
        <v/>
      </c>
      <c r="AX715" s="177"/>
      <c r="AY715" s="169"/>
      <c r="AZ715" s="158"/>
      <c r="BA715" s="169"/>
      <c r="BB715" s="182"/>
      <c r="BC715" s="182"/>
      <c r="BD715" s="185"/>
      <c r="BE715" s="185"/>
      <c r="BF715" s="158"/>
      <c r="BG715" s="191"/>
    </row>
    <row r="716" spans="1:59" ht="15.75" thickBot="1" x14ac:dyDescent="0.3">
      <c r="A716" s="167"/>
      <c r="B716" s="167"/>
      <c r="C716" s="161"/>
      <c r="D716" s="160"/>
      <c r="E716" s="162"/>
      <c r="F716" s="165"/>
      <c r="G716" s="161"/>
      <c r="H716" s="161"/>
      <c r="I716" s="161"/>
      <c r="J716" s="161"/>
      <c r="K716" s="161"/>
      <c r="L716" s="166"/>
      <c r="M716" s="166"/>
      <c r="N716" s="166"/>
      <c r="O716" s="166"/>
      <c r="P716" s="166"/>
      <c r="Q716" s="166"/>
      <c r="R716" s="166"/>
      <c r="S716" s="149"/>
      <c r="T716" s="149"/>
      <c r="U716" s="149"/>
      <c r="V716" s="149"/>
      <c r="W716" s="149"/>
      <c r="X716" s="165"/>
      <c r="Y716" s="165"/>
      <c r="Z716" s="172"/>
      <c r="AA716" s="188"/>
      <c r="AB716" s="172"/>
      <c r="AC716" s="172"/>
      <c r="AD716" s="175"/>
      <c r="AE716" s="66" t="s">
        <v>154</v>
      </c>
      <c r="AF716" s="134"/>
      <c r="AG716" s="67"/>
      <c r="AH716" s="69"/>
      <c r="AI716" s="69"/>
      <c r="AJ716" s="69"/>
      <c r="AK716" s="69"/>
      <c r="AL716" s="69"/>
      <c r="AM716" s="81" t="str">
        <f>IFERROR((Tablas!$C$1*VLOOKUP(AH716, tipo_control, 2, 0)+Tablas!$E$1*VLOOKUP(AI716, nat_control, 2, 0)+Tablas!$G$1*VLOOKUP(AJ716, ev_control, 2, 0)+Tablas!$I$1*VLOOKUP(AK716, frec_control, 2, 0)+Tablas!$K$1*VLOOKUP(AL716, doc_control, 2, 0))*0.1*peso_dis, "")</f>
        <v/>
      </c>
      <c r="AN716" s="69"/>
      <c r="AO716" s="69"/>
      <c r="AP716" s="69"/>
      <c r="AQ716" s="81" t="str">
        <f>IFERROR((Tablas!$C$9*VLOOKUP(AN716, amb_control, 2, 0)+Tablas!$E$9*VLOOKUP(AO716, ejec_control, 2, 0)+Tablas!$G$9*VLOOKUP(AP716, cub_control, 2, 0))*0.1*peso_ejec, "")</f>
        <v/>
      </c>
      <c r="AR716" s="93" t="str">
        <f t="shared" si="1230"/>
        <v/>
      </c>
      <c r="AS716" s="94" t="str">
        <f t="shared" si="1143"/>
        <v/>
      </c>
      <c r="AT716" s="94" t="str">
        <f t="shared" si="1144"/>
        <v/>
      </c>
      <c r="AU716" s="94" t="str">
        <f>IF(AR716&lt;Tablas!$G$19, 0, IF(AND(AR716&gt;=Tablas!$G$19, AR716&lt;Tablas!$G$20), 1,  IF(AND(AR716&gt;=Tablas!$G$20, AR716&lt;Tablas!$G$21), 2,  IF(AND(AR716&gt;=Tablas!$G$21, AR716&lt;=Tablas!$G$22), 3,  ""))))</f>
        <v/>
      </c>
      <c r="AV716" s="94" t="str">
        <f t="shared" si="1231"/>
        <v/>
      </c>
      <c r="AW716" s="102" t="str">
        <f t="shared" si="1232"/>
        <v/>
      </c>
      <c r="AX716" s="157"/>
      <c r="AY716" s="170"/>
      <c r="AZ716" s="179"/>
      <c r="BA716" s="170"/>
      <c r="BB716" s="182"/>
      <c r="BC716" s="182"/>
      <c r="BD716" s="185"/>
      <c r="BE716" s="185"/>
      <c r="BF716" s="159"/>
      <c r="BG716" s="191"/>
    </row>
    <row r="717" spans="1:59" x14ac:dyDescent="0.25">
      <c r="A717" s="167"/>
      <c r="B717" s="167"/>
      <c r="C717" s="161" t="s">
        <v>16</v>
      </c>
      <c r="D717" s="160" t="s">
        <v>158</v>
      </c>
      <c r="E717" s="162"/>
      <c r="F717" s="163" t="str">
        <f t="shared" si="1138"/>
        <v/>
      </c>
      <c r="G717" s="149"/>
      <c r="H717" s="149"/>
      <c r="I717" s="149"/>
      <c r="J717" s="149"/>
      <c r="K717" s="149"/>
      <c r="L717" s="165" t="str">
        <f>IFERROR(VLOOKUP(G717, tabla02, 2, 0), "")</f>
        <v/>
      </c>
      <c r="M717" s="165" t="str">
        <f>IFERROR(VLOOKUP(H717, tabla02, 2, 0), "")</f>
        <v/>
      </c>
      <c r="N717" s="165" t="str">
        <f>IFERROR(VLOOKUP(I717, tabla02, 2, 0), "")</f>
        <v/>
      </c>
      <c r="O717" s="165" t="str">
        <f>IFERROR(VLOOKUP(J717, tabla02, 2, 0), "")</f>
        <v/>
      </c>
      <c r="P717" s="165" t="str">
        <f>IFERROR(VLOOKUP(K717, tabla02, 2, 0), "")</f>
        <v/>
      </c>
      <c r="Q717" s="165" t="str">
        <f t="shared" ref="Q717" si="1238">IF(SUM(L717:O721)=0, "", MAX(L717:P717))</f>
        <v/>
      </c>
      <c r="R717" s="165" t="str">
        <f>IFERROR(VLOOKUP(Q717, tabla04, 3, 0), "")</f>
        <v/>
      </c>
      <c r="S717" s="148"/>
      <c r="T717" s="148"/>
      <c r="U717" s="148"/>
      <c r="V717" s="148"/>
      <c r="W717" s="148"/>
      <c r="X717" s="163" t="str">
        <f>IFERROR(VLOOKUP(CONCATENATE(F717, "-", Q717), cuadrante_sev, 3, 0), "")</f>
        <v/>
      </c>
      <c r="Y717" s="163" t="str">
        <f t="shared" ref="Y717" si="1239">IFERROR(IF(X717="Baja", 1, IF(X717="Moderada", 2, IF(X717="Alta", 3, IF(X717="Extrema", 4, "")))), "")</f>
        <v/>
      </c>
      <c r="Z717" s="172"/>
      <c r="AA717" s="188"/>
      <c r="AB717" s="172"/>
      <c r="AC717" s="172"/>
      <c r="AD717" s="175"/>
      <c r="AE717" s="70" t="s">
        <v>113</v>
      </c>
      <c r="AF717" s="135"/>
      <c r="AG717" s="77"/>
      <c r="AH717" s="61"/>
      <c r="AI717" s="61"/>
      <c r="AJ717" s="61"/>
      <c r="AK717" s="61"/>
      <c r="AL717" s="61"/>
      <c r="AM717" s="82" t="str">
        <f>IFERROR((Tablas!$C$1*VLOOKUP(AH717, tipo_control, 2, 0)+Tablas!$E$1*VLOOKUP(AI717, nat_control, 2, 0)+Tablas!$G$1*VLOOKUP(AJ717, ev_control, 2, 0)+Tablas!$I$1*VLOOKUP(AK717, frec_control, 2, 0)+Tablas!$K$1*VLOOKUP(AL717, doc_control, 2, 0))*0.1*peso_dis, "")</f>
        <v/>
      </c>
      <c r="AN717" s="61"/>
      <c r="AO717" s="61"/>
      <c r="AP717" s="61"/>
      <c r="AQ717" s="82" t="str">
        <f>IFERROR((Tablas!$C$9*VLOOKUP(AN717, amb_control, 2, 0)+Tablas!$E$9*VLOOKUP(AO717, ejec_control, 2, 0)+Tablas!$G$9*VLOOKUP(AP717, cub_control, 2, 0))*0.1*peso_ejec, "")</f>
        <v/>
      </c>
      <c r="AR717" s="96" t="str">
        <f t="shared" si="1230"/>
        <v/>
      </c>
      <c r="AS717" s="97" t="str">
        <f t="shared" si="1143"/>
        <v/>
      </c>
      <c r="AT717" s="87" t="str">
        <f t="shared" si="1144"/>
        <v/>
      </c>
      <c r="AU717" s="97" t="str">
        <f>IF(AR717&lt;Tablas!$G$19, 0, IF(AND(AR717&gt;=Tablas!$G$19, AR717&lt;Tablas!$G$20), 1,  IF(AND(AR717&gt;=Tablas!$G$20, AR717&lt;Tablas!$G$21), 2,  IF(AND(AR717&gt;=Tablas!$G$21, AR717&lt;=Tablas!$G$22), 3,  ""))))</f>
        <v/>
      </c>
      <c r="AV717" s="97" t="str">
        <f t="shared" si="1231"/>
        <v/>
      </c>
      <c r="AW717" s="103" t="str">
        <f t="shared" si="1232"/>
        <v/>
      </c>
      <c r="AX717" s="176" t="str">
        <f t="shared" ref="AX717" si="1240">IFERROR(VLOOKUP(AY717, tabla04, 2, 0), "")</f>
        <v/>
      </c>
      <c r="AY717" s="168" t="str">
        <f>IF(F717="", "", IF((F717-MAX(AV717:AV721))&lt;=0, 1, F717-MAX(AV717:AV721)))</f>
        <v/>
      </c>
      <c r="AZ717" s="178" t="str">
        <f t="shared" ref="AZ717" si="1241">IFERROR(VLOOKUP(BA717, tabla04, 3, 0), "")</f>
        <v/>
      </c>
      <c r="BA717" s="168" t="str">
        <f>IF(Q717="", "", IF((Q717-MAX(AW717:AW721))&lt;=0, 1, Q717-MAX(AW717:AW721)))</f>
        <v/>
      </c>
      <c r="BB717" s="182"/>
      <c r="BC717" s="182"/>
      <c r="BD717" s="185"/>
      <c r="BE717" s="185"/>
      <c r="BF717" s="158" t="str">
        <f t="shared" ref="BF717:BF719" si="1242">IFERROR(VLOOKUP(CONCATENATE(AY717, "-", BA717), cuadrante_sev, 3, 0), "")</f>
        <v/>
      </c>
      <c r="BG717" s="191"/>
    </row>
    <row r="718" spans="1:59" x14ac:dyDescent="0.25">
      <c r="A718" s="167"/>
      <c r="B718" s="167"/>
      <c r="C718" s="161"/>
      <c r="D718" s="160"/>
      <c r="E718" s="162"/>
      <c r="F718" s="164"/>
      <c r="G718" s="161"/>
      <c r="H718" s="161"/>
      <c r="I718" s="161"/>
      <c r="J718" s="161"/>
      <c r="K718" s="161"/>
      <c r="L718" s="166"/>
      <c r="M718" s="166"/>
      <c r="N718" s="166"/>
      <c r="O718" s="166"/>
      <c r="P718" s="166"/>
      <c r="Q718" s="166"/>
      <c r="R718" s="166"/>
      <c r="S718" s="167"/>
      <c r="T718" s="167"/>
      <c r="U718" s="167"/>
      <c r="V718" s="167"/>
      <c r="W718" s="167"/>
      <c r="X718" s="164"/>
      <c r="Y718" s="164"/>
      <c r="Z718" s="172"/>
      <c r="AA718" s="188"/>
      <c r="AB718" s="172"/>
      <c r="AC718" s="172"/>
      <c r="AD718" s="175"/>
      <c r="AE718" s="62" t="s">
        <v>114</v>
      </c>
      <c r="AF718" s="133"/>
      <c r="AG718" s="65"/>
      <c r="AH718" s="64"/>
      <c r="AI718" s="64"/>
      <c r="AJ718" s="64"/>
      <c r="AK718" s="64"/>
      <c r="AL718" s="64"/>
      <c r="AM718" s="80" t="str">
        <f>IFERROR((Tablas!$C$1*VLOOKUP(AH718, tipo_control, 2, 0)+Tablas!$E$1*VLOOKUP(AI718, nat_control, 2, 0)+Tablas!$G$1*VLOOKUP(AJ718, ev_control, 2, 0)+Tablas!$I$1*VLOOKUP(AK718, frec_control, 2, 0)+Tablas!$K$1*VLOOKUP(AL718, doc_control, 2, 0))*0.1*peso_dis, "")</f>
        <v/>
      </c>
      <c r="AN718" s="64"/>
      <c r="AO718" s="64"/>
      <c r="AP718" s="64"/>
      <c r="AQ718" s="80" t="str">
        <f>IFERROR((Tablas!$C$9*VLOOKUP(AN718, amb_control, 2, 0)+Tablas!$E$9*VLOOKUP(AO718, ejec_control, 2, 0)+Tablas!$G$9*VLOOKUP(AP718, cub_control, 2, 0))*0.1*peso_ejec, "")</f>
        <v/>
      </c>
      <c r="AR718" s="91" t="str">
        <f t="shared" si="1230"/>
        <v/>
      </c>
      <c r="AS718" s="85" t="str">
        <f t="shared" si="1143"/>
        <v/>
      </c>
      <c r="AT718" s="85" t="str">
        <f t="shared" si="1144"/>
        <v/>
      </c>
      <c r="AU718" s="85" t="str">
        <f>IF(AR718&lt;Tablas!$G$19, 0, IF(AND(AR718&gt;=Tablas!$G$19, AR718&lt;Tablas!$G$20), 1,  IF(AND(AR718&gt;=Tablas!$G$20, AR718&lt;Tablas!$G$21), 2,  IF(AND(AR718&gt;=Tablas!$G$21, AR718&lt;=Tablas!$G$22), 3,  ""))))</f>
        <v/>
      </c>
      <c r="AV718" s="85" t="str">
        <f t="shared" si="1231"/>
        <v/>
      </c>
      <c r="AW718" s="101" t="str">
        <f t="shared" si="1232"/>
        <v/>
      </c>
      <c r="AX718" s="177"/>
      <c r="AY718" s="169"/>
      <c r="AZ718" s="158"/>
      <c r="BA718" s="169"/>
      <c r="BB718" s="182"/>
      <c r="BC718" s="182"/>
      <c r="BD718" s="185"/>
      <c r="BE718" s="185"/>
      <c r="BF718" s="158" t="str">
        <f t="shared" si="1242"/>
        <v/>
      </c>
      <c r="BG718" s="191"/>
    </row>
    <row r="719" spans="1:59" x14ac:dyDescent="0.25">
      <c r="A719" s="167"/>
      <c r="B719" s="167"/>
      <c r="C719" s="161"/>
      <c r="D719" s="160"/>
      <c r="E719" s="162"/>
      <c r="F719" s="164"/>
      <c r="G719" s="161"/>
      <c r="H719" s="161"/>
      <c r="I719" s="161"/>
      <c r="J719" s="161"/>
      <c r="K719" s="161"/>
      <c r="L719" s="166"/>
      <c r="M719" s="166"/>
      <c r="N719" s="166"/>
      <c r="O719" s="166"/>
      <c r="P719" s="166"/>
      <c r="Q719" s="166"/>
      <c r="R719" s="166"/>
      <c r="S719" s="167"/>
      <c r="T719" s="167"/>
      <c r="U719" s="167"/>
      <c r="V719" s="167"/>
      <c r="W719" s="167"/>
      <c r="X719" s="164"/>
      <c r="Y719" s="164"/>
      <c r="Z719" s="172"/>
      <c r="AA719" s="188"/>
      <c r="AB719" s="172"/>
      <c r="AC719" s="172"/>
      <c r="AD719" s="175"/>
      <c r="AE719" s="62" t="s">
        <v>115</v>
      </c>
      <c r="AF719" s="133"/>
      <c r="AG719" s="65"/>
      <c r="AH719" s="64"/>
      <c r="AI719" s="64"/>
      <c r="AJ719" s="64"/>
      <c r="AK719" s="64"/>
      <c r="AL719" s="64"/>
      <c r="AM719" s="80" t="str">
        <f>IFERROR((Tablas!$C$1*VLOOKUP(AH719, tipo_control, 2, 0)+Tablas!$E$1*VLOOKUP(AI719, nat_control, 2, 0)+Tablas!$G$1*VLOOKUP(AJ719, ev_control, 2, 0)+Tablas!$I$1*VLOOKUP(AK719, frec_control, 2, 0)+Tablas!$K$1*VLOOKUP(AL719, doc_control, 2, 0))*0.1*peso_dis, "")</f>
        <v/>
      </c>
      <c r="AN719" s="64"/>
      <c r="AO719" s="64"/>
      <c r="AP719" s="64"/>
      <c r="AQ719" s="80" t="str">
        <f>IFERROR((Tablas!$C$9*VLOOKUP(AN719, amb_control, 2, 0)+Tablas!$E$9*VLOOKUP(AO719, ejec_control, 2, 0)+Tablas!$G$9*VLOOKUP(AP719, cub_control, 2, 0))*0.1*peso_ejec, "")</f>
        <v/>
      </c>
      <c r="AR719" s="91" t="str">
        <f t="shared" si="1230"/>
        <v/>
      </c>
      <c r="AS719" s="85" t="str">
        <f t="shared" si="1143"/>
        <v/>
      </c>
      <c r="AT719" s="85" t="str">
        <f t="shared" si="1144"/>
        <v/>
      </c>
      <c r="AU719" s="85" t="str">
        <f>IF(AR719&lt;Tablas!$G$19, 0, IF(AND(AR719&gt;=Tablas!$G$19, AR719&lt;Tablas!$G$20), 1,  IF(AND(AR719&gt;=Tablas!$G$20, AR719&lt;Tablas!$G$21), 2,  IF(AND(AR719&gt;=Tablas!$G$21, AR719&lt;=Tablas!$G$22), 3,  ""))))</f>
        <v/>
      </c>
      <c r="AV719" s="85" t="str">
        <f t="shared" si="1231"/>
        <v/>
      </c>
      <c r="AW719" s="101" t="str">
        <f t="shared" si="1232"/>
        <v/>
      </c>
      <c r="AX719" s="177"/>
      <c r="AY719" s="169"/>
      <c r="AZ719" s="158"/>
      <c r="BA719" s="169"/>
      <c r="BB719" s="182"/>
      <c r="BC719" s="182"/>
      <c r="BD719" s="185"/>
      <c r="BE719" s="185"/>
      <c r="BF719" s="158" t="str">
        <f t="shared" si="1242"/>
        <v/>
      </c>
      <c r="BG719" s="191"/>
    </row>
    <row r="720" spans="1:59" x14ac:dyDescent="0.25">
      <c r="A720" s="167"/>
      <c r="B720" s="167"/>
      <c r="C720" s="161"/>
      <c r="D720" s="160"/>
      <c r="E720" s="162"/>
      <c r="F720" s="164"/>
      <c r="G720" s="161"/>
      <c r="H720" s="161"/>
      <c r="I720" s="161"/>
      <c r="J720" s="161"/>
      <c r="K720" s="161"/>
      <c r="L720" s="166"/>
      <c r="M720" s="166"/>
      <c r="N720" s="166"/>
      <c r="O720" s="166"/>
      <c r="P720" s="166"/>
      <c r="Q720" s="166"/>
      <c r="R720" s="166"/>
      <c r="S720" s="167"/>
      <c r="T720" s="167"/>
      <c r="U720" s="167"/>
      <c r="V720" s="167"/>
      <c r="W720" s="167"/>
      <c r="X720" s="164"/>
      <c r="Y720" s="164"/>
      <c r="Z720" s="172"/>
      <c r="AA720" s="188"/>
      <c r="AB720" s="172"/>
      <c r="AC720" s="172"/>
      <c r="AD720" s="175"/>
      <c r="AE720" s="62" t="s">
        <v>153</v>
      </c>
      <c r="AF720" s="133"/>
      <c r="AG720" s="65"/>
      <c r="AH720" s="64"/>
      <c r="AI720" s="64"/>
      <c r="AJ720" s="64"/>
      <c r="AK720" s="64"/>
      <c r="AL720" s="64"/>
      <c r="AM720" s="80" t="str">
        <f>IFERROR((Tablas!$C$1*VLOOKUP(AH720, tipo_control, 2, 0)+Tablas!$E$1*VLOOKUP(AI720, nat_control, 2, 0)+Tablas!$G$1*VLOOKUP(AJ720, ev_control, 2, 0)+Tablas!$I$1*VLOOKUP(AK720, frec_control, 2, 0)+Tablas!$K$1*VLOOKUP(AL720, doc_control, 2, 0))*0.1*peso_dis, "")</f>
        <v/>
      </c>
      <c r="AN720" s="64"/>
      <c r="AO720" s="64"/>
      <c r="AP720" s="64"/>
      <c r="AQ720" s="80" t="str">
        <f>IFERROR((Tablas!$C$9*VLOOKUP(AN720, amb_control, 2, 0)+Tablas!$E$9*VLOOKUP(AO720, ejec_control, 2, 0)+Tablas!$G$9*VLOOKUP(AP720, cub_control, 2, 0))*0.1*peso_ejec, "")</f>
        <v/>
      </c>
      <c r="AR720" s="91" t="str">
        <f t="shared" si="1230"/>
        <v/>
      </c>
      <c r="AS720" s="85" t="str">
        <f t="shared" si="1143"/>
        <v/>
      </c>
      <c r="AT720" s="85" t="str">
        <f t="shared" si="1144"/>
        <v/>
      </c>
      <c r="AU720" s="85" t="str">
        <f>IF(AR720&lt;Tablas!$G$19, 0, IF(AND(AR720&gt;=Tablas!$G$19, AR720&lt;Tablas!$G$20), 1,  IF(AND(AR720&gt;=Tablas!$G$20, AR720&lt;Tablas!$G$21), 2,  IF(AND(AR720&gt;=Tablas!$G$21, AR720&lt;=Tablas!$G$22), 3,  ""))))</f>
        <v/>
      </c>
      <c r="AV720" s="85" t="str">
        <f t="shared" si="1231"/>
        <v/>
      </c>
      <c r="AW720" s="101" t="str">
        <f t="shared" si="1232"/>
        <v/>
      </c>
      <c r="AX720" s="177"/>
      <c r="AY720" s="169"/>
      <c r="AZ720" s="158"/>
      <c r="BA720" s="169"/>
      <c r="BB720" s="182"/>
      <c r="BC720" s="182"/>
      <c r="BD720" s="185"/>
      <c r="BE720" s="185"/>
      <c r="BF720" s="158"/>
      <c r="BG720" s="191"/>
    </row>
    <row r="721" spans="1:59" ht="15.75" thickBot="1" x14ac:dyDescent="0.3">
      <c r="A721" s="167"/>
      <c r="B721" s="167"/>
      <c r="C721" s="161"/>
      <c r="D721" s="160"/>
      <c r="E721" s="162"/>
      <c r="F721" s="165"/>
      <c r="G721" s="161"/>
      <c r="H721" s="161"/>
      <c r="I721" s="161"/>
      <c r="J721" s="161"/>
      <c r="K721" s="161"/>
      <c r="L721" s="166"/>
      <c r="M721" s="166"/>
      <c r="N721" s="166"/>
      <c r="O721" s="166"/>
      <c r="P721" s="166"/>
      <c r="Q721" s="166"/>
      <c r="R721" s="166"/>
      <c r="S721" s="149"/>
      <c r="T721" s="149"/>
      <c r="U721" s="149"/>
      <c r="V721" s="149"/>
      <c r="W721" s="149"/>
      <c r="X721" s="165"/>
      <c r="Y721" s="165"/>
      <c r="Z721" s="172"/>
      <c r="AA721" s="188"/>
      <c r="AB721" s="172"/>
      <c r="AC721" s="172"/>
      <c r="AD721" s="175"/>
      <c r="AE721" s="66" t="s">
        <v>154</v>
      </c>
      <c r="AF721" s="134"/>
      <c r="AG721" s="67"/>
      <c r="AH721" s="69"/>
      <c r="AI721" s="69"/>
      <c r="AJ721" s="69"/>
      <c r="AK721" s="69"/>
      <c r="AL721" s="69"/>
      <c r="AM721" s="81" t="str">
        <f>IFERROR((Tablas!$C$1*VLOOKUP(AH721, tipo_control, 2, 0)+Tablas!$E$1*VLOOKUP(AI721, nat_control, 2, 0)+Tablas!$G$1*VLOOKUP(AJ721, ev_control, 2, 0)+Tablas!$I$1*VLOOKUP(AK721, frec_control, 2, 0)+Tablas!$K$1*VLOOKUP(AL721, doc_control, 2, 0))*0.1*peso_dis, "")</f>
        <v/>
      </c>
      <c r="AN721" s="69"/>
      <c r="AO721" s="69"/>
      <c r="AP721" s="69"/>
      <c r="AQ721" s="81" t="str">
        <f>IFERROR((Tablas!$C$9*VLOOKUP(AN721, amb_control, 2, 0)+Tablas!$E$9*VLOOKUP(AO721, ejec_control, 2, 0)+Tablas!$G$9*VLOOKUP(AP721, cub_control, 2, 0))*0.1*peso_ejec, "")</f>
        <v/>
      </c>
      <c r="AR721" s="93" t="str">
        <f t="shared" si="1230"/>
        <v/>
      </c>
      <c r="AS721" s="94" t="str">
        <f t="shared" si="1143"/>
        <v/>
      </c>
      <c r="AT721" s="94" t="str">
        <f t="shared" si="1144"/>
        <v/>
      </c>
      <c r="AU721" s="94" t="str">
        <f>IF(AR721&lt;Tablas!$G$19, 0, IF(AND(AR721&gt;=Tablas!$G$19, AR721&lt;Tablas!$G$20), 1,  IF(AND(AR721&gt;=Tablas!$G$20, AR721&lt;Tablas!$G$21), 2,  IF(AND(AR721&gt;=Tablas!$G$21, AR721&lt;=Tablas!$G$22), 3,  ""))))</f>
        <v/>
      </c>
      <c r="AV721" s="94" t="str">
        <f t="shared" si="1231"/>
        <v/>
      </c>
      <c r="AW721" s="102" t="str">
        <f t="shared" si="1232"/>
        <v/>
      </c>
      <c r="AX721" s="157"/>
      <c r="AY721" s="170"/>
      <c r="AZ721" s="179"/>
      <c r="BA721" s="170"/>
      <c r="BB721" s="182"/>
      <c r="BC721" s="182"/>
      <c r="BD721" s="185"/>
      <c r="BE721" s="185"/>
      <c r="BF721" s="159"/>
      <c r="BG721" s="191"/>
    </row>
    <row r="722" spans="1:59" x14ac:dyDescent="0.25">
      <c r="A722" s="167"/>
      <c r="B722" s="167"/>
      <c r="C722" s="161" t="s">
        <v>18</v>
      </c>
      <c r="D722" s="160" t="s">
        <v>158</v>
      </c>
      <c r="E722" s="162"/>
      <c r="F722" s="163" t="str">
        <f t="shared" ref="F722:F782" si="1243">IFERROR(VLOOKUP(E722, tabla01, 3, 0), "")</f>
        <v/>
      </c>
      <c r="G722" s="149"/>
      <c r="H722" s="149"/>
      <c r="I722" s="149"/>
      <c r="J722" s="149"/>
      <c r="K722" s="149"/>
      <c r="L722" s="165" t="str">
        <f t="shared" ref="L722" si="1244">IFERROR(VLOOKUP(G722, tabla02, 2, 0), "")</f>
        <v/>
      </c>
      <c r="M722" s="165" t="str">
        <f t="shared" ref="M722" si="1245">IFERROR(VLOOKUP(H722, tabla02, 2, 0), "")</f>
        <v/>
      </c>
      <c r="N722" s="165" t="str">
        <f t="shared" ref="N722" si="1246">IFERROR(VLOOKUP(I722, tabla02, 2, 0), "")</f>
        <v/>
      </c>
      <c r="O722" s="165" t="str">
        <f t="shared" ref="O722" si="1247">IFERROR(VLOOKUP(J722, tabla02, 2, 0), "")</f>
        <v/>
      </c>
      <c r="P722" s="165" t="str">
        <f t="shared" ref="P722" si="1248">IFERROR(VLOOKUP(K722, tabla02, 2, 0), "")</f>
        <v/>
      </c>
      <c r="Q722" s="165" t="str">
        <f t="shared" ref="Q722" si="1249">IF(SUM(L722:O726)=0, "", MAX(L722:P722))</f>
        <v/>
      </c>
      <c r="R722" s="165" t="str">
        <f>IFERROR(VLOOKUP(Q722, tabla04, 3, 0), "")</f>
        <v/>
      </c>
      <c r="S722" s="148"/>
      <c r="T722" s="148"/>
      <c r="U722" s="148"/>
      <c r="V722" s="148"/>
      <c r="W722" s="148"/>
      <c r="X722" s="163" t="str">
        <f>IFERROR(VLOOKUP(CONCATENATE(F722, "-", Q722), cuadrante_sev, 3, 0), "")</f>
        <v/>
      </c>
      <c r="Y722" s="163" t="str">
        <f t="shared" ref="Y722" si="1250">IFERROR(IF(X722="Baja", 1, IF(X722="Moderada", 2, IF(X722="Alta", 3, IF(X722="Extrema", 4, "")))), "")</f>
        <v/>
      </c>
      <c r="Z722" s="172"/>
      <c r="AA722" s="188"/>
      <c r="AB722" s="172"/>
      <c r="AC722" s="172"/>
      <c r="AD722" s="175"/>
      <c r="AE722" s="70" t="s">
        <v>113</v>
      </c>
      <c r="AF722" s="135"/>
      <c r="AG722" s="77"/>
      <c r="AH722" s="61"/>
      <c r="AI722" s="61"/>
      <c r="AJ722" s="61"/>
      <c r="AK722" s="61"/>
      <c r="AL722" s="61"/>
      <c r="AM722" s="82" t="str">
        <f>IFERROR((Tablas!$C$1*VLOOKUP(AH722, tipo_control, 2, 0)+Tablas!$E$1*VLOOKUP(AI722, nat_control, 2, 0)+Tablas!$G$1*VLOOKUP(AJ722, ev_control, 2, 0)+Tablas!$I$1*VLOOKUP(AK722, frec_control, 2, 0)+Tablas!$K$1*VLOOKUP(AL722, doc_control, 2, 0))*0.1*peso_dis, "")</f>
        <v/>
      </c>
      <c r="AN722" s="61"/>
      <c r="AO722" s="61"/>
      <c r="AP722" s="61"/>
      <c r="AQ722" s="82" t="str">
        <f>IFERROR((Tablas!$C$9*VLOOKUP(AN722, amb_control, 2, 0)+Tablas!$E$9*VLOOKUP(AO722, ejec_control, 2, 0)+Tablas!$G$9*VLOOKUP(AP722, cub_control, 2, 0))*0.1*peso_ejec, "")</f>
        <v/>
      </c>
      <c r="AR722" s="96" t="str">
        <f t="shared" si="1230"/>
        <v/>
      </c>
      <c r="AS722" s="97" t="str">
        <f t="shared" ref="AS722:AS785" si="1251">IFERROR(VLOOKUP(AH722, tabla03, 12, 0), "")</f>
        <v/>
      </c>
      <c r="AT722" s="87" t="str">
        <f t="shared" ref="AT722:AT785" si="1252">IFERROR(VLOOKUP(AH722, tabla03, 13, 0), "")</f>
        <v/>
      </c>
      <c r="AU722" s="97" t="str">
        <f>IF(AR722&lt;Tablas!$G$19, 0, IF(AND(AR722&gt;=Tablas!$G$19, AR722&lt;Tablas!$G$20), 1,  IF(AND(AR722&gt;=Tablas!$G$20, AR722&lt;Tablas!$G$21), 2,  IF(AND(AR722&gt;=Tablas!$G$21, AR722&lt;=Tablas!$G$22), 3,  ""))))</f>
        <v/>
      </c>
      <c r="AV722" s="97" t="str">
        <f t="shared" si="1231"/>
        <v/>
      </c>
      <c r="AW722" s="103" t="str">
        <f t="shared" si="1232"/>
        <v/>
      </c>
      <c r="AX722" s="176" t="str">
        <f t="shared" ref="AX722" si="1253">IFERROR(VLOOKUP(AY722, tabla04, 2, 0), "")</f>
        <v/>
      </c>
      <c r="AY722" s="168" t="str">
        <f>IF(F722="", "", IF((F722-MAX(AV722:AV726))&lt;=0, 1, F722-MAX(AV722:AV726)))</f>
        <v/>
      </c>
      <c r="AZ722" s="178" t="str">
        <f t="shared" ref="AZ722" si="1254">IFERROR(VLOOKUP(BA722, tabla04, 3, 0), "")</f>
        <v/>
      </c>
      <c r="BA722" s="168" t="str">
        <f>IF(Q722="", "", IF((Q722-MAX(AW722:AW726))&lt;=0, 1, Q722-MAX(AW722:AW726)))</f>
        <v/>
      </c>
      <c r="BB722" s="182"/>
      <c r="BC722" s="182"/>
      <c r="BD722" s="185"/>
      <c r="BE722" s="185"/>
      <c r="BF722" s="158" t="str">
        <f t="shared" ref="BF722:BF724" si="1255">IFERROR(VLOOKUP(CONCATENATE(AY722, "-", BA722), cuadrante_sev, 3, 0), "")</f>
        <v/>
      </c>
      <c r="BG722" s="191"/>
    </row>
    <row r="723" spans="1:59" x14ac:dyDescent="0.25">
      <c r="A723" s="167"/>
      <c r="B723" s="167"/>
      <c r="C723" s="161"/>
      <c r="D723" s="160"/>
      <c r="E723" s="162"/>
      <c r="F723" s="164"/>
      <c r="G723" s="161"/>
      <c r="H723" s="161"/>
      <c r="I723" s="161"/>
      <c r="J723" s="161"/>
      <c r="K723" s="161"/>
      <c r="L723" s="166"/>
      <c r="M723" s="166"/>
      <c r="N723" s="166"/>
      <c r="O723" s="166"/>
      <c r="P723" s="166"/>
      <c r="Q723" s="166"/>
      <c r="R723" s="166"/>
      <c r="S723" s="167"/>
      <c r="T723" s="167"/>
      <c r="U723" s="167"/>
      <c r="V723" s="167"/>
      <c r="W723" s="167"/>
      <c r="X723" s="164"/>
      <c r="Y723" s="164"/>
      <c r="Z723" s="172"/>
      <c r="AA723" s="188"/>
      <c r="AB723" s="172"/>
      <c r="AC723" s="172"/>
      <c r="AD723" s="175"/>
      <c r="AE723" s="62" t="s">
        <v>114</v>
      </c>
      <c r="AF723" s="133"/>
      <c r="AG723" s="65"/>
      <c r="AH723" s="64"/>
      <c r="AI723" s="64"/>
      <c r="AJ723" s="64"/>
      <c r="AK723" s="64"/>
      <c r="AL723" s="64"/>
      <c r="AM723" s="80" t="str">
        <f>IFERROR((Tablas!$C$1*VLOOKUP(AH723, tipo_control, 2, 0)+Tablas!$E$1*VLOOKUP(AI723, nat_control, 2, 0)+Tablas!$G$1*VLOOKUP(AJ723, ev_control, 2, 0)+Tablas!$I$1*VLOOKUP(AK723, frec_control, 2, 0)+Tablas!$K$1*VLOOKUP(AL723, doc_control, 2, 0))*0.1*peso_dis, "")</f>
        <v/>
      </c>
      <c r="AN723" s="64"/>
      <c r="AO723" s="64"/>
      <c r="AP723" s="64"/>
      <c r="AQ723" s="80" t="str">
        <f>IFERROR((Tablas!$C$9*VLOOKUP(AN723, amb_control, 2, 0)+Tablas!$E$9*VLOOKUP(AO723, ejec_control, 2, 0)+Tablas!$G$9*VLOOKUP(AP723, cub_control, 2, 0))*0.1*peso_ejec, "")</f>
        <v/>
      </c>
      <c r="AR723" s="91" t="str">
        <f t="shared" si="1230"/>
        <v/>
      </c>
      <c r="AS723" s="85" t="str">
        <f t="shared" si="1251"/>
        <v/>
      </c>
      <c r="AT723" s="85" t="str">
        <f t="shared" si="1252"/>
        <v/>
      </c>
      <c r="AU723" s="85" t="str">
        <f>IF(AR723&lt;Tablas!$G$19, 0, IF(AND(AR723&gt;=Tablas!$G$19, AR723&lt;Tablas!$G$20), 1,  IF(AND(AR723&gt;=Tablas!$G$20, AR723&lt;Tablas!$G$21), 2,  IF(AND(AR723&gt;=Tablas!$G$21, AR723&lt;=Tablas!$G$22), 3,  ""))))</f>
        <v/>
      </c>
      <c r="AV723" s="85" t="str">
        <f t="shared" si="1231"/>
        <v/>
      </c>
      <c r="AW723" s="101" t="str">
        <f t="shared" si="1232"/>
        <v/>
      </c>
      <c r="AX723" s="177"/>
      <c r="AY723" s="169"/>
      <c r="AZ723" s="158"/>
      <c r="BA723" s="169"/>
      <c r="BB723" s="182"/>
      <c r="BC723" s="182"/>
      <c r="BD723" s="185"/>
      <c r="BE723" s="185"/>
      <c r="BF723" s="158" t="str">
        <f t="shared" si="1255"/>
        <v/>
      </c>
      <c r="BG723" s="191"/>
    </row>
    <row r="724" spans="1:59" x14ac:dyDescent="0.25">
      <c r="A724" s="167"/>
      <c r="B724" s="167"/>
      <c r="C724" s="161"/>
      <c r="D724" s="160"/>
      <c r="E724" s="162"/>
      <c r="F724" s="164"/>
      <c r="G724" s="161"/>
      <c r="H724" s="161"/>
      <c r="I724" s="161"/>
      <c r="J724" s="161"/>
      <c r="K724" s="161"/>
      <c r="L724" s="166"/>
      <c r="M724" s="166"/>
      <c r="N724" s="166"/>
      <c r="O724" s="166"/>
      <c r="P724" s="166"/>
      <c r="Q724" s="166"/>
      <c r="R724" s="166"/>
      <c r="S724" s="167"/>
      <c r="T724" s="167"/>
      <c r="U724" s="167"/>
      <c r="V724" s="167"/>
      <c r="W724" s="167"/>
      <c r="X724" s="164"/>
      <c r="Y724" s="164"/>
      <c r="Z724" s="172"/>
      <c r="AA724" s="188"/>
      <c r="AB724" s="172"/>
      <c r="AC724" s="172"/>
      <c r="AD724" s="175"/>
      <c r="AE724" s="62" t="s">
        <v>115</v>
      </c>
      <c r="AF724" s="133"/>
      <c r="AG724" s="65"/>
      <c r="AH724" s="64"/>
      <c r="AI724" s="64"/>
      <c r="AJ724" s="64"/>
      <c r="AK724" s="64"/>
      <c r="AL724" s="64"/>
      <c r="AM724" s="80" t="str">
        <f>IFERROR((Tablas!$C$1*VLOOKUP(AH724, tipo_control, 2, 0)+Tablas!$E$1*VLOOKUP(AI724, nat_control, 2, 0)+Tablas!$G$1*VLOOKUP(AJ724, ev_control, 2, 0)+Tablas!$I$1*VLOOKUP(AK724, frec_control, 2, 0)+Tablas!$K$1*VLOOKUP(AL724, doc_control, 2, 0))*0.1*peso_dis, "")</f>
        <v/>
      </c>
      <c r="AN724" s="64"/>
      <c r="AO724" s="64"/>
      <c r="AP724" s="64"/>
      <c r="AQ724" s="80" t="str">
        <f>IFERROR((Tablas!$C$9*VLOOKUP(AN724, amb_control, 2, 0)+Tablas!$E$9*VLOOKUP(AO724, ejec_control, 2, 0)+Tablas!$G$9*VLOOKUP(AP724, cub_control, 2, 0))*0.1*peso_ejec, "")</f>
        <v/>
      </c>
      <c r="AR724" s="91" t="str">
        <f t="shared" si="1230"/>
        <v/>
      </c>
      <c r="AS724" s="85" t="str">
        <f t="shared" si="1251"/>
        <v/>
      </c>
      <c r="AT724" s="85" t="str">
        <f t="shared" si="1252"/>
        <v/>
      </c>
      <c r="AU724" s="85" t="str">
        <f>IF(AR724&lt;Tablas!$G$19, 0, IF(AND(AR724&gt;=Tablas!$G$19, AR724&lt;Tablas!$G$20), 1,  IF(AND(AR724&gt;=Tablas!$G$20, AR724&lt;Tablas!$G$21), 2,  IF(AND(AR724&gt;=Tablas!$G$21, AR724&lt;=Tablas!$G$22), 3,  ""))))</f>
        <v/>
      </c>
      <c r="AV724" s="85" t="str">
        <f t="shared" si="1231"/>
        <v/>
      </c>
      <c r="AW724" s="101" t="str">
        <f t="shared" si="1232"/>
        <v/>
      </c>
      <c r="AX724" s="177"/>
      <c r="AY724" s="169"/>
      <c r="AZ724" s="158"/>
      <c r="BA724" s="169"/>
      <c r="BB724" s="182"/>
      <c r="BC724" s="182"/>
      <c r="BD724" s="185"/>
      <c r="BE724" s="185"/>
      <c r="BF724" s="158" t="str">
        <f t="shared" si="1255"/>
        <v/>
      </c>
      <c r="BG724" s="191"/>
    </row>
    <row r="725" spans="1:59" x14ac:dyDescent="0.25">
      <c r="A725" s="167"/>
      <c r="B725" s="167"/>
      <c r="C725" s="161"/>
      <c r="D725" s="160"/>
      <c r="E725" s="162"/>
      <c r="F725" s="164"/>
      <c r="G725" s="161"/>
      <c r="H725" s="161"/>
      <c r="I725" s="161"/>
      <c r="J725" s="161"/>
      <c r="K725" s="161"/>
      <c r="L725" s="166"/>
      <c r="M725" s="166"/>
      <c r="N725" s="166"/>
      <c r="O725" s="166"/>
      <c r="P725" s="166"/>
      <c r="Q725" s="166"/>
      <c r="R725" s="166"/>
      <c r="S725" s="167"/>
      <c r="T725" s="167"/>
      <c r="U725" s="167"/>
      <c r="V725" s="167"/>
      <c r="W725" s="167"/>
      <c r="X725" s="164"/>
      <c r="Y725" s="164"/>
      <c r="Z725" s="172"/>
      <c r="AA725" s="188"/>
      <c r="AB725" s="172"/>
      <c r="AC725" s="172"/>
      <c r="AD725" s="175"/>
      <c r="AE725" s="62" t="s">
        <v>153</v>
      </c>
      <c r="AF725" s="133"/>
      <c r="AG725" s="65"/>
      <c r="AH725" s="64"/>
      <c r="AI725" s="64"/>
      <c r="AJ725" s="64"/>
      <c r="AK725" s="64"/>
      <c r="AL725" s="64"/>
      <c r="AM725" s="80" t="str">
        <f>IFERROR((Tablas!$C$1*VLOOKUP(AH725, tipo_control, 2, 0)+Tablas!$E$1*VLOOKUP(AI725, nat_control, 2, 0)+Tablas!$G$1*VLOOKUP(AJ725, ev_control, 2, 0)+Tablas!$I$1*VLOOKUP(AK725, frec_control, 2, 0)+Tablas!$K$1*VLOOKUP(AL725, doc_control, 2, 0))*0.1*peso_dis, "")</f>
        <v/>
      </c>
      <c r="AN725" s="64"/>
      <c r="AO725" s="64"/>
      <c r="AP725" s="64"/>
      <c r="AQ725" s="80" t="str">
        <f>IFERROR((Tablas!$C$9*VLOOKUP(AN725, amb_control, 2, 0)+Tablas!$E$9*VLOOKUP(AO725, ejec_control, 2, 0)+Tablas!$G$9*VLOOKUP(AP725, cub_control, 2, 0))*0.1*peso_ejec, "")</f>
        <v/>
      </c>
      <c r="AR725" s="91" t="str">
        <f t="shared" si="1230"/>
        <v/>
      </c>
      <c r="AS725" s="85" t="str">
        <f t="shared" si="1251"/>
        <v/>
      </c>
      <c r="AT725" s="85" t="str">
        <f t="shared" si="1252"/>
        <v/>
      </c>
      <c r="AU725" s="85" t="str">
        <f>IF(AR725&lt;Tablas!$G$19, 0, IF(AND(AR725&gt;=Tablas!$G$19, AR725&lt;Tablas!$G$20), 1,  IF(AND(AR725&gt;=Tablas!$G$20, AR725&lt;Tablas!$G$21), 2,  IF(AND(AR725&gt;=Tablas!$G$21, AR725&lt;=Tablas!$G$22), 3,  ""))))</f>
        <v/>
      </c>
      <c r="AV725" s="85" t="str">
        <f t="shared" si="1231"/>
        <v/>
      </c>
      <c r="AW725" s="101" t="str">
        <f t="shared" si="1232"/>
        <v/>
      </c>
      <c r="AX725" s="177"/>
      <c r="AY725" s="169"/>
      <c r="AZ725" s="158"/>
      <c r="BA725" s="169"/>
      <c r="BB725" s="182"/>
      <c r="BC725" s="182"/>
      <c r="BD725" s="185"/>
      <c r="BE725" s="185"/>
      <c r="BF725" s="158"/>
      <c r="BG725" s="191"/>
    </row>
    <row r="726" spans="1:59" ht="15.75" thickBot="1" x14ac:dyDescent="0.3">
      <c r="A726" s="167"/>
      <c r="B726" s="167"/>
      <c r="C726" s="161"/>
      <c r="D726" s="160"/>
      <c r="E726" s="162"/>
      <c r="F726" s="165"/>
      <c r="G726" s="161"/>
      <c r="H726" s="161"/>
      <c r="I726" s="161"/>
      <c r="J726" s="161"/>
      <c r="K726" s="161"/>
      <c r="L726" s="166"/>
      <c r="M726" s="166"/>
      <c r="N726" s="166"/>
      <c r="O726" s="166"/>
      <c r="P726" s="166"/>
      <c r="Q726" s="166"/>
      <c r="R726" s="166"/>
      <c r="S726" s="149"/>
      <c r="T726" s="149"/>
      <c r="U726" s="149"/>
      <c r="V726" s="149"/>
      <c r="W726" s="149"/>
      <c r="X726" s="165"/>
      <c r="Y726" s="165"/>
      <c r="Z726" s="172"/>
      <c r="AA726" s="188"/>
      <c r="AB726" s="172"/>
      <c r="AC726" s="172"/>
      <c r="AD726" s="175"/>
      <c r="AE726" s="66" t="s">
        <v>154</v>
      </c>
      <c r="AF726" s="134"/>
      <c r="AG726" s="67"/>
      <c r="AH726" s="69"/>
      <c r="AI726" s="69"/>
      <c r="AJ726" s="69"/>
      <c r="AK726" s="69"/>
      <c r="AL726" s="69"/>
      <c r="AM726" s="81" t="str">
        <f>IFERROR((Tablas!$C$1*VLOOKUP(AH726, tipo_control, 2, 0)+Tablas!$E$1*VLOOKUP(AI726, nat_control, 2, 0)+Tablas!$G$1*VLOOKUP(AJ726, ev_control, 2, 0)+Tablas!$I$1*VLOOKUP(AK726, frec_control, 2, 0)+Tablas!$K$1*VLOOKUP(AL726, doc_control, 2, 0))*0.1*peso_dis, "")</f>
        <v/>
      </c>
      <c r="AN726" s="69"/>
      <c r="AO726" s="69"/>
      <c r="AP726" s="69"/>
      <c r="AQ726" s="81" t="str">
        <f>IFERROR((Tablas!$C$9*VLOOKUP(AN726, amb_control, 2, 0)+Tablas!$E$9*VLOOKUP(AO726, ejec_control, 2, 0)+Tablas!$G$9*VLOOKUP(AP726, cub_control, 2, 0))*0.1*peso_ejec, "")</f>
        <v/>
      </c>
      <c r="AR726" s="93" t="str">
        <f t="shared" si="1230"/>
        <v/>
      </c>
      <c r="AS726" s="94" t="str">
        <f t="shared" si="1251"/>
        <v/>
      </c>
      <c r="AT726" s="94" t="str">
        <f t="shared" si="1252"/>
        <v/>
      </c>
      <c r="AU726" s="94" t="str">
        <f>IF(AR726&lt;Tablas!$G$19, 0, IF(AND(AR726&gt;=Tablas!$G$19, AR726&lt;Tablas!$G$20), 1,  IF(AND(AR726&gt;=Tablas!$G$20, AR726&lt;Tablas!$G$21), 2,  IF(AND(AR726&gt;=Tablas!$G$21, AR726&lt;=Tablas!$G$22), 3,  ""))))</f>
        <v/>
      </c>
      <c r="AV726" s="94" t="str">
        <f t="shared" si="1231"/>
        <v/>
      </c>
      <c r="AW726" s="102" t="str">
        <f t="shared" si="1232"/>
        <v/>
      </c>
      <c r="AX726" s="157"/>
      <c r="AY726" s="170"/>
      <c r="AZ726" s="179"/>
      <c r="BA726" s="170"/>
      <c r="BB726" s="182"/>
      <c r="BC726" s="182"/>
      <c r="BD726" s="185"/>
      <c r="BE726" s="185"/>
      <c r="BF726" s="159"/>
      <c r="BG726" s="191"/>
    </row>
    <row r="727" spans="1:59" x14ac:dyDescent="0.25">
      <c r="A727" s="167"/>
      <c r="B727" s="167"/>
      <c r="C727" s="161" t="s">
        <v>19</v>
      </c>
      <c r="D727" s="160" t="s">
        <v>158</v>
      </c>
      <c r="E727" s="162"/>
      <c r="F727" s="163" t="str">
        <f t="shared" si="1243"/>
        <v/>
      </c>
      <c r="G727" s="149"/>
      <c r="H727" s="149"/>
      <c r="I727" s="149"/>
      <c r="J727" s="149"/>
      <c r="K727" s="149"/>
      <c r="L727" s="165" t="str">
        <f t="shared" ref="L727" si="1256">IFERROR(VLOOKUP(G727, tabla02, 2, 0), "")</f>
        <v/>
      </c>
      <c r="M727" s="165" t="str">
        <f t="shared" ref="M727" si="1257">IFERROR(VLOOKUP(H727, tabla02, 2, 0), "")</f>
        <v/>
      </c>
      <c r="N727" s="165" t="str">
        <f t="shared" ref="N727" si="1258">IFERROR(VLOOKUP(I727, tabla02, 2, 0), "")</f>
        <v/>
      </c>
      <c r="O727" s="165" t="str">
        <f t="shared" ref="O727" si="1259">IFERROR(VLOOKUP(J727, tabla02, 2, 0), "")</f>
        <v/>
      </c>
      <c r="P727" s="165" t="str">
        <f t="shared" ref="P727" si="1260">IFERROR(VLOOKUP(K727, tabla02, 2, 0), "")</f>
        <v/>
      </c>
      <c r="Q727" s="165" t="str">
        <f t="shared" ref="Q727" si="1261">IF(SUM(L727:O731)=0, "", MAX(L727:P727))</f>
        <v/>
      </c>
      <c r="R727" s="165" t="str">
        <f>IFERROR(VLOOKUP(Q727, tabla04, 3, 0), "")</f>
        <v/>
      </c>
      <c r="S727" s="148"/>
      <c r="T727" s="148"/>
      <c r="U727" s="148"/>
      <c r="V727" s="148"/>
      <c r="W727" s="148"/>
      <c r="X727" s="163" t="str">
        <f>IFERROR(VLOOKUP(CONCATENATE(F727, "-", Q727), cuadrante_sev, 3, 0), "")</f>
        <v/>
      </c>
      <c r="Y727" s="163" t="str">
        <f t="shared" ref="Y727" si="1262">IFERROR(IF(X727="Baja", 1, IF(X727="Moderada", 2, IF(X727="Alta", 3, IF(X727="Extrema", 4, "")))), "")</f>
        <v/>
      </c>
      <c r="Z727" s="172"/>
      <c r="AA727" s="188"/>
      <c r="AB727" s="172"/>
      <c r="AC727" s="172"/>
      <c r="AD727" s="175"/>
      <c r="AE727" s="70" t="s">
        <v>113</v>
      </c>
      <c r="AF727" s="135"/>
      <c r="AG727" s="74"/>
      <c r="AH727" s="72"/>
      <c r="AI727" s="72"/>
      <c r="AJ727" s="72"/>
      <c r="AK727" s="72"/>
      <c r="AL727" s="72"/>
      <c r="AM727" s="82" t="str">
        <f>IFERROR((Tablas!$C$1*VLOOKUP(AH727, tipo_control, 2, 0)+Tablas!$E$1*VLOOKUP(AI727, nat_control, 2, 0)+Tablas!$G$1*VLOOKUP(AJ727, ev_control, 2, 0)+Tablas!$I$1*VLOOKUP(AK727, frec_control, 2, 0)+Tablas!$K$1*VLOOKUP(AL727, doc_control, 2, 0))*0.1*peso_dis, "")</f>
        <v/>
      </c>
      <c r="AN727" s="72"/>
      <c r="AO727" s="72"/>
      <c r="AP727" s="72"/>
      <c r="AQ727" s="82" t="str">
        <f>IFERROR((Tablas!$C$9*VLOOKUP(AN727, amb_control, 2, 0)+Tablas!$E$9*VLOOKUP(AO727, ejec_control, 2, 0)+Tablas!$G$9*VLOOKUP(AP727, cub_control, 2, 0))*0.1*peso_ejec, "")</f>
        <v/>
      </c>
      <c r="AR727" s="96" t="str">
        <f t="shared" si="1230"/>
        <v/>
      </c>
      <c r="AS727" s="97" t="str">
        <f t="shared" si="1251"/>
        <v/>
      </c>
      <c r="AT727" s="87" t="str">
        <f t="shared" si="1252"/>
        <v/>
      </c>
      <c r="AU727" s="97" t="str">
        <f>IF(AR727&lt;Tablas!$G$19, 0, IF(AND(AR727&gt;=Tablas!$G$19, AR727&lt;Tablas!$G$20), 1,  IF(AND(AR727&gt;=Tablas!$G$20, AR727&lt;Tablas!$G$21), 2,  IF(AND(AR727&gt;=Tablas!$G$21, AR727&lt;=Tablas!$G$22), 3,  ""))))</f>
        <v/>
      </c>
      <c r="AV727" s="97" t="str">
        <f t="shared" si="1231"/>
        <v/>
      </c>
      <c r="AW727" s="103" t="str">
        <f t="shared" si="1232"/>
        <v/>
      </c>
      <c r="AX727" s="176" t="str">
        <f t="shared" ref="AX727" si="1263">IFERROR(VLOOKUP(AY727, tabla04, 2, 0), "")</f>
        <v/>
      </c>
      <c r="AY727" s="168" t="str">
        <f>IF(F727="", "", IF((F727-MAX(AV727:AV731))&lt;=0, 1, F727-MAX(AV727:AV731)))</f>
        <v/>
      </c>
      <c r="AZ727" s="178" t="str">
        <f t="shared" ref="AZ727" si="1264">IFERROR(VLOOKUP(BA727, tabla04, 3, 0), "")</f>
        <v/>
      </c>
      <c r="BA727" s="168" t="str">
        <f>IF(Q727="", "", IF((Q727-MAX(AW727:AW731))&lt;=0, 1, Q727-MAX(AW727:AW731)))</f>
        <v/>
      </c>
      <c r="BB727" s="182"/>
      <c r="BC727" s="182"/>
      <c r="BD727" s="185"/>
      <c r="BE727" s="185"/>
      <c r="BF727" s="158" t="str">
        <f t="shared" ref="BF727:BF729" si="1265">IFERROR(VLOOKUP(CONCATENATE(AY727, "-", BA727), cuadrante_sev, 3, 0), "")</f>
        <v/>
      </c>
      <c r="BG727" s="191"/>
    </row>
    <row r="728" spans="1:59" x14ac:dyDescent="0.25">
      <c r="A728" s="167"/>
      <c r="B728" s="167"/>
      <c r="C728" s="161"/>
      <c r="D728" s="160"/>
      <c r="E728" s="162"/>
      <c r="F728" s="164"/>
      <c r="G728" s="161"/>
      <c r="H728" s="161"/>
      <c r="I728" s="161"/>
      <c r="J728" s="161"/>
      <c r="K728" s="161"/>
      <c r="L728" s="166"/>
      <c r="M728" s="166"/>
      <c r="N728" s="166"/>
      <c r="O728" s="166"/>
      <c r="P728" s="166"/>
      <c r="Q728" s="166"/>
      <c r="R728" s="166"/>
      <c r="S728" s="167"/>
      <c r="T728" s="167"/>
      <c r="U728" s="167"/>
      <c r="V728" s="167"/>
      <c r="W728" s="167"/>
      <c r="X728" s="164"/>
      <c r="Y728" s="164"/>
      <c r="Z728" s="172"/>
      <c r="AA728" s="188"/>
      <c r="AB728" s="172"/>
      <c r="AC728" s="172"/>
      <c r="AD728" s="175"/>
      <c r="AE728" s="62" t="s">
        <v>114</v>
      </c>
      <c r="AF728" s="133"/>
      <c r="AG728" s="65"/>
      <c r="AH728" s="64"/>
      <c r="AI728" s="64"/>
      <c r="AJ728" s="64"/>
      <c r="AK728" s="64"/>
      <c r="AL728" s="64"/>
      <c r="AM728" s="80" t="str">
        <f>IFERROR((Tablas!$C$1*VLOOKUP(AH728, tipo_control, 2, 0)+Tablas!$E$1*VLOOKUP(AI728, nat_control, 2, 0)+Tablas!$G$1*VLOOKUP(AJ728, ev_control, 2, 0)+Tablas!$I$1*VLOOKUP(AK728, frec_control, 2, 0)+Tablas!$K$1*VLOOKUP(AL728, doc_control, 2, 0))*0.1*peso_dis, "")</f>
        <v/>
      </c>
      <c r="AN728" s="64"/>
      <c r="AO728" s="64"/>
      <c r="AP728" s="64"/>
      <c r="AQ728" s="80" t="str">
        <f>IFERROR((Tablas!$C$9*VLOOKUP(AN728, amb_control, 2, 0)+Tablas!$E$9*VLOOKUP(AO728, ejec_control, 2, 0)+Tablas!$G$9*VLOOKUP(AP728, cub_control, 2, 0))*0.1*peso_ejec, "")</f>
        <v/>
      </c>
      <c r="AR728" s="91" t="str">
        <f t="shared" si="1230"/>
        <v/>
      </c>
      <c r="AS728" s="85" t="str">
        <f t="shared" si="1251"/>
        <v/>
      </c>
      <c r="AT728" s="85" t="str">
        <f t="shared" si="1252"/>
        <v/>
      </c>
      <c r="AU728" s="85" t="str">
        <f>IF(AR728&lt;Tablas!$G$19, 0, IF(AND(AR728&gt;=Tablas!$G$19, AR728&lt;Tablas!$G$20), 1,  IF(AND(AR728&gt;=Tablas!$G$20, AR728&lt;Tablas!$G$21), 2,  IF(AND(AR728&gt;=Tablas!$G$21, AR728&lt;=Tablas!$G$22), 3,  ""))))</f>
        <v/>
      </c>
      <c r="AV728" s="85" t="str">
        <f t="shared" si="1231"/>
        <v/>
      </c>
      <c r="AW728" s="101" t="str">
        <f t="shared" si="1232"/>
        <v/>
      </c>
      <c r="AX728" s="177"/>
      <c r="AY728" s="169"/>
      <c r="AZ728" s="158"/>
      <c r="BA728" s="169"/>
      <c r="BB728" s="182"/>
      <c r="BC728" s="182"/>
      <c r="BD728" s="185"/>
      <c r="BE728" s="185"/>
      <c r="BF728" s="158" t="str">
        <f t="shared" si="1265"/>
        <v/>
      </c>
      <c r="BG728" s="191"/>
    </row>
    <row r="729" spans="1:59" x14ac:dyDescent="0.25">
      <c r="A729" s="167"/>
      <c r="B729" s="167"/>
      <c r="C729" s="161"/>
      <c r="D729" s="160"/>
      <c r="E729" s="162"/>
      <c r="F729" s="164"/>
      <c r="G729" s="161"/>
      <c r="H729" s="161"/>
      <c r="I729" s="161"/>
      <c r="J729" s="161"/>
      <c r="K729" s="161"/>
      <c r="L729" s="166"/>
      <c r="M729" s="166"/>
      <c r="N729" s="166"/>
      <c r="O729" s="166"/>
      <c r="P729" s="166"/>
      <c r="Q729" s="166"/>
      <c r="R729" s="166"/>
      <c r="S729" s="167"/>
      <c r="T729" s="167"/>
      <c r="U729" s="167"/>
      <c r="V729" s="167"/>
      <c r="W729" s="167"/>
      <c r="X729" s="164"/>
      <c r="Y729" s="164"/>
      <c r="Z729" s="172"/>
      <c r="AA729" s="188"/>
      <c r="AB729" s="172"/>
      <c r="AC729" s="172"/>
      <c r="AD729" s="175"/>
      <c r="AE729" s="62" t="s">
        <v>115</v>
      </c>
      <c r="AF729" s="133"/>
      <c r="AG729" s="65"/>
      <c r="AH729" s="64"/>
      <c r="AI729" s="64"/>
      <c r="AJ729" s="64"/>
      <c r="AK729" s="64"/>
      <c r="AL729" s="64"/>
      <c r="AM729" s="80" t="str">
        <f>IFERROR((Tablas!$C$1*VLOOKUP(AH729, tipo_control, 2, 0)+Tablas!$E$1*VLOOKUP(AI729, nat_control, 2, 0)+Tablas!$G$1*VLOOKUP(AJ729, ev_control, 2, 0)+Tablas!$I$1*VLOOKUP(AK729, frec_control, 2, 0)+Tablas!$K$1*VLOOKUP(AL729, doc_control, 2, 0))*0.1*peso_dis, "")</f>
        <v/>
      </c>
      <c r="AN729" s="64"/>
      <c r="AO729" s="64"/>
      <c r="AP729" s="64"/>
      <c r="AQ729" s="80" t="str">
        <f>IFERROR((Tablas!$C$9*VLOOKUP(AN729, amb_control, 2, 0)+Tablas!$E$9*VLOOKUP(AO729, ejec_control, 2, 0)+Tablas!$G$9*VLOOKUP(AP729, cub_control, 2, 0))*0.1*peso_ejec, "")</f>
        <v/>
      </c>
      <c r="AR729" s="91" t="str">
        <f t="shared" si="1230"/>
        <v/>
      </c>
      <c r="AS729" s="85" t="str">
        <f t="shared" si="1251"/>
        <v/>
      </c>
      <c r="AT729" s="85" t="str">
        <f t="shared" si="1252"/>
        <v/>
      </c>
      <c r="AU729" s="85" t="str">
        <f>IF(AR729&lt;Tablas!$G$19, 0, IF(AND(AR729&gt;=Tablas!$G$19, AR729&lt;Tablas!$G$20), 1,  IF(AND(AR729&gt;=Tablas!$G$20, AR729&lt;Tablas!$G$21), 2,  IF(AND(AR729&gt;=Tablas!$G$21, AR729&lt;=Tablas!$G$22), 3,  ""))))</f>
        <v/>
      </c>
      <c r="AV729" s="85" t="str">
        <f t="shared" si="1231"/>
        <v/>
      </c>
      <c r="AW729" s="101" t="str">
        <f t="shared" si="1232"/>
        <v/>
      </c>
      <c r="AX729" s="177"/>
      <c r="AY729" s="169"/>
      <c r="AZ729" s="158"/>
      <c r="BA729" s="169"/>
      <c r="BB729" s="182"/>
      <c r="BC729" s="182"/>
      <c r="BD729" s="185"/>
      <c r="BE729" s="185"/>
      <c r="BF729" s="158" t="str">
        <f t="shared" si="1265"/>
        <v/>
      </c>
      <c r="BG729" s="191"/>
    </row>
    <row r="730" spans="1:59" x14ac:dyDescent="0.25">
      <c r="A730" s="167"/>
      <c r="B730" s="167"/>
      <c r="C730" s="161"/>
      <c r="D730" s="160"/>
      <c r="E730" s="162"/>
      <c r="F730" s="164"/>
      <c r="G730" s="161"/>
      <c r="H730" s="161"/>
      <c r="I730" s="161"/>
      <c r="J730" s="161"/>
      <c r="K730" s="161"/>
      <c r="L730" s="166"/>
      <c r="M730" s="166"/>
      <c r="N730" s="166"/>
      <c r="O730" s="166"/>
      <c r="P730" s="166"/>
      <c r="Q730" s="166"/>
      <c r="R730" s="166"/>
      <c r="S730" s="167"/>
      <c r="T730" s="167"/>
      <c r="U730" s="167"/>
      <c r="V730" s="167"/>
      <c r="W730" s="167"/>
      <c r="X730" s="164"/>
      <c r="Y730" s="164"/>
      <c r="Z730" s="172"/>
      <c r="AA730" s="188"/>
      <c r="AB730" s="172"/>
      <c r="AC730" s="172"/>
      <c r="AD730" s="175"/>
      <c r="AE730" s="62" t="s">
        <v>153</v>
      </c>
      <c r="AF730" s="133"/>
      <c r="AG730" s="65"/>
      <c r="AH730" s="64"/>
      <c r="AI730" s="64"/>
      <c r="AJ730" s="64"/>
      <c r="AK730" s="64"/>
      <c r="AL730" s="64"/>
      <c r="AM730" s="80" t="str">
        <f>IFERROR((Tablas!$C$1*VLOOKUP(AH730, tipo_control, 2, 0)+Tablas!$E$1*VLOOKUP(AI730, nat_control, 2, 0)+Tablas!$G$1*VLOOKUP(AJ730, ev_control, 2, 0)+Tablas!$I$1*VLOOKUP(AK730, frec_control, 2, 0)+Tablas!$K$1*VLOOKUP(AL730, doc_control, 2, 0))*0.1*peso_dis, "")</f>
        <v/>
      </c>
      <c r="AN730" s="64"/>
      <c r="AO730" s="64"/>
      <c r="AP730" s="64"/>
      <c r="AQ730" s="80" t="str">
        <f>IFERROR((Tablas!$C$9*VLOOKUP(AN730, amb_control, 2, 0)+Tablas!$E$9*VLOOKUP(AO730, ejec_control, 2, 0)+Tablas!$G$9*VLOOKUP(AP730, cub_control, 2, 0))*0.1*peso_ejec, "")</f>
        <v/>
      </c>
      <c r="AR730" s="91" t="str">
        <f t="shared" si="1230"/>
        <v/>
      </c>
      <c r="AS730" s="85" t="str">
        <f t="shared" si="1251"/>
        <v/>
      </c>
      <c r="AT730" s="85" t="str">
        <f t="shared" si="1252"/>
        <v/>
      </c>
      <c r="AU730" s="85" t="str">
        <f>IF(AR730&lt;Tablas!$G$19, 0, IF(AND(AR730&gt;=Tablas!$G$19, AR730&lt;Tablas!$G$20), 1,  IF(AND(AR730&gt;=Tablas!$G$20, AR730&lt;Tablas!$G$21), 2,  IF(AND(AR730&gt;=Tablas!$G$21, AR730&lt;=Tablas!$G$22), 3,  ""))))</f>
        <v/>
      </c>
      <c r="AV730" s="85" t="str">
        <f t="shared" si="1231"/>
        <v/>
      </c>
      <c r="AW730" s="101" t="str">
        <f t="shared" si="1232"/>
        <v/>
      </c>
      <c r="AX730" s="177"/>
      <c r="AY730" s="169"/>
      <c r="AZ730" s="158"/>
      <c r="BA730" s="169"/>
      <c r="BB730" s="182"/>
      <c r="BC730" s="182"/>
      <c r="BD730" s="185"/>
      <c r="BE730" s="185"/>
      <c r="BF730" s="158"/>
      <c r="BG730" s="191"/>
    </row>
    <row r="731" spans="1:59" ht="15.75" thickBot="1" x14ac:dyDescent="0.3">
      <c r="A731" s="167"/>
      <c r="B731" s="167"/>
      <c r="C731" s="161"/>
      <c r="D731" s="160"/>
      <c r="E731" s="162"/>
      <c r="F731" s="165"/>
      <c r="G731" s="161"/>
      <c r="H731" s="161"/>
      <c r="I731" s="161"/>
      <c r="J731" s="161"/>
      <c r="K731" s="161"/>
      <c r="L731" s="166"/>
      <c r="M731" s="166"/>
      <c r="N731" s="166"/>
      <c r="O731" s="166"/>
      <c r="P731" s="166"/>
      <c r="Q731" s="166"/>
      <c r="R731" s="166"/>
      <c r="S731" s="149"/>
      <c r="T731" s="149"/>
      <c r="U731" s="149"/>
      <c r="V731" s="149"/>
      <c r="W731" s="149"/>
      <c r="X731" s="165"/>
      <c r="Y731" s="165"/>
      <c r="Z731" s="172"/>
      <c r="AA731" s="188"/>
      <c r="AB731" s="172"/>
      <c r="AC731" s="172"/>
      <c r="AD731" s="175"/>
      <c r="AE731" s="66" t="s">
        <v>154</v>
      </c>
      <c r="AF731" s="134"/>
      <c r="AG731" s="67"/>
      <c r="AH731" s="69"/>
      <c r="AI731" s="69"/>
      <c r="AJ731" s="69"/>
      <c r="AK731" s="69"/>
      <c r="AL731" s="69"/>
      <c r="AM731" s="81" t="str">
        <f>IFERROR((Tablas!$C$1*VLOOKUP(AH731, tipo_control, 2, 0)+Tablas!$E$1*VLOOKUP(AI731, nat_control, 2, 0)+Tablas!$G$1*VLOOKUP(AJ731, ev_control, 2, 0)+Tablas!$I$1*VLOOKUP(AK731, frec_control, 2, 0)+Tablas!$K$1*VLOOKUP(AL731, doc_control, 2, 0))*0.1*peso_dis, "")</f>
        <v/>
      </c>
      <c r="AN731" s="69"/>
      <c r="AO731" s="69"/>
      <c r="AP731" s="69"/>
      <c r="AQ731" s="81" t="str">
        <f>IFERROR((Tablas!$C$9*VLOOKUP(AN731, amb_control, 2, 0)+Tablas!$E$9*VLOOKUP(AO731, ejec_control, 2, 0)+Tablas!$G$9*VLOOKUP(AP731, cub_control, 2, 0))*0.1*peso_ejec, "")</f>
        <v/>
      </c>
      <c r="AR731" s="93" t="str">
        <f t="shared" si="1230"/>
        <v/>
      </c>
      <c r="AS731" s="94" t="str">
        <f t="shared" si="1251"/>
        <v/>
      </c>
      <c r="AT731" s="94" t="str">
        <f t="shared" si="1252"/>
        <v/>
      </c>
      <c r="AU731" s="94" t="str">
        <f>IF(AR731&lt;Tablas!$G$19, 0, IF(AND(AR731&gt;=Tablas!$G$19, AR731&lt;Tablas!$G$20), 1,  IF(AND(AR731&gt;=Tablas!$G$20, AR731&lt;Tablas!$G$21), 2,  IF(AND(AR731&gt;=Tablas!$G$21, AR731&lt;=Tablas!$G$22), 3,  ""))))</f>
        <v/>
      </c>
      <c r="AV731" s="94" t="str">
        <f t="shared" si="1231"/>
        <v/>
      </c>
      <c r="AW731" s="102" t="str">
        <f t="shared" si="1232"/>
        <v/>
      </c>
      <c r="AX731" s="157"/>
      <c r="AY731" s="170"/>
      <c r="AZ731" s="179"/>
      <c r="BA731" s="170"/>
      <c r="BB731" s="182"/>
      <c r="BC731" s="182"/>
      <c r="BD731" s="185"/>
      <c r="BE731" s="185"/>
      <c r="BF731" s="159"/>
      <c r="BG731" s="191"/>
    </row>
    <row r="732" spans="1:59" x14ac:dyDescent="0.25">
      <c r="A732" s="167"/>
      <c r="B732" s="167"/>
      <c r="C732" s="161" t="s">
        <v>20</v>
      </c>
      <c r="D732" s="160" t="s">
        <v>158</v>
      </c>
      <c r="E732" s="162"/>
      <c r="F732" s="163" t="str">
        <f t="shared" si="1243"/>
        <v/>
      </c>
      <c r="G732" s="149"/>
      <c r="H732" s="149"/>
      <c r="I732" s="149"/>
      <c r="J732" s="149"/>
      <c r="K732" s="149"/>
      <c r="L732" s="165" t="str">
        <f t="shared" ref="L732" si="1266">IFERROR(VLOOKUP(G732, tabla02, 2, 0), "")</f>
        <v/>
      </c>
      <c r="M732" s="165" t="str">
        <f t="shared" ref="M732" si="1267">IFERROR(VLOOKUP(H732, tabla02, 2, 0), "")</f>
        <v/>
      </c>
      <c r="N732" s="165" t="str">
        <f t="shared" ref="N732" si="1268">IFERROR(VLOOKUP(I732, tabla02, 2, 0), "")</f>
        <v/>
      </c>
      <c r="O732" s="165" t="str">
        <f t="shared" ref="O732" si="1269">IFERROR(VLOOKUP(J732, tabla02, 2, 0), "")</f>
        <v/>
      </c>
      <c r="P732" s="165" t="str">
        <f t="shared" ref="P732" si="1270">IFERROR(VLOOKUP(K732, tabla02, 2, 0), "")</f>
        <v/>
      </c>
      <c r="Q732" s="165" t="str">
        <f t="shared" ref="Q732" si="1271">IF(SUM(L732:O736)=0, "", MAX(L732:P732))</f>
        <v/>
      </c>
      <c r="R732" s="165" t="str">
        <f>IFERROR(VLOOKUP(Q732, tabla04, 3, 0), "")</f>
        <v/>
      </c>
      <c r="S732" s="148"/>
      <c r="T732" s="148"/>
      <c r="U732" s="148"/>
      <c r="V732" s="148"/>
      <c r="W732" s="148"/>
      <c r="X732" s="163" t="str">
        <f>IFERROR(VLOOKUP(CONCATENATE(F732, "-", Q732), cuadrante_sev, 3, 0), "")</f>
        <v/>
      </c>
      <c r="Y732" s="163" t="str">
        <f t="shared" ref="Y732" si="1272">IFERROR(IF(X732="Baja", 1, IF(X732="Moderada", 2, IF(X732="Alta", 3, IF(X732="Extrema", 4, "")))), "")</f>
        <v/>
      </c>
      <c r="Z732" s="172"/>
      <c r="AA732" s="188"/>
      <c r="AB732" s="172"/>
      <c r="AC732" s="172"/>
      <c r="AD732" s="175"/>
      <c r="AE732" s="70" t="s">
        <v>113</v>
      </c>
      <c r="AF732" s="135"/>
      <c r="AG732" s="74"/>
      <c r="AH732" s="72"/>
      <c r="AI732" s="72"/>
      <c r="AJ732" s="72"/>
      <c r="AK732" s="72"/>
      <c r="AL732" s="72"/>
      <c r="AM732" s="82" t="str">
        <f>IFERROR((Tablas!$C$1*VLOOKUP(AH732, tipo_control, 2, 0)+Tablas!$E$1*VLOOKUP(AI732, nat_control, 2, 0)+Tablas!$G$1*VLOOKUP(AJ732, ev_control, 2, 0)+Tablas!$I$1*VLOOKUP(AK732, frec_control, 2, 0)+Tablas!$K$1*VLOOKUP(AL732, doc_control, 2, 0))*0.1*peso_dis, "")</f>
        <v/>
      </c>
      <c r="AN732" s="72"/>
      <c r="AO732" s="72"/>
      <c r="AP732" s="72"/>
      <c r="AQ732" s="82" t="str">
        <f>IFERROR((Tablas!$C$9*VLOOKUP(AN732, amb_control, 2, 0)+Tablas!$E$9*VLOOKUP(AO732, ejec_control, 2, 0)+Tablas!$G$9*VLOOKUP(AP732, cub_control, 2, 0))*0.1*peso_ejec, "")</f>
        <v/>
      </c>
      <c r="AR732" s="96" t="str">
        <f t="shared" si="1230"/>
        <v/>
      </c>
      <c r="AS732" s="97" t="str">
        <f t="shared" si="1251"/>
        <v/>
      </c>
      <c r="AT732" s="87" t="str">
        <f t="shared" si="1252"/>
        <v/>
      </c>
      <c r="AU732" s="97" t="str">
        <f>IF(AR732&lt;Tablas!$G$19, 0, IF(AND(AR732&gt;=Tablas!$G$19, AR732&lt;Tablas!$G$20), 1,  IF(AND(AR732&gt;=Tablas!$G$20, AR732&lt;Tablas!$G$21), 2,  IF(AND(AR732&gt;=Tablas!$G$21, AR732&lt;=Tablas!$G$22), 3,  ""))))</f>
        <v/>
      </c>
      <c r="AV732" s="97" t="str">
        <f t="shared" si="1231"/>
        <v/>
      </c>
      <c r="AW732" s="103" t="str">
        <f t="shared" si="1232"/>
        <v/>
      </c>
      <c r="AX732" s="176" t="str">
        <f t="shared" ref="AX732" si="1273">IFERROR(VLOOKUP(AY732, tabla04, 2, 0), "")</f>
        <v/>
      </c>
      <c r="AY732" s="168" t="str">
        <f>IF(F732="", "", IF((F732-MAX(AV732:AV736))&lt;=0, 1, F732-MAX(AV732:AV736)))</f>
        <v/>
      </c>
      <c r="AZ732" s="178" t="str">
        <f t="shared" ref="AZ732" si="1274">IFERROR(VLOOKUP(BA732, tabla04, 3, 0), "")</f>
        <v/>
      </c>
      <c r="BA732" s="168" t="str">
        <f>IF(Q732="", "", IF((Q732-MAX(AW732:AW736))&lt;=0, 1, Q732-MAX(AW732:AW736)))</f>
        <v/>
      </c>
      <c r="BB732" s="182"/>
      <c r="BC732" s="182"/>
      <c r="BD732" s="185"/>
      <c r="BE732" s="185"/>
      <c r="BF732" s="158" t="str">
        <f t="shared" ref="BF732:BF734" si="1275">IFERROR(VLOOKUP(CONCATENATE(AY732, "-", BA732), cuadrante_sev, 3, 0), "")</f>
        <v/>
      </c>
      <c r="BG732" s="191"/>
    </row>
    <row r="733" spans="1:59" x14ac:dyDescent="0.25">
      <c r="A733" s="167"/>
      <c r="B733" s="167"/>
      <c r="C733" s="161"/>
      <c r="D733" s="160"/>
      <c r="E733" s="162"/>
      <c r="F733" s="164"/>
      <c r="G733" s="161"/>
      <c r="H733" s="161"/>
      <c r="I733" s="161"/>
      <c r="J733" s="161"/>
      <c r="K733" s="161"/>
      <c r="L733" s="166"/>
      <c r="M733" s="166"/>
      <c r="N733" s="166"/>
      <c r="O733" s="166"/>
      <c r="P733" s="166"/>
      <c r="Q733" s="166"/>
      <c r="R733" s="166"/>
      <c r="S733" s="167"/>
      <c r="T733" s="167"/>
      <c r="U733" s="167"/>
      <c r="V733" s="167"/>
      <c r="W733" s="167"/>
      <c r="X733" s="164"/>
      <c r="Y733" s="164"/>
      <c r="Z733" s="172"/>
      <c r="AA733" s="188"/>
      <c r="AB733" s="172"/>
      <c r="AC733" s="172"/>
      <c r="AD733" s="175"/>
      <c r="AE733" s="62" t="s">
        <v>114</v>
      </c>
      <c r="AF733" s="133"/>
      <c r="AG733" s="65"/>
      <c r="AH733" s="64"/>
      <c r="AI733" s="64"/>
      <c r="AJ733" s="64"/>
      <c r="AK733" s="64"/>
      <c r="AL733" s="64"/>
      <c r="AM733" s="80" t="str">
        <f>IFERROR((Tablas!$C$1*VLOOKUP(AH733, tipo_control, 2, 0)+Tablas!$E$1*VLOOKUP(AI733, nat_control, 2, 0)+Tablas!$G$1*VLOOKUP(AJ733, ev_control, 2, 0)+Tablas!$I$1*VLOOKUP(AK733, frec_control, 2, 0)+Tablas!$K$1*VLOOKUP(AL733, doc_control, 2, 0))*0.1*peso_dis, "")</f>
        <v/>
      </c>
      <c r="AN733" s="64"/>
      <c r="AO733" s="64"/>
      <c r="AP733" s="64"/>
      <c r="AQ733" s="80" t="str">
        <f>IFERROR((Tablas!$C$9*VLOOKUP(AN733, amb_control, 2, 0)+Tablas!$E$9*VLOOKUP(AO733, ejec_control, 2, 0)+Tablas!$G$9*VLOOKUP(AP733, cub_control, 2, 0))*0.1*peso_ejec, "")</f>
        <v/>
      </c>
      <c r="AR733" s="91" t="str">
        <f t="shared" si="1230"/>
        <v/>
      </c>
      <c r="AS733" s="85" t="str">
        <f t="shared" si="1251"/>
        <v/>
      </c>
      <c r="AT733" s="85" t="str">
        <f t="shared" si="1252"/>
        <v/>
      </c>
      <c r="AU733" s="85" t="str">
        <f>IF(AR733&lt;Tablas!$G$19, 0, IF(AND(AR733&gt;=Tablas!$G$19, AR733&lt;Tablas!$G$20), 1,  IF(AND(AR733&gt;=Tablas!$G$20, AR733&lt;Tablas!$G$21), 2,  IF(AND(AR733&gt;=Tablas!$G$21, AR733&lt;=Tablas!$G$22), 3,  ""))))</f>
        <v/>
      </c>
      <c r="AV733" s="85" t="str">
        <f t="shared" si="1231"/>
        <v/>
      </c>
      <c r="AW733" s="101" t="str">
        <f t="shared" si="1232"/>
        <v/>
      </c>
      <c r="AX733" s="177"/>
      <c r="AY733" s="169"/>
      <c r="AZ733" s="158"/>
      <c r="BA733" s="169"/>
      <c r="BB733" s="182"/>
      <c r="BC733" s="182"/>
      <c r="BD733" s="185"/>
      <c r="BE733" s="185"/>
      <c r="BF733" s="158" t="str">
        <f t="shared" si="1275"/>
        <v/>
      </c>
      <c r="BG733" s="191"/>
    </row>
    <row r="734" spans="1:59" x14ac:dyDescent="0.25">
      <c r="A734" s="167"/>
      <c r="B734" s="167"/>
      <c r="C734" s="161"/>
      <c r="D734" s="160"/>
      <c r="E734" s="162"/>
      <c r="F734" s="164"/>
      <c r="G734" s="161"/>
      <c r="H734" s="161"/>
      <c r="I734" s="161"/>
      <c r="J734" s="161"/>
      <c r="K734" s="161"/>
      <c r="L734" s="166"/>
      <c r="M734" s="166"/>
      <c r="N734" s="166"/>
      <c r="O734" s="166"/>
      <c r="P734" s="166"/>
      <c r="Q734" s="166"/>
      <c r="R734" s="166"/>
      <c r="S734" s="167"/>
      <c r="T734" s="167"/>
      <c r="U734" s="167"/>
      <c r="V734" s="167"/>
      <c r="W734" s="167"/>
      <c r="X734" s="164"/>
      <c r="Y734" s="164"/>
      <c r="Z734" s="172"/>
      <c r="AA734" s="188"/>
      <c r="AB734" s="172"/>
      <c r="AC734" s="172"/>
      <c r="AD734" s="175"/>
      <c r="AE734" s="62" t="s">
        <v>115</v>
      </c>
      <c r="AF734" s="133"/>
      <c r="AG734" s="65"/>
      <c r="AH734" s="64"/>
      <c r="AI734" s="64"/>
      <c r="AJ734" s="64"/>
      <c r="AK734" s="64"/>
      <c r="AL734" s="64"/>
      <c r="AM734" s="80" t="str">
        <f>IFERROR((Tablas!$C$1*VLOOKUP(AH734, tipo_control, 2, 0)+Tablas!$E$1*VLOOKUP(AI734, nat_control, 2, 0)+Tablas!$G$1*VLOOKUP(AJ734, ev_control, 2, 0)+Tablas!$I$1*VLOOKUP(AK734, frec_control, 2, 0)+Tablas!$K$1*VLOOKUP(AL734, doc_control, 2, 0))*0.1*peso_dis, "")</f>
        <v/>
      </c>
      <c r="AN734" s="64"/>
      <c r="AO734" s="64"/>
      <c r="AP734" s="64"/>
      <c r="AQ734" s="80" t="str">
        <f>IFERROR((Tablas!$C$9*VLOOKUP(AN734, amb_control, 2, 0)+Tablas!$E$9*VLOOKUP(AO734, ejec_control, 2, 0)+Tablas!$G$9*VLOOKUP(AP734, cub_control, 2, 0))*0.1*peso_ejec, "")</f>
        <v/>
      </c>
      <c r="AR734" s="91" t="str">
        <f t="shared" si="1230"/>
        <v/>
      </c>
      <c r="AS734" s="85" t="str">
        <f t="shared" si="1251"/>
        <v/>
      </c>
      <c r="AT734" s="85" t="str">
        <f t="shared" si="1252"/>
        <v/>
      </c>
      <c r="AU734" s="85" t="str">
        <f>IF(AR734&lt;Tablas!$G$19, 0, IF(AND(AR734&gt;=Tablas!$G$19, AR734&lt;Tablas!$G$20), 1,  IF(AND(AR734&gt;=Tablas!$G$20, AR734&lt;Tablas!$G$21), 2,  IF(AND(AR734&gt;=Tablas!$G$21, AR734&lt;=Tablas!$G$22), 3,  ""))))</f>
        <v/>
      </c>
      <c r="AV734" s="85" t="str">
        <f t="shared" si="1231"/>
        <v/>
      </c>
      <c r="AW734" s="101" t="str">
        <f t="shared" si="1232"/>
        <v/>
      </c>
      <c r="AX734" s="177"/>
      <c r="AY734" s="169"/>
      <c r="AZ734" s="158"/>
      <c r="BA734" s="169"/>
      <c r="BB734" s="182"/>
      <c r="BC734" s="182"/>
      <c r="BD734" s="185"/>
      <c r="BE734" s="185"/>
      <c r="BF734" s="158" t="str">
        <f t="shared" si="1275"/>
        <v/>
      </c>
      <c r="BG734" s="191"/>
    </row>
    <row r="735" spans="1:59" x14ac:dyDescent="0.25">
      <c r="A735" s="167"/>
      <c r="B735" s="167"/>
      <c r="C735" s="161"/>
      <c r="D735" s="160"/>
      <c r="E735" s="162"/>
      <c r="F735" s="164"/>
      <c r="G735" s="161"/>
      <c r="H735" s="161"/>
      <c r="I735" s="161"/>
      <c r="J735" s="161"/>
      <c r="K735" s="161"/>
      <c r="L735" s="166"/>
      <c r="M735" s="166"/>
      <c r="N735" s="166"/>
      <c r="O735" s="166"/>
      <c r="P735" s="166"/>
      <c r="Q735" s="166"/>
      <c r="R735" s="166"/>
      <c r="S735" s="167"/>
      <c r="T735" s="167"/>
      <c r="U735" s="167"/>
      <c r="V735" s="167"/>
      <c r="W735" s="167"/>
      <c r="X735" s="164"/>
      <c r="Y735" s="164"/>
      <c r="Z735" s="172"/>
      <c r="AA735" s="188"/>
      <c r="AB735" s="172"/>
      <c r="AC735" s="172"/>
      <c r="AD735" s="175"/>
      <c r="AE735" s="62" t="s">
        <v>153</v>
      </c>
      <c r="AF735" s="133"/>
      <c r="AG735" s="65"/>
      <c r="AH735" s="64"/>
      <c r="AI735" s="64"/>
      <c r="AJ735" s="64"/>
      <c r="AK735" s="64"/>
      <c r="AL735" s="64"/>
      <c r="AM735" s="80" t="str">
        <f>IFERROR((Tablas!$C$1*VLOOKUP(AH735, tipo_control, 2, 0)+Tablas!$E$1*VLOOKUP(AI735, nat_control, 2, 0)+Tablas!$G$1*VLOOKUP(AJ735, ev_control, 2, 0)+Tablas!$I$1*VLOOKUP(AK735, frec_control, 2, 0)+Tablas!$K$1*VLOOKUP(AL735, doc_control, 2, 0))*0.1*peso_dis, "")</f>
        <v/>
      </c>
      <c r="AN735" s="64"/>
      <c r="AO735" s="64"/>
      <c r="AP735" s="64"/>
      <c r="AQ735" s="80" t="str">
        <f>IFERROR((Tablas!$C$9*VLOOKUP(AN735, amb_control, 2, 0)+Tablas!$E$9*VLOOKUP(AO735, ejec_control, 2, 0)+Tablas!$G$9*VLOOKUP(AP735, cub_control, 2, 0))*0.1*peso_ejec, "")</f>
        <v/>
      </c>
      <c r="AR735" s="91" t="str">
        <f t="shared" si="1230"/>
        <v/>
      </c>
      <c r="AS735" s="85" t="str">
        <f t="shared" si="1251"/>
        <v/>
      </c>
      <c r="AT735" s="85" t="str">
        <f t="shared" si="1252"/>
        <v/>
      </c>
      <c r="AU735" s="85" t="str">
        <f>IF(AR735&lt;Tablas!$G$19, 0, IF(AND(AR735&gt;=Tablas!$G$19, AR735&lt;Tablas!$G$20), 1,  IF(AND(AR735&gt;=Tablas!$G$20, AR735&lt;Tablas!$G$21), 2,  IF(AND(AR735&gt;=Tablas!$G$21, AR735&lt;=Tablas!$G$22), 3,  ""))))</f>
        <v/>
      </c>
      <c r="AV735" s="85" t="str">
        <f t="shared" si="1231"/>
        <v/>
      </c>
      <c r="AW735" s="101" t="str">
        <f t="shared" si="1232"/>
        <v/>
      </c>
      <c r="AX735" s="177"/>
      <c r="AY735" s="169"/>
      <c r="AZ735" s="158"/>
      <c r="BA735" s="169"/>
      <c r="BB735" s="182"/>
      <c r="BC735" s="182"/>
      <c r="BD735" s="185"/>
      <c r="BE735" s="185"/>
      <c r="BF735" s="158"/>
      <c r="BG735" s="191"/>
    </row>
    <row r="736" spans="1:59" ht="15.75" thickBot="1" x14ac:dyDescent="0.3">
      <c r="A736" s="167"/>
      <c r="B736" s="167"/>
      <c r="C736" s="161"/>
      <c r="D736" s="160"/>
      <c r="E736" s="162"/>
      <c r="F736" s="165"/>
      <c r="G736" s="161"/>
      <c r="H736" s="161"/>
      <c r="I736" s="161"/>
      <c r="J736" s="161"/>
      <c r="K736" s="161"/>
      <c r="L736" s="166"/>
      <c r="M736" s="166"/>
      <c r="N736" s="166"/>
      <c r="O736" s="166"/>
      <c r="P736" s="166"/>
      <c r="Q736" s="166"/>
      <c r="R736" s="166"/>
      <c r="S736" s="149"/>
      <c r="T736" s="149"/>
      <c r="U736" s="149"/>
      <c r="V736" s="149"/>
      <c r="W736" s="149"/>
      <c r="X736" s="165"/>
      <c r="Y736" s="165"/>
      <c r="Z736" s="172"/>
      <c r="AA736" s="188"/>
      <c r="AB736" s="172"/>
      <c r="AC736" s="172"/>
      <c r="AD736" s="175"/>
      <c r="AE736" s="66" t="s">
        <v>154</v>
      </c>
      <c r="AF736" s="134"/>
      <c r="AG736" s="67"/>
      <c r="AH736" s="69"/>
      <c r="AI736" s="69"/>
      <c r="AJ736" s="69"/>
      <c r="AK736" s="69"/>
      <c r="AL736" s="69"/>
      <c r="AM736" s="81" t="str">
        <f>IFERROR((Tablas!$C$1*VLOOKUP(AH736, tipo_control, 2, 0)+Tablas!$E$1*VLOOKUP(AI736, nat_control, 2, 0)+Tablas!$G$1*VLOOKUP(AJ736, ev_control, 2, 0)+Tablas!$I$1*VLOOKUP(AK736, frec_control, 2, 0)+Tablas!$K$1*VLOOKUP(AL736, doc_control, 2, 0))*0.1*peso_dis, "")</f>
        <v/>
      </c>
      <c r="AN736" s="69"/>
      <c r="AO736" s="69"/>
      <c r="AP736" s="69"/>
      <c r="AQ736" s="81" t="str">
        <f>IFERROR((Tablas!$C$9*VLOOKUP(AN736, amb_control, 2, 0)+Tablas!$E$9*VLOOKUP(AO736, ejec_control, 2, 0)+Tablas!$G$9*VLOOKUP(AP736, cub_control, 2, 0))*0.1*peso_ejec, "")</f>
        <v/>
      </c>
      <c r="AR736" s="93" t="str">
        <f t="shared" si="1230"/>
        <v/>
      </c>
      <c r="AS736" s="94" t="str">
        <f t="shared" si="1251"/>
        <v/>
      </c>
      <c r="AT736" s="94" t="str">
        <f t="shared" si="1252"/>
        <v/>
      </c>
      <c r="AU736" s="94" t="str">
        <f>IF(AR736&lt;Tablas!$G$19, 0, IF(AND(AR736&gt;=Tablas!$G$19, AR736&lt;Tablas!$G$20), 1,  IF(AND(AR736&gt;=Tablas!$G$20, AR736&lt;Tablas!$G$21), 2,  IF(AND(AR736&gt;=Tablas!$G$21, AR736&lt;=Tablas!$G$22), 3,  ""))))</f>
        <v/>
      </c>
      <c r="AV736" s="94" t="str">
        <f t="shared" si="1231"/>
        <v/>
      </c>
      <c r="AW736" s="102" t="str">
        <f t="shared" si="1232"/>
        <v/>
      </c>
      <c r="AX736" s="157"/>
      <c r="AY736" s="170"/>
      <c r="AZ736" s="179"/>
      <c r="BA736" s="170"/>
      <c r="BB736" s="182"/>
      <c r="BC736" s="182"/>
      <c r="BD736" s="185"/>
      <c r="BE736" s="185"/>
      <c r="BF736" s="159"/>
      <c r="BG736" s="191"/>
    </row>
    <row r="737" spans="1:59" x14ac:dyDescent="0.25">
      <c r="A737" s="167"/>
      <c r="B737" s="167"/>
      <c r="C737" s="161" t="s">
        <v>180</v>
      </c>
      <c r="D737" s="160" t="s">
        <v>158</v>
      </c>
      <c r="E737" s="162"/>
      <c r="F737" s="163" t="str">
        <f t="shared" si="1243"/>
        <v/>
      </c>
      <c r="G737" s="149"/>
      <c r="H737" s="149"/>
      <c r="I737" s="149"/>
      <c r="J737" s="149"/>
      <c r="K737" s="149"/>
      <c r="L737" s="165" t="str">
        <f t="shared" ref="L737" si="1276">IFERROR(VLOOKUP(G737, tabla02, 2, 0), "")</f>
        <v/>
      </c>
      <c r="M737" s="165" t="str">
        <f t="shared" ref="M737" si="1277">IFERROR(VLOOKUP(H737, tabla02, 2, 0), "")</f>
        <v/>
      </c>
      <c r="N737" s="165" t="str">
        <f t="shared" ref="N737" si="1278">IFERROR(VLOOKUP(I737, tabla02, 2, 0), "")</f>
        <v/>
      </c>
      <c r="O737" s="165" t="str">
        <f t="shared" ref="O737" si="1279">IFERROR(VLOOKUP(J737, tabla02, 2, 0), "")</f>
        <v/>
      </c>
      <c r="P737" s="165" t="str">
        <f t="shared" ref="P737" si="1280">IFERROR(VLOOKUP(K737, tabla02, 2, 0), "")</f>
        <v/>
      </c>
      <c r="Q737" s="165" t="str">
        <f t="shared" ref="Q737" si="1281">IF(SUM(L737:O741)=0, "", MAX(L737:P737))</f>
        <v/>
      </c>
      <c r="R737" s="165" t="str">
        <f>IFERROR(VLOOKUP(Q737, tabla04, 3, 0), "")</f>
        <v/>
      </c>
      <c r="S737" s="148"/>
      <c r="T737" s="148"/>
      <c r="U737" s="148"/>
      <c r="V737" s="148"/>
      <c r="W737" s="148"/>
      <c r="X737" s="163" t="str">
        <f>IFERROR(VLOOKUP(CONCATENATE(F737, "-", Q737), cuadrante_sev, 3, 0), "")</f>
        <v/>
      </c>
      <c r="Y737" s="163" t="str">
        <f t="shared" ref="Y737" si="1282">IFERROR(IF(X737="Baja", 1, IF(X737="Moderada", 2, IF(X737="Alta", 3, IF(X737="Extrema", 4, "")))), "")</f>
        <v/>
      </c>
      <c r="Z737" s="172"/>
      <c r="AA737" s="188"/>
      <c r="AB737" s="172"/>
      <c r="AC737" s="172"/>
      <c r="AD737" s="175"/>
      <c r="AE737" s="70" t="s">
        <v>113</v>
      </c>
      <c r="AF737" s="135"/>
      <c r="AG737" s="74"/>
      <c r="AH737" s="72"/>
      <c r="AI737" s="72"/>
      <c r="AJ737" s="72"/>
      <c r="AK737" s="72"/>
      <c r="AL737" s="72"/>
      <c r="AM737" s="82" t="str">
        <f>IFERROR((Tablas!$C$1*VLOOKUP(AH737, tipo_control, 2, 0)+Tablas!$E$1*VLOOKUP(AI737, nat_control, 2, 0)+Tablas!$G$1*VLOOKUP(AJ737, ev_control, 2, 0)+Tablas!$I$1*VLOOKUP(AK737, frec_control, 2, 0)+Tablas!$K$1*VLOOKUP(AL737, doc_control, 2, 0))*0.1*peso_dis, "")</f>
        <v/>
      </c>
      <c r="AN737" s="72"/>
      <c r="AO737" s="72"/>
      <c r="AP737" s="72"/>
      <c r="AQ737" s="82" t="str">
        <f>IFERROR((Tablas!$C$9*VLOOKUP(AN737, amb_control, 2, 0)+Tablas!$E$9*VLOOKUP(AO737, ejec_control, 2, 0)+Tablas!$G$9*VLOOKUP(AP737, cub_control, 2, 0))*0.1*peso_ejec, "")</f>
        <v/>
      </c>
      <c r="AR737" s="96" t="str">
        <f t="shared" si="1230"/>
        <v/>
      </c>
      <c r="AS737" s="97" t="str">
        <f t="shared" si="1251"/>
        <v/>
      </c>
      <c r="AT737" s="87" t="str">
        <f t="shared" si="1252"/>
        <v/>
      </c>
      <c r="AU737" s="97" t="str">
        <f>IF(AR737&lt;Tablas!$G$19, 0, IF(AND(AR737&gt;=Tablas!$G$19, AR737&lt;Tablas!$G$20), 1,  IF(AND(AR737&gt;=Tablas!$G$20, AR737&lt;Tablas!$G$21), 2,  IF(AND(AR737&gt;=Tablas!$G$21, AR737&lt;=Tablas!$G$22), 3,  ""))))</f>
        <v/>
      </c>
      <c r="AV737" s="97" t="str">
        <f t="shared" si="1231"/>
        <v/>
      </c>
      <c r="AW737" s="103" t="str">
        <f t="shared" si="1232"/>
        <v/>
      </c>
      <c r="AX737" s="176" t="str">
        <f t="shared" ref="AX737" si="1283">IFERROR(VLOOKUP(AY737, tabla04, 2, 0), "")</f>
        <v/>
      </c>
      <c r="AY737" s="168" t="str">
        <f>IF(F737="", "", IF((F737-MAX(AV737:AV741))&lt;=0, 1, F737-MAX(AV737:AV741)))</f>
        <v/>
      </c>
      <c r="AZ737" s="178" t="str">
        <f t="shared" ref="AZ737" si="1284">IFERROR(VLOOKUP(BA737, tabla04, 3, 0), "")</f>
        <v/>
      </c>
      <c r="BA737" s="168" t="str">
        <f>IF(Q737="", "", IF((Q737-MAX(AW737:AW741))&lt;=0, 1, Q737-MAX(AW737:AW741)))</f>
        <v/>
      </c>
      <c r="BB737" s="182"/>
      <c r="BC737" s="182"/>
      <c r="BD737" s="185"/>
      <c r="BE737" s="185"/>
      <c r="BF737" s="158" t="str">
        <f t="shared" ref="BF737:BF739" si="1285">IFERROR(VLOOKUP(CONCATENATE(AY737, "-", BA737), cuadrante_sev, 3, 0), "")</f>
        <v/>
      </c>
      <c r="BG737" s="191"/>
    </row>
    <row r="738" spans="1:59" x14ac:dyDescent="0.25">
      <c r="A738" s="167"/>
      <c r="B738" s="167"/>
      <c r="C738" s="161"/>
      <c r="D738" s="160"/>
      <c r="E738" s="162"/>
      <c r="F738" s="164"/>
      <c r="G738" s="161"/>
      <c r="H738" s="161"/>
      <c r="I738" s="161"/>
      <c r="J738" s="161"/>
      <c r="K738" s="161"/>
      <c r="L738" s="166"/>
      <c r="M738" s="166"/>
      <c r="N738" s="166"/>
      <c r="O738" s="166"/>
      <c r="P738" s="166"/>
      <c r="Q738" s="166"/>
      <c r="R738" s="166"/>
      <c r="S738" s="167"/>
      <c r="T738" s="167"/>
      <c r="U738" s="167"/>
      <c r="V738" s="167"/>
      <c r="W738" s="167"/>
      <c r="X738" s="164"/>
      <c r="Y738" s="164"/>
      <c r="Z738" s="172"/>
      <c r="AA738" s="188"/>
      <c r="AB738" s="172"/>
      <c r="AC738" s="172"/>
      <c r="AD738" s="175"/>
      <c r="AE738" s="62" t="s">
        <v>114</v>
      </c>
      <c r="AF738" s="133"/>
      <c r="AG738" s="65"/>
      <c r="AH738" s="64"/>
      <c r="AI738" s="64"/>
      <c r="AJ738" s="64"/>
      <c r="AK738" s="64"/>
      <c r="AL738" s="64"/>
      <c r="AM738" s="80" t="str">
        <f>IFERROR((Tablas!$C$1*VLOOKUP(AH738, tipo_control, 2, 0)+Tablas!$E$1*VLOOKUP(AI738, nat_control, 2, 0)+Tablas!$G$1*VLOOKUP(AJ738, ev_control, 2, 0)+Tablas!$I$1*VLOOKUP(AK738, frec_control, 2, 0)+Tablas!$K$1*VLOOKUP(AL738, doc_control, 2, 0))*0.1*peso_dis, "")</f>
        <v/>
      </c>
      <c r="AN738" s="64"/>
      <c r="AO738" s="64"/>
      <c r="AP738" s="64"/>
      <c r="AQ738" s="80" t="str">
        <f>IFERROR((Tablas!$C$9*VLOOKUP(AN738, amb_control, 2, 0)+Tablas!$E$9*VLOOKUP(AO738, ejec_control, 2, 0)+Tablas!$G$9*VLOOKUP(AP738, cub_control, 2, 0))*0.1*peso_ejec, "")</f>
        <v/>
      </c>
      <c r="AR738" s="91" t="str">
        <f t="shared" si="1230"/>
        <v/>
      </c>
      <c r="AS738" s="85" t="str">
        <f t="shared" si="1251"/>
        <v/>
      </c>
      <c r="AT738" s="85" t="str">
        <f t="shared" si="1252"/>
        <v/>
      </c>
      <c r="AU738" s="85" t="str">
        <f>IF(AR738&lt;Tablas!$G$19, 0, IF(AND(AR738&gt;=Tablas!$G$19, AR738&lt;Tablas!$G$20), 1,  IF(AND(AR738&gt;=Tablas!$G$20, AR738&lt;Tablas!$G$21), 2,  IF(AND(AR738&gt;=Tablas!$G$21, AR738&lt;=Tablas!$G$22), 3,  ""))))</f>
        <v/>
      </c>
      <c r="AV738" s="85" t="str">
        <f t="shared" si="1231"/>
        <v/>
      </c>
      <c r="AW738" s="101" t="str">
        <f t="shared" si="1232"/>
        <v/>
      </c>
      <c r="AX738" s="177"/>
      <c r="AY738" s="169"/>
      <c r="AZ738" s="158"/>
      <c r="BA738" s="169"/>
      <c r="BB738" s="182"/>
      <c r="BC738" s="182"/>
      <c r="BD738" s="185"/>
      <c r="BE738" s="185"/>
      <c r="BF738" s="158" t="str">
        <f t="shared" si="1285"/>
        <v/>
      </c>
      <c r="BG738" s="191"/>
    </row>
    <row r="739" spans="1:59" x14ac:dyDescent="0.25">
      <c r="A739" s="167"/>
      <c r="B739" s="167"/>
      <c r="C739" s="161"/>
      <c r="D739" s="160"/>
      <c r="E739" s="162"/>
      <c r="F739" s="164"/>
      <c r="G739" s="161"/>
      <c r="H739" s="161"/>
      <c r="I739" s="161"/>
      <c r="J739" s="161"/>
      <c r="K739" s="161"/>
      <c r="L739" s="166"/>
      <c r="M739" s="166"/>
      <c r="N739" s="166"/>
      <c r="O739" s="166"/>
      <c r="P739" s="166"/>
      <c r="Q739" s="166"/>
      <c r="R739" s="166"/>
      <c r="S739" s="167"/>
      <c r="T739" s="167"/>
      <c r="U739" s="167"/>
      <c r="V739" s="167"/>
      <c r="W739" s="167"/>
      <c r="X739" s="164"/>
      <c r="Y739" s="164"/>
      <c r="Z739" s="172"/>
      <c r="AA739" s="188"/>
      <c r="AB739" s="172"/>
      <c r="AC739" s="172"/>
      <c r="AD739" s="175"/>
      <c r="AE739" s="62" t="s">
        <v>115</v>
      </c>
      <c r="AF739" s="133"/>
      <c r="AG739" s="65"/>
      <c r="AH739" s="64"/>
      <c r="AI739" s="64"/>
      <c r="AJ739" s="64"/>
      <c r="AK739" s="64"/>
      <c r="AL739" s="64"/>
      <c r="AM739" s="80" t="str">
        <f>IFERROR((Tablas!$C$1*VLOOKUP(AH739, tipo_control, 2, 0)+Tablas!$E$1*VLOOKUP(AI739, nat_control, 2, 0)+Tablas!$G$1*VLOOKUP(AJ739, ev_control, 2, 0)+Tablas!$I$1*VLOOKUP(AK739, frec_control, 2, 0)+Tablas!$K$1*VLOOKUP(AL739, doc_control, 2, 0))*0.1*peso_dis, "")</f>
        <v/>
      </c>
      <c r="AN739" s="64"/>
      <c r="AO739" s="64"/>
      <c r="AP739" s="64"/>
      <c r="AQ739" s="80" t="str">
        <f>IFERROR((Tablas!$C$9*VLOOKUP(AN739, amb_control, 2, 0)+Tablas!$E$9*VLOOKUP(AO739, ejec_control, 2, 0)+Tablas!$G$9*VLOOKUP(AP739, cub_control, 2, 0))*0.1*peso_ejec, "")</f>
        <v/>
      </c>
      <c r="AR739" s="91" t="str">
        <f t="shared" si="1230"/>
        <v/>
      </c>
      <c r="AS739" s="85" t="str">
        <f t="shared" si="1251"/>
        <v/>
      </c>
      <c r="AT739" s="85" t="str">
        <f t="shared" si="1252"/>
        <v/>
      </c>
      <c r="AU739" s="85" t="str">
        <f>IF(AR739&lt;Tablas!$G$19, 0, IF(AND(AR739&gt;=Tablas!$G$19, AR739&lt;Tablas!$G$20), 1,  IF(AND(AR739&gt;=Tablas!$G$20, AR739&lt;Tablas!$G$21), 2,  IF(AND(AR739&gt;=Tablas!$G$21, AR739&lt;=Tablas!$G$22), 3,  ""))))</f>
        <v/>
      </c>
      <c r="AV739" s="85" t="str">
        <f t="shared" si="1231"/>
        <v/>
      </c>
      <c r="AW739" s="101" t="str">
        <f t="shared" si="1232"/>
        <v/>
      </c>
      <c r="AX739" s="177"/>
      <c r="AY739" s="169"/>
      <c r="AZ739" s="158"/>
      <c r="BA739" s="169"/>
      <c r="BB739" s="182"/>
      <c r="BC739" s="182"/>
      <c r="BD739" s="185"/>
      <c r="BE739" s="185"/>
      <c r="BF739" s="158" t="str">
        <f t="shared" si="1285"/>
        <v/>
      </c>
      <c r="BG739" s="191"/>
    </row>
    <row r="740" spans="1:59" x14ac:dyDescent="0.25">
      <c r="A740" s="167"/>
      <c r="B740" s="167"/>
      <c r="C740" s="161"/>
      <c r="D740" s="160"/>
      <c r="E740" s="162"/>
      <c r="F740" s="164"/>
      <c r="G740" s="161"/>
      <c r="H740" s="161"/>
      <c r="I740" s="161"/>
      <c r="J740" s="161"/>
      <c r="K740" s="161"/>
      <c r="L740" s="166"/>
      <c r="M740" s="166"/>
      <c r="N740" s="166"/>
      <c r="O740" s="166"/>
      <c r="P740" s="166"/>
      <c r="Q740" s="166"/>
      <c r="R740" s="166"/>
      <c r="S740" s="167"/>
      <c r="T740" s="167"/>
      <c r="U740" s="167"/>
      <c r="V740" s="167"/>
      <c r="W740" s="167"/>
      <c r="X740" s="164"/>
      <c r="Y740" s="164"/>
      <c r="Z740" s="172"/>
      <c r="AA740" s="188"/>
      <c r="AB740" s="172"/>
      <c r="AC740" s="172"/>
      <c r="AD740" s="175"/>
      <c r="AE740" s="62" t="s">
        <v>153</v>
      </c>
      <c r="AF740" s="133"/>
      <c r="AG740" s="65"/>
      <c r="AH740" s="64"/>
      <c r="AI740" s="64"/>
      <c r="AJ740" s="64"/>
      <c r="AK740" s="64"/>
      <c r="AL740" s="64"/>
      <c r="AM740" s="80" t="str">
        <f>IFERROR((Tablas!$C$1*VLOOKUP(AH740, tipo_control, 2, 0)+Tablas!$E$1*VLOOKUP(AI740, nat_control, 2, 0)+Tablas!$G$1*VLOOKUP(AJ740, ev_control, 2, 0)+Tablas!$I$1*VLOOKUP(AK740, frec_control, 2, 0)+Tablas!$K$1*VLOOKUP(AL740, doc_control, 2, 0))*0.1*peso_dis, "")</f>
        <v/>
      </c>
      <c r="AN740" s="64"/>
      <c r="AO740" s="64"/>
      <c r="AP740" s="64"/>
      <c r="AQ740" s="80" t="str">
        <f>IFERROR((Tablas!$C$9*VLOOKUP(AN740, amb_control, 2, 0)+Tablas!$E$9*VLOOKUP(AO740, ejec_control, 2, 0)+Tablas!$G$9*VLOOKUP(AP740, cub_control, 2, 0))*0.1*peso_ejec, "")</f>
        <v/>
      </c>
      <c r="AR740" s="91" t="str">
        <f t="shared" si="1230"/>
        <v/>
      </c>
      <c r="AS740" s="85" t="str">
        <f t="shared" si="1251"/>
        <v/>
      </c>
      <c r="AT740" s="85" t="str">
        <f t="shared" si="1252"/>
        <v/>
      </c>
      <c r="AU740" s="85" t="str">
        <f>IF(AR740&lt;Tablas!$G$19, 0, IF(AND(AR740&gt;=Tablas!$G$19, AR740&lt;Tablas!$G$20), 1,  IF(AND(AR740&gt;=Tablas!$G$20, AR740&lt;Tablas!$G$21), 2,  IF(AND(AR740&gt;=Tablas!$G$21, AR740&lt;=Tablas!$G$22), 3,  ""))))</f>
        <v/>
      </c>
      <c r="AV740" s="85" t="str">
        <f t="shared" si="1231"/>
        <v/>
      </c>
      <c r="AW740" s="101" t="str">
        <f t="shared" si="1232"/>
        <v/>
      </c>
      <c r="AX740" s="177"/>
      <c r="AY740" s="169"/>
      <c r="AZ740" s="158"/>
      <c r="BA740" s="169"/>
      <c r="BB740" s="182"/>
      <c r="BC740" s="182"/>
      <c r="BD740" s="185"/>
      <c r="BE740" s="185"/>
      <c r="BF740" s="158"/>
      <c r="BG740" s="191"/>
    </row>
    <row r="741" spans="1:59" ht="15.75" thickBot="1" x14ac:dyDescent="0.3">
      <c r="A741" s="167"/>
      <c r="B741" s="167"/>
      <c r="C741" s="161"/>
      <c r="D741" s="160"/>
      <c r="E741" s="162"/>
      <c r="F741" s="165"/>
      <c r="G741" s="161"/>
      <c r="H741" s="161"/>
      <c r="I741" s="161"/>
      <c r="J741" s="161"/>
      <c r="K741" s="161"/>
      <c r="L741" s="166"/>
      <c r="M741" s="166"/>
      <c r="N741" s="166"/>
      <c r="O741" s="166"/>
      <c r="P741" s="166"/>
      <c r="Q741" s="166"/>
      <c r="R741" s="166"/>
      <c r="S741" s="149"/>
      <c r="T741" s="149"/>
      <c r="U741" s="149"/>
      <c r="V741" s="149"/>
      <c r="W741" s="149"/>
      <c r="X741" s="165"/>
      <c r="Y741" s="165"/>
      <c r="Z741" s="172"/>
      <c r="AA741" s="188"/>
      <c r="AB741" s="172"/>
      <c r="AC741" s="172"/>
      <c r="AD741" s="175"/>
      <c r="AE741" s="66" t="s">
        <v>154</v>
      </c>
      <c r="AF741" s="134"/>
      <c r="AG741" s="67"/>
      <c r="AH741" s="69"/>
      <c r="AI741" s="69"/>
      <c r="AJ741" s="69"/>
      <c r="AK741" s="69"/>
      <c r="AL741" s="69"/>
      <c r="AM741" s="81" t="str">
        <f>IFERROR((Tablas!$C$1*VLOOKUP(AH741, tipo_control, 2, 0)+Tablas!$E$1*VLOOKUP(AI741, nat_control, 2, 0)+Tablas!$G$1*VLOOKUP(AJ741, ev_control, 2, 0)+Tablas!$I$1*VLOOKUP(AK741, frec_control, 2, 0)+Tablas!$K$1*VLOOKUP(AL741, doc_control, 2, 0))*0.1*peso_dis, "")</f>
        <v/>
      </c>
      <c r="AN741" s="69"/>
      <c r="AO741" s="69"/>
      <c r="AP741" s="69"/>
      <c r="AQ741" s="81" t="str">
        <f>IFERROR((Tablas!$C$9*VLOOKUP(AN741, amb_control, 2, 0)+Tablas!$E$9*VLOOKUP(AO741, ejec_control, 2, 0)+Tablas!$G$9*VLOOKUP(AP741, cub_control, 2, 0))*0.1*peso_ejec, "")</f>
        <v/>
      </c>
      <c r="AR741" s="93" t="str">
        <f t="shared" si="1230"/>
        <v/>
      </c>
      <c r="AS741" s="94" t="str">
        <f t="shared" si="1251"/>
        <v/>
      </c>
      <c r="AT741" s="94" t="str">
        <f t="shared" si="1252"/>
        <v/>
      </c>
      <c r="AU741" s="94" t="str">
        <f>IF(AR741&lt;Tablas!$G$19, 0, IF(AND(AR741&gt;=Tablas!$G$19, AR741&lt;Tablas!$G$20), 1,  IF(AND(AR741&gt;=Tablas!$G$20, AR741&lt;Tablas!$G$21), 2,  IF(AND(AR741&gt;=Tablas!$G$21, AR741&lt;=Tablas!$G$22), 3,  ""))))</f>
        <v/>
      </c>
      <c r="AV741" s="94" t="str">
        <f t="shared" si="1231"/>
        <v/>
      </c>
      <c r="AW741" s="102" t="str">
        <f t="shared" si="1232"/>
        <v/>
      </c>
      <c r="AX741" s="157"/>
      <c r="AY741" s="170"/>
      <c r="AZ741" s="179"/>
      <c r="BA741" s="170"/>
      <c r="BB741" s="182"/>
      <c r="BC741" s="182"/>
      <c r="BD741" s="185"/>
      <c r="BE741" s="185"/>
      <c r="BF741" s="159"/>
      <c r="BG741" s="191"/>
    </row>
    <row r="742" spans="1:59" x14ac:dyDescent="0.25">
      <c r="A742" s="167"/>
      <c r="B742" s="167"/>
      <c r="C742" s="161" t="s">
        <v>181</v>
      </c>
      <c r="D742" s="160" t="s">
        <v>158</v>
      </c>
      <c r="E742" s="162"/>
      <c r="F742" s="163" t="str">
        <f t="shared" si="1243"/>
        <v/>
      </c>
      <c r="G742" s="149"/>
      <c r="H742" s="149"/>
      <c r="I742" s="149"/>
      <c r="J742" s="149"/>
      <c r="K742" s="149"/>
      <c r="L742" s="165" t="str">
        <f t="shared" ref="L742" si="1286">IFERROR(VLOOKUP(G742, tabla02, 2, 0), "")</f>
        <v/>
      </c>
      <c r="M742" s="165" t="str">
        <f t="shared" ref="M742" si="1287">IFERROR(VLOOKUP(H742, tabla02, 2, 0), "")</f>
        <v/>
      </c>
      <c r="N742" s="165" t="str">
        <f t="shared" ref="N742" si="1288">IFERROR(VLOOKUP(I742, tabla02, 2, 0), "")</f>
        <v/>
      </c>
      <c r="O742" s="165" t="str">
        <f t="shared" ref="O742" si="1289">IFERROR(VLOOKUP(J742, tabla02, 2, 0), "")</f>
        <v/>
      </c>
      <c r="P742" s="165" t="str">
        <f t="shared" ref="P742" si="1290">IFERROR(VLOOKUP(K742, tabla02, 2, 0), "")</f>
        <v/>
      </c>
      <c r="Q742" s="165" t="str">
        <f t="shared" ref="Q742" si="1291">IF(SUM(L742:O746)=0, "", MAX(L742:P742))</f>
        <v/>
      </c>
      <c r="R742" s="165" t="str">
        <f>IFERROR(VLOOKUP(Q742, tabla04, 3, 0), "")</f>
        <v/>
      </c>
      <c r="S742" s="148"/>
      <c r="T742" s="148"/>
      <c r="U742" s="148"/>
      <c r="V742" s="148"/>
      <c r="W742" s="148"/>
      <c r="X742" s="163" t="str">
        <f>IFERROR(VLOOKUP(CONCATENATE(F742, "-", Q742), cuadrante_sev, 3, 0), "")</f>
        <v/>
      </c>
      <c r="Y742" s="163" t="str">
        <f t="shared" ref="Y742" si="1292">IFERROR(IF(X742="Baja", 1, IF(X742="Moderada", 2, IF(X742="Alta", 3, IF(X742="Extrema", 4, "")))), "")</f>
        <v/>
      </c>
      <c r="Z742" s="172"/>
      <c r="AA742" s="188"/>
      <c r="AB742" s="172"/>
      <c r="AC742" s="172"/>
      <c r="AD742" s="175"/>
      <c r="AE742" s="70" t="s">
        <v>113</v>
      </c>
      <c r="AF742" s="135"/>
      <c r="AG742" s="74"/>
      <c r="AH742" s="72"/>
      <c r="AI742" s="72"/>
      <c r="AJ742" s="72"/>
      <c r="AK742" s="72"/>
      <c r="AL742" s="72"/>
      <c r="AM742" s="82" t="str">
        <f>IFERROR((Tablas!$C$1*VLOOKUP(AH742, tipo_control, 2, 0)+Tablas!$E$1*VLOOKUP(AI742, nat_control, 2, 0)+Tablas!$G$1*VLOOKUP(AJ742, ev_control, 2, 0)+Tablas!$I$1*VLOOKUP(AK742, frec_control, 2, 0)+Tablas!$K$1*VLOOKUP(AL742, doc_control, 2, 0))*0.1*peso_dis, "")</f>
        <v/>
      </c>
      <c r="AN742" s="72"/>
      <c r="AO742" s="72"/>
      <c r="AP742" s="72"/>
      <c r="AQ742" s="82" t="str">
        <f>IFERROR((Tablas!$C$9*VLOOKUP(AN742, amb_control, 2, 0)+Tablas!$E$9*VLOOKUP(AO742, ejec_control, 2, 0)+Tablas!$G$9*VLOOKUP(AP742, cub_control, 2, 0))*0.1*peso_ejec, "")</f>
        <v/>
      </c>
      <c r="AR742" s="96" t="str">
        <f t="shared" si="1230"/>
        <v/>
      </c>
      <c r="AS742" s="97" t="str">
        <f t="shared" si="1251"/>
        <v/>
      </c>
      <c r="AT742" s="87" t="str">
        <f t="shared" si="1252"/>
        <v/>
      </c>
      <c r="AU742" s="97" t="str">
        <f>IF(AR742&lt;Tablas!$G$19, 0, IF(AND(AR742&gt;=Tablas!$G$19, AR742&lt;Tablas!$G$20), 1,  IF(AND(AR742&gt;=Tablas!$G$20, AR742&lt;Tablas!$G$21), 2,  IF(AND(AR742&gt;=Tablas!$G$21, AR742&lt;=Tablas!$G$22), 3,  ""))))</f>
        <v/>
      </c>
      <c r="AV742" s="97" t="str">
        <f t="shared" si="1231"/>
        <v/>
      </c>
      <c r="AW742" s="103" t="str">
        <f t="shared" si="1232"/>
        <v/>
      </c>
      <c r="AX742" s="176" t="str">
        <f t="shared" ref="AX742" si="1293">IFERROR(VLOOKUP(AY742, tabla04, 2, 0), "")</f>
        <v/>
      </c>
      <c r="AY742" s="168" t="str">
        <f>IF(F742="", "", IF((F742-MAX(AV742:AV746))&lt;=0, 1, F742-MAX(AV742:AV746)))</f>
        <v/>
      </c>
      <c r="AZ742" s="178" t="str">
        <f t="shared" ref="AZ742" si="1294">IFERROR(VLOOKUP(BA742, tabla04, 3, 0), "")</f>
        <v/>
      </c>
      <c r="BA742" s="168" t="str">
        <f>IF(Q742="", "", IF((Q742-MAX(AW742:AW746))&lt;=0, 1, Q742-MAX(AW742:AW746)))</f>
        <v/>
      </c>
      <c r="BB742" s="182"/>
      <c r="BC742" s="182"/>
      <c r="BD742" s="185"/>
      <c r="BE742" s="185"/>
      <c r="BF742" s="158" t="str">
        <f t="shared" ref="BF742:BF744" si="1295">IFERROR(VLOOKUP(CONCATENATE(AY742, "-", BA742), cuadrante_sev, 3, 0), "")</f>
        <v/>
      </c>
      <c r="BG742" s="191"/>
    </row>
    <row r="743" spans="1:59" x14ac:dyDescent="0.25">
      <c r="A743" s="167"/>
      <c r="B743" s="167"/>
      <c r="C743" s="161"/>
      <c r="D743" s="160"/>
      <c r="E743" s="162"/>
      <c r="F743" s="164"/>
      <c r="G743" s="161"/>
      <c r="H743" s="161"/>
      <c r="I743" s="161"/>
      <c r="J743" s="161"/>
      <c r="K743" s="161"/>
      <c r="L743" s="166"/>
      <c r="M743" s="166"/>
      <c r="N743" s="166"/>
      <c r="O743" s="166"/>
      <c r="P743" s="166"/>
      <c r="Q743" s="166"/>
      <c r="R743" s="166"/>
      <c r="S743" s="167"/>
      <c r="T743" s="167"/>
      <c r="U743" s="167"/>
      <c r="V743" s="167"/>
      <c r="W743" s="167"/>
      <c r="X743" s="164"/>
      <c r="Y743" s="164"/>
      <c r="Z743" s="172"/>
      <c r="AA743" s="188"/>
      <c r="AB743" s="172"/>
      <c r="AC743" s="172"/>
      <c r="AD743" s="175"/>
      <c r="AE743" s="62" t="s">
        <v>114</v>
      </c>
      <c r="AF743" s="133"/>
      <c r="AG743" s="65"/>
      <c r="AH743" s="64"/>
      <c r="AI743" s="64"/>
      <c r="AJ743" s="64"/>
      <c r="AK743" s="64"/>
      <c r="AL743" s="64"/>
      <c r="AM743" s="80" t="str">
        <f>IFERROR((Tablas!$C$1*VLOOKUP(AH743, tipo_control, 2, 0)+Tablas!$E$1*VLOOKUP(AI743, nat_control, 2, 0)+Tablas!$G$1*VLOOKUP(AJ743, ev_control, 2, 0)+Tablas!$I$1*VLOOKUP(AK743, frec_control, 2, 0)+Tablas!$K$1*VLOOKUP(AL743, doc_control, 2, 0))*0.1*peso_dis, "")</f>
        <v/>
      </c>
      <c r="AN743" s="64"/>
      <c r="AO743" s="64"/>
      <c r="AP743" s="64"/>
      <c r="AQ743" s="80" t="str">
        <f>IFERROR((Tablas!$C$9*VLOOKUP(AN743, amb_control, 2, 0)+Tablas!$E$9*VLOOKUP(AO743, ejec_control, 2, 0)+Tablas!$G$9*VLOOKUP(AP743, cub_control, 2, 0))*0.1*peso_ejec, "")</f>
        <v/>
      </c>
      <c r="AR743" s="91" t="str">
        <f t="shared" si="1230"/>
        <v/>
      </c>
      <c r="AS743" s="85" t="str">
        <f t="shared" si="1251"/>
        <v/>
      </c>
      <c r="AT743" s="85" t="str">
        <f t="shared" si="1252"/>
        <v/>
      </c>
      <c r="AU743" s="85" t="str">
        <f>IF(AR743&lt;Tablas!$G$19, 0, IF(AND(AR743&gt;=Tablas!$G$19, AR743&lt;Tablas!$G$20), 1,  IF(AND(AR743&gt;=Tablas!$G$20, AR743&lt;Tablas!$G$21), 2,  IF(AND(AR743&gt;=Tablas!$G$21, AR743&lt;=Tablas!$G$22), 3,  ""))))</f>
        <v/>
      </c>
      <c r="AV743" s="85" t="str">
        <f t="shared" si="1231"/>
        <v/>
      </c>
      <c r="AW743" s="101" t="str">
        <f t="shared" si="1232"/>
        <v/>
      </c>
      <c r="AX743" s="177"/>
      <c r="AY743" s="169"/>
      <c r="AZ743" s="158"/>
      <c r="BA743" s="169"/>
      <c r="BB743" s="182"/>
      <c r="BC743" s="182"/>
      <c r="BD743" s="185"/>
      <c r="BE743" s="185"/>
      <c r="BF743" s="158" t="str">
        <f t="shared" si="1295"/>
        <v/>
      </c>
      <c r="BG743" s="191"/>
    </row>
    <row r="744" spans="1:59" x14ac:dyDescent="0.25">
      <c r="A744" s="167"/>
      <c r="B744" s="167"/>
      <c r="C744" s="161"/>
      <c r="D744" s="160"/>
      <c r="E744" s="162"/>
      <c r="F744" s="164"/>
      <c r="G744" s="161"/>
      <c r="H744" s="161"/>
      <c r="I744" s="161"/>
      <c r="J744" s="161"/>
      <c r="K744" s="161"/>
      <c r="L744" s="166"/>
      <c r="M744" s="166"/>
      <c r="N744" s="166"/>
      <c r="O744" s="166"/>
      <c r="P744" s="166"/>
      <c r="Q744" s="166"/>
      <c r="R744" s="166"/>
      <c r="S744" s="167"/>
      <c r="T744" s="167"/>
      <c r="U744" s="167"/>
      <c r="V744" s="167"/>
      <c r="W744" s="167"/>
      <c r="X744" s="164"/>
      <c r="Y744" s="164"/>
      <c r="Z744" s="172"/>
      <c r="AA744" s="188"/>
      <c r="AB744" s="172"/>
      <c r="AC744" s="172"/>
      <c r="AD744" s="175"/>
      <c r="AE744" s="62" t="s">
        <v>115</v>
      </c>
      <c r="AF744" s="133"/>
      <c r="AG744" s="65"/>
      <c r="AH744" s="64"/>
      <c r="AI744" s="64"/>
      <c r="AJ744" s="64"/>
      <c r="AK744" s="64"/>
      <c r="AL744" s="64"/>
      <c r="AM744" s="80" t="str">
        <f>IFERROR((Tablas!$C$1*VLOOKUP(AH744, tipo_control, 2, 0)+Tablas!$E$1*VLOOKUP(AI744, nat_control, 2, 0)+Tablas!$G$1*VLOOKUP(AJ744, ev_control, 2, 0)+Tablas!$I$1*VLOOKUP(AK744, frec_control, 2, 0)+Tablas!$K$1*VLOOKUP(AL744, doc_control, 2, 0))*0.1*peso_dis, "")</f>
        <v/>
      </c>
      <c r="AN744" s="64"/>
      <c r="AO744" s="64"/>
      <c r="AP744" s="64"/>
      <c r="AQ744" s="80" t="str">
        <f>IFERROR((Tablas!$C$9*VLOOKUP(AN744, amb_control, 2, 0)+Tablas!$E$9*VLOOKUP(AO744, ejec_control, 2, 0)+Tablas!$G$9*VLOOKUP(AP744, cub_control, 2, 0))*0.1*peso_ejec, "")</f>
        <v/>
      </c>
      <c r="AR744" s="91" t="str">
        <f t="shared" si="1230"/>
        <v/>
      </c>
      <c r="AS744" s="85" t="str">
        <f t="shared" si="1251"/>
        <v/>
      </c>
      <c r="AT744" s="85" t="str">
        <f t="shared" si="1252"/>
        <v/>
      </c>
      <c r="AU744" s="85" t="str">
        <f>IF(AR744&lt;Tablas!$G$19, 0, IF(AND(AR744&gt;=Tablas!$G$19, AR744&lt;Tablas!$G$20), 1,  IF(AND(AR744&gt;=Tablas!$G$20, AR744&lt;Tablas!$G$21), 2,  IF(AND(AR744&gt;=Tablas!$G$21, AR744&lt;=Tablas!$G$22), 3,  ""))))</f>
        <v/>
      </c>
      <c r="AV744" s="85" t="str">
        <f t="shared" si="1231"/>
        <v/>
      </c>
      <c r="AW744" s="101" t="str">
        <f t="shared" si="1232"/>
        <v/>
      </c>
      <c r="AX744" s="177"/>
      <c r="AY744" s="169"/>
      <c r="AZ744" s="158"/>
      <c r="BA744" s="169"/>
      <c r="BB744" s="182"/>
      <c r="BC744" s="182"/>
      <c r="BD744" s="185"/>
      <c r="BE744" s="185"/>
      <c r="BF744" s="158" t="str">
        <f t="shared" si="1295"/>
        <v/>
      </c>
      <c r="BG744" s="191"/>
    </row>
    <row r="745" spans="1:59" x14ac:dyDescent="0.25">
      <c r="A745" s="167"/>
      <c r="B745" s="167"/>
      <c r="C745" s="161"/>
      <c r="D745" s="160"/>
      <c r="E745" s="162"/>
      <c r="F745" s="164"/>
      <c r="G745" s="161"/>
      <c r="H745" s="161"/>
      <c r="I745" s="161"/>
      <c r="J745" s="161"/>
      <c r="K745" s="161"/>
      <c r="L745" s="166"/>
      <c r="M745" s="166"/>
      <c r="N745" s="166"/>
      <c r="O745" s="166"/>
      <c r="P745" s="166"/>
      <c r="Q745" s="166"/>
      <c r="R745" s="166"/>
      <c r="S745" s="167"/>
      <c r="T745" s="167"/>
      <c r="U745" s="167"/>
      <c r="V745" s="167"/>
      <c r="W745" s="167"/>
      <c r="X745" s="164"/>
      <c r="Y745" s="164"/>
      <c r="Z745" s="172"/>
      <c r="AA745" s="188"/>
      <c r="AB745" s="172"/>
      <c r="AC745" s="172"/>
      <c r="AD745" s="175"/>
      <c r="AE745" s="62" t="s">
        <v>153</v>
      </c>
      <c r="AF745" s="133"/>
      <c r="AG745" s="65"/>
      <c r="AH745" s="64"/>
      <c r="AI745" s="64"/>
      <c r="AJ745" s="64"/>
      <c r="AK745" s="64"/>
      <c r="AL745" s="64"/>
      <c r="AM745" s="80" t="str">
        <f>IFERROR((Tablas!$C$1*VLOOKUP(AH745, tipo_control, 2, 0)+Tablas!$E$1*VLOOKUP(AI745, nat_control, 2, 0)+Tablas!$G$1*VLOOKUP(AJ745, ev_control, 2, 0)+Tablas!$I$1*VLOOKUP(AK745, frec_control, 2, 0)+Tablas!$K$1*VLOOKUP(AL745, doc_control, 2, 0))*0.1*peso_dis, "")</f>
        <v/>
      </c>
      <c r="AN745" s="64"/>
      <c r="AO745" s="64"/>
      <c r="AP745" s="64"/>
      <c r="AQ745" s="80" t="str">
        <f>IFERROR((Tablas!$C$9*VLOOKUP(AN745, amb_control, 2, 0)+Tablas!$E$9*VLOOKUP(AO745, ejec_control, 2, 0)+Tablas!$G$9*VLOOKUP(AP745, cub_control, 2, 0))*0.1*peso_ejec, "")</f>
        <v/>
      </c>
      <c r="AR745" s="91" t="str">
        <f t="shared" si="1230"/>
        <v/>
      </c>
      <c r="AS745" s="85" t="str">
        <f t="shared" si="1251"/>
        <v/>
      </c>
      <c r="AT745" s="85" t="str">
        <f t="shared" si="1252"/>
        <v/>
      </c>
      <c r="AU745" s="85" t="str">
        <f>IF(AR745&lt;Tablas!$G$19, 0, IF(AND(AR745&gt;=Tablas!$G$19, AR745&lt;Tablas!$G$20), 1,  IF(AND(AR745&gt;=Tablas!$G$20, AR745&lt;Tablas!$G$21), 2,  IF(AND(AR745&gt;=Tablas!$G$21, AR745&lt;=Tablas!$G$22), 3,  ""))))</f>
        <v/>
      </c>
      <c r="AV745" s="85" t="str">
        <f t="shared" si="1231"/>
        <v/>
      </c>
      <c r="AW745" s="101" t="str">
        <f t="shared" si="1232"/>
        <v/>
      </c>
      <c r="AX745" s="177"/>
      <c r="AY745" s="169"/>
      <c r="AZ745" s="158"/>
      <c r="BA745" s="169"/>
      <c r="BB745" s="182"/>
      <c r="BC745" s="182"/>
      <c r="BD745" s="185"/>
      <c r="BE745" s="185"/>
      <c r="BF745" s="158"/>
      <c r="BG745" s="191"/>
    </row>
    <row r="746" spans="1:59" ht="15.75" thickBot="1" x14ac:dyDescent="0.3">
      <c r="A746" s="167"/>
      <c r="B746" s="167"/>
      <c r="C746" s="161"/>
      <c r="D746" s="160"/>
      <c r="E746" s="162"/>
      <c r="F746" s="165"/>
      <c r="G746" s="161"/>
      <c r="H746" s="161"/>
      <c r="I746" s="161"/>
      <c r="J746" s="161"/>
      <c r="K746" s="161"/>
      <c r="L746" s="166"/>
      <c r="M746" s="166"/>
      <c r="N746" s="166"/>
      <c r="O746" s="166"/>
      <c r="P746" s="166"/>
      <c r="Q746" s="166"/>
      <c r="R746" s="166"/>
      <c r="S746" s="149"/>
      <c r="T746" s="149"/>
      <c r="U746" s="149"/>
      <c r="V746" s="149"/>
      <c r="W746" s="149"/>
      <c r="X746" s="165"/>
      <c r="Y746" s="165"/>
      <c r="Z746" s="172"/>
      <c r="AA746" s="188"/>
      <c r="AB746" s="172"/>
      <c r="AC746" s="172"/>
      <c r="AD746" s="175"/>
      <c r="AE746" s="66" t="s">
        <v>154</v>
      </c>
      <c r="AF746" s="134"/>
      <c r="AG746" s="67"/>
      <c r="AH746" s="69"/>
      <c r="AI746" s="69"/>
      <c r="AJ746" s="69"/>
      <c r="AK746" s="69"/>
      <c r="AL746" s="69"/>
      <c r="AM746" s="81" t="str">
        <f>IFERROR((Tablas!$C$1*VLOOKUP(AH746, tipo_control, 2, 0)+Tablas!$E$1*VLOOKUP(AI746, nat_control, 2, 0)+Tablas!$G$1*VLOOKUP(AJ746, ev_control, 2, 0)+Tablas!$I$1*VLOOKUP(AK746, frec_control, 2, 0)+Tablas!$K$1*VLOOKUP(AL746, doc_control, 2, 0))*0.1*peso_dis, "")</f>
        <v/>
      </c>
      <c r="AN746" s="69"/>
      <c r="AO746" s="69"/>
      <c r="AP746" s="69"/>
      <c r="AQ746" s="81" t="str">
        <f>IFERROR((Tablas!$C$9*VLOOKUP(AN746, amb_control, 2, 0)+Tablas!$E$9*VLOOKUP(AO746, ejec_control, 2, 0)+Tablas!$G$9*VLOOKUP(AP746, cub_control, 2, 0))*0.1*peso_ejec, "")</f>
        <v/>
      </c>
      <c r="AR746" s="93" t="str">
        <f t="shared" si="1230"/>
        <v/>
      </c>
      <c r="AS746" s="94" t="str">
        <f t="shared" si="1251"/>
        <v/>
      </c>
      <c r="AT746" s="94" t="str">
        <f t="shared" si="1252"/>
        <v/>
      </c>
      <c r="AU746" s="94" t="str">
        <f>IF(AR746&lt;Tablas!$G$19, 0, IF(AND(AR746&gt;=Tablas!$G$19, AR746&lt;Tablas!$G$20), 1,  IF(AND(AR746&gt;=Tablas!$G$20, AR746&lt;Tablas!$G$21), 2,  IF(AND(AR746&gt;=Tablas!$G$21, AR746&lt;=Tablas!$G$22), 3,  ""))))</f>
        <v/>
      </c>
      <c r="AV746" s="94" t="str">
        <f t="shared" si="1231"/>
        <v/>
      </c>
      <c r="AW746" s="102" t="str">
        <f t="shared" si="1232"/>
        <v/>
      </c>
      <c r="AX746" s="157"/>
      <c r="AY746" s="170"/>
      <c r="AZ746" s="179"/>
      <c r="BA746" s="170"/>
      <c r="BB746" s="182"/>
      <c r="BC746" s="182"/>
      <c r="BD746" s="185"/>
      <c r="BE746" s="185"/>
      <c r="BF746" s="159"/>
      <c r="BG746" s="191"/>
    </row>
    <row r="747" spans="1:59" x14ac:dyDescent="0.25">
      <c r="A747" s="167"/>
      <c r="B747" s="167"/>
      <c r="C747" s="161" t="s">
        <v>182</v>
      </c>
      <c r="D747" s="160" t="s">
        <v>158</v>
      </c>
      <c r="E747" s="162"/>
      <c r="F747" s="163" t="str">
        <f t="shared" si="1243"/>
        <v/>
      </c>
      <c r="G747" s="149"/>
      <c r="H747" s="149"/>
      <c r="I747" s="149"/>
      <c r="J747" s="149"/>
      <c r="K747" s="149"/>
      <c r="L747" s="165" t="str">
        <f t="shared" ref="L747" si="1296">IFERROR(VLOOKUP(G747, tabla02, 2, 0), "")</f>
        <v/>
      </c>
      <c r="M747" s="165" t="str">
        <f t="shared" ref="M747" si="1297">IFERROR(VLOOKUP(H747, tabla02, 2, 0), "")</f>
        <v/>
      </c>
      <c r="N747" s="165" t="str">
        <f t="shared" ref="N747" si="1298">IFERROR(VLOOKUP(I747, tabla02, 2, 0), "")</f>
        <v/>
      </c>
      <c r="O747" s="165" t="str">
        <f t="shared" ref="O747" si="1299">IFERROR(VLOOKUP(J747, tabla02, 2, 0), "")</f>
        <v/>
      </c>
      <c r="P747" s="165" t="str">
        <f t="shared" ref="P747" si="1300">IFERROR(VLOOKUP(K747, tabla02, 2, 0), "")</f>
        <v/>
      </c>
      <c r="Q747" s="165" t="str">
        <f t="shared" ref="Q747" si="1301">IF(SUM(L747:O751)=0, "", MAX(L747:P747))</f>
        <v/>
      </c>
      <c r="R747" s="165" t="str">
        <f>IFERROR(VLOOKUP(Q747, tabla04, 3, 0), "")</f>
        <v/>
      </c>
      <c r="S747" s="148"/>
      <c r="T747" s="148"/>
      <c r="U747" s="148"/>
      <c r="V747" s="148"/>
      <c r="W747" s="148"/>
      <c r="X747" s="163" t="str">
        <f>IFERROR(VLOOKUP(CONCATENATE(F747, "-", Q747), cuadrante_sev, 3, 0), "")</f>
        <v/>
      </c>
      <c r="Y747" s="163" t="str">
        <f t="shared" ref="Y747" si="1302">IFERROR(IF(X747="Baja", 1, IF(X747="Moderada", 2, IF(X747="Alta", 3, IF(X747="Extrema", 4, "")))), "")</f>
        <v/>
      </c>
      <c r="Z747" s="172"/>
      <c r="AA747" s="188"/>
      <c r="AB747" s="172"/>
      <c r="AC747" s="172"/>
      <c r="AD747" s="175"/>
      <c r="AE747" s="70" t="s">
        <v>113</v>
      </c>
      <c r="AF747" s="135"/>
      <c r="AG747" s="74"/>
      <c r="AH747" s="72"/>
      <c r="AI747" s="72"/>
      <c r="AJ747" s="72"/>
      <c r="AK747" s="72"/>
      <c r="AL747" s="72"/>
      <c r="AM747" s="82" t="str">
        <f>IFERROR((Tablas!$C$1*VLOOKUP(AH747, tipo_control, 2, 0)+Tablas!$E$1*VLOOKUP(AI747, nat_control, 2, 0)+Tablas!$G$1*VLOOKUP(AJ747, ev_control, 2, 0)+Tablas!$I$1*VLOOKUP(AK747, frec_control, 2, 0)+Tablas!$K$1*VLOOKUP(AL747, doc_control, 2, 0))*0.1*peso_dis, "")</f>
        <v/>
      </c>
      <c r="AN747" s="72"/>
      <c r="AO747" s="72"/>
      <c r="AP747" s="72"/>
      <c r="AQ747" s="82" t="str">
        <f>IFERROR((Tablas!$C$9*VLOOKUP(AN747, amb_control, 2, 0)+Tablas!$E$9*VLOOKUP(AO747, ejec_control, 2, 0)+Tablas!$G$9*VLOOKUP(AP747, cub_control, 2, 0))*0.1*peso_ejec, "")</f>
        <v/>
      </c>
      <c r="AR747" s="96" t="str">
        <f t="shared" si="1230"/>
        <v/>
      </c>
      <c r="AS747" s="97" t="str">
        <f t="shared" si="1251"/>
        <v/>
      </c>
      <c r="AT747" s="87" t="str">
        <f t="shared" si="1252"/>
        <v/>
      </c>
      <c r="AU747" s="97" t="str">
        <f>IF(AR747&lt;Tablas!$G$19, 0, IF(AND(AR747&gt;=Tablas!$G$19, AR747&lt;Tablas!$G$20), 1,  IF(AND(AR747&gt;=Tablas!$G$20, AR747&lt;Tablas!$G$21), 2,  IF(AND(AR747&gt;=Tablas!$G$21, AR747&lt;=Tablas!$G$22), 3,  ""))))</f>
        <v/>
      </c>
      <c r="AV747" s="97" t="str">
        <f t="shared" si="1231"/>
        <v/>
      </c>
      <c r="AW747" s="103" t="str">
        <f t="shared" si="1232"/>
        <v/>
      </c>
      <c r="AX747" s="176" t="str">
        <f t="shared" ref="AX747" si="1303">IFERROR(VLOOKUP(AY747, tabla04, 2, 0), "")</f>
        <v/>
      </c>
      <c r="AY747" s="168" t="str">
        <f>IF(F747="", "", IF((F747-MAX(AV747:AV751))&lt;=0, 1, F747-MAX(AV747:AV751)))</f>
        <v/>
      </c>
      <c r="AZ747" s="178" t="str">
        <f t="shared" ref="AZ747" si="1304">IFERROR(VLOOKUP(BA747, tabla04, 3, 0), "")</f>
        <v/>
      </c>
      <c r="BA747" s="168" t="str">
        <f>IF(Q747="", "", IF((Q747-MAX(AW747:AW751))&lt;=0, 1, Q747-MAX(AW747:AW751)))</f>
        <v/>
      </c>
      <c r="BB747" s="182"/>
      <c r="BC747" s="182"/>
      <c r="BD747" s="185"/>
      <c r="BE747" s="185"/>
      <c r="BF747" s="158" t="str">
        <f t="shared" ref="BF747:BF749" si="1305">IFERROR(VLOOKUP(CONCATENATE(AY747, "-", BA747), cuadrante_sev, 3, 0), "")</f>
        <v/>
      </c>
      <c r="BG747" s="191"/>
    </row>
    <row r="748" spans="1:59" x14ac:dyDescent="0.25">
      <c r="A748" s="167"/>
      <c r="B748" s="167"/>
      <c r="C748" s="161"/>
      <c r="D748" s="160"/>
      <c r="E748" s="162"/>
      <c r="F748" s="164"/>
      <c r="G748" s="161"/>
      <c r="H748" s="161"/>
      <c r="I748" s="161"/>
      <c r="J748" s="161"/>
      <c r="K748" s="161"/>
      <c r="L748" s="166"/>
      <c r="M748" s="166"/>
      <c r="N748" s="166"/>
      <c r="O748" s="166"/>
      <c r="P748" s="166"/>
      <c r="Q748" s="166"/>
      <c r="R748" s="166"/>
      <c r="S748" s="167"/>
      <c r="T748" s="167"/>
      <c r="U748" s="167"/>
      <c r="V748" s="167"/>
      <c r="W748" s="167"/>
      <c r="X748" s="164"/>
      <c r="Y748" s="164"/>
      <c r="Z748" s="172"/>
      <c r="AA748" s="188"/>
      <c r="AB748" s="172"/>
      <c r="AC748" s="172"/>
      <c r="AD748" s="175"/>
      <c r="AE748" s="62" t="s">
        <v>114</v>
      </c>
      <c r="AF748" s="133"/>
      <c r="AG748" s="65"/>
      <c r="AH748" s="64"/>
      <c r="AI748" s="64"/>
      <c r="AJ748" s="64"/>
      <c r="AK748" s="64"/>
      <c r="AL748" s="64"/>
      <c r="AM748" s="80" t="str">
        <f>IFERROR((Tablas!$C$1*VLOOKUP(AH748, tipo_control, 2, 0)+Tablas!$E$1*VLOOKUP(AI748, nat_control, 2, 0)+Tablas!$G$1*VLOOKUP(AJ748, ev_control, 2, 0)+Tablas!$I$1*VLOOKUP(AK748, frec_control, 2, 0)+Tablas!$K$1*VLOOKUP(AL748, doc_control, 2, 0))*0.1*peso_dis, "")</f>
        <v/>
      </c>
      <c r="AN748" s="64"/>
      <c r="AO748" s="64"/>
      <c r="AP748" s="64"/>
      <c r="AQ748" s="80" t="str">
        <f>IFERROR((Tablas!$C$9*VLOOKUP(AN748, amb_control, 2, 0)+Tablas!$E$9*VLOOKUP(AO748, ejec_control, 2, 0)+Tablas!$G$9*VLOOKUP(AP748, cub_control, 2, 0))*0.1*peso_ejec, "")</f>
        <v/>
      </c>
      <c r="AR748" s="91" t="str">
        <f t="shared" si="1230"/>
        <v/>
      </c>
      <c r="AS748" s="85" t="str">
        <f t="shared" si="1251"/>
        <v/>
      </c>
      <c r="AT748" s="85" t="str">
        <f t="shared" si="1252"/>
        <v/>
      </c>
      <c r="AU748" s="85" t="str">
        <f>IF(AR748&lt;Tablas!$G$19, 0, IF(AND(AR748&gt;=Tablas!$G$19, AR748&lt;Tablas!$G$20), 1,  IF(AND(AR748&gt;=Tablas!$G$20, AR748&lt;Tablas!$G$21), 2,  IF(AND(AR748&gt;=Tablas!$G$21, AR748&lt;=Tablas!$G$22), 3,  ""))))</f>
        <v/>
      </c>
      <c r="AV748" s="85" t="str">
        <f t="shared" si="1231"/>
        <v/>
      </c>
      <c r="AW748" s="101" t="str">
        <f t="shared" si="1232"/>
        <v/>
      </c>
      <c r="AX748" s="177"/>
      <c r="AY748" s="169"/>
      <c r="AZ748" s="158"/>
      <c r="BA748" s="169"/>
      <c r="BB748" s="182"/>
      <c r="BC748" s="182"/>
      <c r="BD748" s="185"/>
      <c r="BE748" s="185"/>
      <c r="BF748" s="158" t="str">
        <f t="shared" si="1305"/>
        <v/>
      </c>
      <c r="BG748" s="191"/>
    </row>
    <row r="749" spans="1:59" x14ac:dyDescent="0.25">
      <c r="A749" s="167"/>
      <c r="B749" s="167"/>
      <c r="C749" s="161"/>
      <c r="D749" s="160"/>
      <c r="E749" s="162"/>
      <c r="F749" s="164"/>
      <c r="G749" s="161"/>
      <c r="H749" s="161"/>
      <c r="I749" s="161"/>
      <c r="J749" s="161"/>
      <c r="K749" s="161"/>
      <c r="L749" s="166"/>
      <c r="M749" s="166"/>
      <c r="N749" s="166"/>
      <c r="O749" s="166"/>
      <c r="P749" s="166"/>
      <c r="Q749" s="166"/>
      <c r="R749" s="166"/>
      <c r="S749" s="167"/>
      <c r="T749" s="167"/>
      <c r="U749" s="167"/>
      <c r="V749" s="167"/>
      <c r="W749" s="167"/>
      <c r="X749" s="164"/>
      <c r="Y749" s="164"/>
      <c r="Z749" s="172"/>
      <c r="AA749" s="188"/>
      <c r="AB749" s="172"/>
      <c r="AC749" s="172"/>
      <c r="AD749" s="175"/>
      <c r="AE749" s="62" t="s">
        <v>115</v>
      </c>
      <c r="AF749" s="133"/>
      <c r="AG749" s="65"/>
      <c r="AH749" s="64"/>
      <c r="AI749" s="64"/>
      <c r="AJ749" s="64"/>
      <c r="AK749" s="64"/>
      <c r="AL749" s="64"/>
      <c r="AM749" s="80" t="str">
        <f>IFERROR((Tablas!$C$1*VLOOKUP(AH749, tipo_control, 2, 0)+Tablas!$E$1*VLOOKUP(AI749, nat_control, 2, 0)+Tablas!$G$1*VLOOKUP(AJ749, ev_control, 2, 0)+Tablas!$I$1*VLOOKUP(AK749, frec_control, 2, 0)+Tablas!$K$1*VLOOKUP(AL749, doc_control, 2, 0))*0.1*peso_dis, "")</f>
        <v/>
      </c>
      <c r="AN749" s="64"/>
      <c r="AO749" s="64"/>
      <c r="AP749" s="64"/>
      <c r="AQ749" s="80" t="str">
        <f>IFERROR((Tablas!$C$9*VLOOKUP(AN749, amb_control, 2, 0)+Tablas!$E$9*VLOOKUP(AO749, ejec_control, 2, 0)+Tablas!$G$9*VLOOKUP(AP749, cub_control, 2, 0))*0.1*peso_ejec, "")</f>
        <v/>
      </c>
      <c r="AR749" s="91" t="str">
        <f t="shared" si="1230"/>
        <v/>
      </c>
      <c r="AS749" s="85" t="str">
        <f t="shared" si="1251"/>
        <v/>
      </c>
      <c r="AT749" s="85" t="str">
        <f t="shared" si="1252"/>
        <v/>
      </c>
      <c r="AU749" s="85" t="str">
        <f>IF(AR749&lt;Tablas!$G$19, 0, IF(AND(AR749&gt;=Tablas!$G$19, AR749&lt;Tablas!$G$20), 1,  IF(AND(AR749&gt;=Tablas!$G$20, AR749&lt;Tablas!$G$21), 2,  IF(AND(AR749&gt;=Tablas!$G$21, AR749&lt;=Tablas!$G$22), 3,  ""))))</f>
        <v/>
      </c>
      <c r="AV749" s="85" t="str">
        <f t="shared" si="1231"/>
        <v/>
      </c>
      <c r="AW749" s="101" t="str">
        <f t="shared" si="1232"/>
        <v/>
      </c>
      <c r="AX749" s="177"/>
      <c r="AY749" s="169"/>
      <c r="AZ749" s="158"/>
      <c r="BA749" s="169"/>
      <c r="BB749" s="182"/>
      <c r="BC749" s="182"/>
      <c r="BD749" s="185"/>
      <c r="BE749" s="185"/>
      <c r="BF749" s="158" t="str">
        <f t="shared" si="1305"/>
        <v/>
      </c>
      <c r="BG749" s="191"/>
    </row>
    <row r="750" spans="1:59" x14ac:dyDescent="0.25">
      <c r="A750" s="167"/>
      <c r="B750" s="167"/>
      <c r="C750" s="161"/>
      <c r="D750" s="160"/>
      <c r="E750" s="162"/>
      <c r="F750" s="164"/>
      <c r="G750" s="161"/>
      <c r="H750" s="161"/>
      <c r="I750" s="161"/>
      <c r="J750" s="161"/>
      <c r="K750" s="161"/>
      <c r="L750" s="166"/>
      <c r="M750" s="166"/>
      <c r="N750" s="166"/>
      <c r="O750" s="166"/>
      <c r="P750" s="166"/>
      <c r="Q750" s="166"/>
      <c r="R750" s="166"/>
      <c r="S750" s="167"/>
      <c r="T750" s="167"/>
      <c r="U750" s="167"/>
      <c r="V750" s="167"/>
      <c r="W750" s="167"/>
      <c r="X750" s="164"/>
      <c r="Y750" s="164"/>
      <c r="Z750" s="172"/>
      <c r="AA750" s="188"/>
      <c r="AB750" s="172"/>
      <c r="AC750" s="172"/>
      <c r="AD750" s="175"/>
      <c r="AE750" s="62" t="s">
        <v>153</v>
      </c>
      <c r="AF750" s="133"/>
      <c r="AG750" s="65"/>
      <c r="AH750" s="64"/>
      <c r="AI750" s="64"/>
      <c r="AJ750" s="64"/>
      <c r="AK750" s="64"/>
      <c r="AL750" s="64"/>
      <c r="AM750" s="80" t="str">
        <f>IFERROR((Tablas!$C$1*VLOOKUP(AH750, tipo_control, 2, 0)+Tablas!$E$1*VLOOKUP(AI750, nat_control, 2, 0)+Tablas!$G$1*VLOOKUP(AJ750, ev_control, 2, 0)+Tablas!$I$1*VLOOKUP(AK750, frec_control, 2, 0)+Tablas!$K$1*VLOOKUP(AL750, doc_control, 2, 0))*0.1*peso_dis, "")</f>
        <v/>
      </c>
      <c r="AN750" s="64"/>
      <c r="AO750" s="64"/>
      <c r="AP750" s="64"/>
      <c r="AQ750" s="80" t="str">
        <f>IFERROR((Tablas!$C$9*VLOOKUP(AN750, amb_control, 2, 0)+Tablas!$E$9*VLOOKUP(AO750, ejec_control, 2, 0)+Tablas!$G$9*VLOOKUP(AP750, cub_control, 2, 0))*0.1*peso_ejec, "")</f>
        <v/>
      </c>
      <c r="AR750" s="91" t="str">
        <f t="shared" si="1230"/>
        <v/>
      </c>
      <c r="AS750" s="85" t="str">
        <f t="shared" si="1251"/>
        <v/>
      </c>
      <c r="AT750" s="85" t="str">
        <f t="shared" si="1252"/>
        <v/>
      </c>
      <c r="AU750" s="85" t="str">
        <f>IF(AR750&lt;Tablas!$G$19, 0, IF(AND(AR750&gt;=Tablas!$G$19, AR750&lt;Tablas!$G$20), 1,  IF(AND(AR750&gt;=Tablas!$G$20, AR750&lt;Tablas!$G$21), 2,  IF(AND(AR750&gt;=Tablas!$G$21, AR750&lt;=Tablas!$G$22), 3,  ""))))</f>
        <v/>
      </c>
      <c r="AV750" s="85" t="str">
        <f t="shared" si="1231"/>
        <v/>
      </c>
      <c r="AW750" s="101" t="str">
        <f t="shared" si="1232"/>
        <v/>
      </c>
      <c r="AX750" s="177"/>
      <c r="AY750" s="169"/>
      <c r="AZ750" s="158"/>
      <c r="BA750" s="169"/>
      <c r="BB750" s="182"/>
      <c r="BC750" s="182"/>
      <c r="BD750" s="185"/>
      <c r="BE750" s="185"/>
      <c r="BF750" s="158"/>
      <c r="BG750" s="191"/>
    </row>
    <row r="751" spans="1:59" ht="15.75" thickBot="1" x14ac:dyDescent="0.3">
      <c r="A751" s="167"/>
      <c r="B751" s="167"/>
      <c r="C751" s="161"/>
      <c r="D751" s="160"/>
      <c r="E751" s="162"/>
      <c r="F751" s="165"/>
      <c r="G751" s="161"/>
      <c r="H751" s="161"/>
      <c r="I751" s="161"/>
      <c r="J751" s="161"/>
      <c r="K751" s="161"/>
      <c r="L751" s="166"/>
      <c r="M751" s="166"/>
      <c r="N751" s="166"/>
      <c r="O751" s="166"/>
      <c r="P751" s="166"/>
      <c r="Q751" s="166"/>
      <c r="R751" s="166"/>
      <c r="S751" s="149"/>
      <c r="T751" s="149"/>
      <c r="U751" s="149"/>
      <c r="V751" s="149"/>
      <c r="W751" s="149"/>
      <c r="X751" s="165"/>
      <c r="Y751" s="165"/>
      <c r="Z751" s="172"/>
      <c r="AA751" s="188"/>
      <c r="AB751" s="172"/>
      <c r="AC751" s="172"/>
      <c r="AD751" s="175"/>
      <c r="AE751" s="66" t="s">
        <v>154</v>
      </c>
      <c r="AF751" s="134"/>
      <c r="AG751" s="67"/>
      <c r="AH751" s="69"/>
      <c r="AI751" s="69"/>
      <c r="AJ751" s="69"/>
      <c r="AK751" s="69"/>
      <c r="AL751" s="69"/>
      <c r="AM751" s="81" t="str">
        <f>IFERROR((Tablas!$C$1*VLOOKUP(AH751, tipo_control, 2, 0)+Tablas!$E$1*VLOOKUP(AI751, nat_control, 2, 0)+Tablas!$G$1*VLOOKUP(AJ751, ev_control, 2, 0)+Tablas!$I$1*VLOOKUP(AK751, frec_control, 2, 0)+Tablas!$K$1*VLOOKUP(AL751, doc_control, 2, 0))*0.1*peso_dis, "")</f>
        <v/>
      </c>
      <c r="AN751" s="69"/>
      <c r="AO751" s="69"/>
      <c r="AP751" s="69"/>
      <c r="AQ751" s="81" t="str">
        <f>IFERROR((Tablas!$C$9*VLOOKUP(AN751, amb_control, 2, 0)+Tablas!$E$9*VLOOKUP(AO751, ejec_control, 2, 0)+Tablas!$G$9*VLOOKUP(AP751, cub_control, 2, 0))*0.1*peso_ejec, "")</f>
        <v/>
      </c>
      <c r="AR751" s="93" t="str">
        <f t="shared" si="1230"/>
        <v/>
      </c>
      <c r="AS751" s="94" t="str">
        <f t="shared" si="1251"/>
        <v/>
      </c>
      <c r="AT751" s="94" t="str">
        <f t="shared" si="1252"/>
        <v/>
      </c>
      <c r="AU751" s="94" t="str">
        <f>IF(AR751&lt;Tablas!$G$19, 0, IF(AND(AR751&gt;=Tablas!$G$19, AR751&lt;Tablas!$G$20), 1,  IF(AND(AR751&gt;=Tablas!$G$20, AR751&lt;Tablas!$G$21), 2,  IF(AND(AR751&gt;=Tablas!$G$21, AR751&lt;=Tablas!$G$22), 3,  ""))))</f>
        <v/>
      </c>
      <c r="AV751" s="94" t="str">
        <f t="shared" si="1231"/>
        <v/>
      </c>
      <c r="AW751" s="102" t="str">
        <f t="shared" si="1232"/>
        <v/>
      </c>
      <c r="AX751" s="157"/>
      <c r="AY751" s="170"/>
      <c r="AZ751" s="179"/>
      <c r="BA751" s="170"/>
      <c r="BB751" s="182"/>
      <c r="BC751" s="182"/>
      <c r="BD751" s="185"/>
      <c r="BE751" s="185"/>
      <c r="BF751" s="159"/>
      <c r="BG751" s="191"/>
    </row>
    <row r="752" spans="1:59" x14ac:dyDescent="0.25">
      <c r="A752" s="167"/>
      <c r="B752" s="167"/>
      <c r="C752" s="161" t="s">
        <v>183</v>
      </c>
      <c r="D752" s="160" t="s">
        <v>158</v>
      </c>
      <c r="E752" s="162"/>
      <c r="F752" s="163" t="str">
        <f t="shared" si="1243"/>
        <v/>
      </c>
      <c r="G752" s="149"/>
      <c r="H752" s="149"/>
      <c r="I752" s="149"/>
      <c r="J752" s="149"/>
      <c r="K752" s="149"/>
      <c r="L752" s="165" t="str">
        <f t="shared" ref="L752" si="1306">IFERROR(VLOOKUP(G752, tabla02, 2, 0), "")</f>
        <v/>
      </c>
      <c r="M752" s="165" t="str">
        <f t="shared" ref="M752" si="1307">IFERROR(VLOOKUP(H752, tabla02, 2, 0), "")</f>
        <v/>
      </c>
      <c r="N752" s="165" t="str">
        <f t="shared" ref="N752" si="1308">IFERROR(VLOOKUP(I752, tabla02, 2, 0), "")</f>
        <v/>
      </c>
      <c r="O752" s="165" t="str">
        <f t="shared" ref="O752" si="1309">IFERROR(VLOOKUP(J752, tabla02, 2, 0), "")</f>
        <v/>
      </c>
      <c r="P752" s="165" t="str">
        <f t="shared" ref="P752" si="1310">IFERROR(VLOOKUP(K752, tabla02, 2, 0), "")</f>
        <v/>
      </c>
      <c r="Q752" s="165" t="str">
        <f t="shared" ref="Q752" si="1311">IF(SUM(L752:O756)=0, "", MAX(L752:P752))</f>
        <v/>
      </c>
      <c r="R752" s="165" t="str">
        <f>IFERROR(VLOOKUP(Q752, tabla04, 3, 0), "")</f>
        <v/>
      </c>
      <c r="S752" s="148"/>
      <c r="T752" s="148"/>
      <c r="U752" s="148"/>
      <c r="V752" s="148"/>
      <c r="W752" s="148"/>
      <c r="X752" s="163" t="str">
        <f>IFERROR(VLOOKUP(CONCATENATE(F752, "-", Q752), cuadrante_sev, 3, 0), "")</f>
        <v/>
      </c>
      <c r="Y752" s="163" t="str">
        <f t="shared" ref="Y752" si="1312">IFERROR(IF(X752="Baja", 1, IF(X752="Moderada", 2, IF(X752="Alta", 3, IF(X752="Extrema", 4, "")))), "")</f>
        <v/>
      </c>
      <c r="Z752" s="172"/>
      <c r="AA752" s="188"/>
      <c r="AB752" s="172"/>
      <c r="AC752" s="172"/>
      <c r="AD752" s="175"/>
      <c r="AE752" s="70" t="s">
        <v>113</v>
      </c>
      <c r="AF752" s="135"/>
      <c r="AG752" s="74"/>
      <c r="AH752" s="72"/>
      <c r="AI752" s="72"/>
      <c r="AJ752" s="72"/>
      <c r="AK752" s="72"/>
      <c r="AL752" s="72"/>
      <c r="AM752" s="82" t="str">
        <f>IFERROR((Tablas!$C$1*VLOOKUP(AH752, tipo_control, 2, 0)+Tablas!$E$1*VLOOKUP(AI752, nat_control, 2, 0)+Tablas!$G$1*VLOOKUP(AJ752, ev_control, 2, 0)+Tablas!$I$1*VLOOKUP(AK752, frec_control, 2, 0)+Tablas!$K$1*VLOOKUP(AL752, doc_control, 2, 0))*0.1*peso_dis, "")</f>
        <v/>
      </c>
      <c r="AN752" s="72"/>
      <c r="AO752" s="72"/>
      <c r="AP752" s="72"/>
      <c r="AQ752" s="82" t="str">
        <f>IFERROR((Tablas!$C$9*VLOOKUP(AN752, amb_control, 2, 0)+Tablas!$E$9*VLOOKUP(AO752, ejec_control, 2, 0)+Tablas!$G$9*VLOOKUP(AP752, cub_control, 2, 0))*0.1*peso_ejec, "")</f>
        <v/>
      </c>
      <c r="AR752" s="96" t="str">
        <f t="shared" si="1230"/>
        <v/>
      </c>
      <c r="AS752" s="97" t="str">
        <f t="shared" si="1251"/>
        <v/>
      </c>
      <c r="AT752" s="87" t="str">
        <f t="shared" si="1252"/>
        <v/>
      </c>
      <c r="AU752" s="97" t="str">
        <f>IF(AR752&lt;Tablas!$G$19, 0, IF(AND(AR752&gt;=Tablas!$G$19, AR752&lt;Tablas!$G$20), 1,  IF(AND(AR752&gt;=Tablas!$G$20, AR752&lt;Tablas!$G$21), 2,  IF(AND(AR752&gt;=Tablas!$G$21, AR752&lt;=Tablas!$G$22), 3,  ""))))</f>
        <v/>
      </c>
      <c r="AV752" s="97" t="str">
        <f t="shared" si="1231"/>
        <v/>
      </c>
      <c r="AW752" s="103" t="str">
        <f t="shared" si="1232"/>
        <v/>
      </c>
      <c r="AX752" s="176" t="str">
        <f t="shared" ref="AX752" si="1313">IFERROR(VLOOKUP(AY752, tabla04, 2, 0), "")</f>
        <v/>
      </c>
      <c r="AY752" s="168" t="str">
        <f>IF(F752="", "", IF((F752-MAX(AV752:AV756))&lt;=0, 1, F752-MAX(AV752:AV756)))</f>
        <v/>
      </c>
      <c r="AZ752" s="178" t="str">
        <f t="shared" ref="AZ752" si="1314">IFERROR(VLOOKUP(BA752, tabla04, 3, 0), "")</f>
        <v/>
      </c>
      <c r="BA752" s="168" t="str">
        <f>IF(Q752="", "", IF((Q752-MAX(AW752:AW756))&lt;=0, 1, Q752-MAX(AW752:AW756)))</f>
        <v/>
      </c>
      <c r="BB752" s="182"/>
      <c r="BC752" s="182"/>
      <c r="BD752" s="185"/>
      <c r="BE752" s="185"/>
      <c r="BF752" s="158" t="str">
        <f t="shared" ref="BF752:BF754" si="1315">IFERROR(VLOOKUP(CONCATENATE(AY752, "-", BA752), cuadrante_sev, 3, 0), "")</f>
        <v/>
      </c>
      <c r="BG752" s="191"/>
    </row>
    <row r="753" spans="1:59" x14ac:dyDescent="0.25">
      <c r="A753" s="167"/>
      <c r="B753" s="167"/>
      <c r="C753" s="161"/>
      <c r="D753" s="160"/>
      <c r="E753" s="162"/>
      <c r="F753" s="164"/>
      <c r="G753" s="161"/>
      <c r="H753" s="161"/>
      <c r="I753" s="161"/>
      <c r="J753" s="161"/>
      <c r="K753" s="161"/>
      <c r="L753" s="166"/>
      <c r="M753" s="166"/>
      <c r="N753" s="166"/>
      <c r="O753" s="166"/>
      <c r="P753" s="166"/>
      <c r="Q753" s="166"/>
      <c r="R753" s="166"/>
      <c r="S753" s="167"/>
      <c r="T753" s="167"/>
      <c r="U753" s="167"/>
      <c r="V753" s="167"/>
      <c r="W753" s="167"/>
      <c r="X753" s="164"/>
      <c r="Y753" s="164"/>
      <c r="Z753" s="172"/>
      <c r="AA753" s="188"/>
      <c r="AB753" s="172"/>
      <c r="AC753" s="172"/>
      <c r="AD753" s="175"/>
      <c r="AE753" s="62" t="s">
        <v>114</v>
      </c>
      <c r="AF753" s="133"/>
      <c r="AG753" s="65"/>
      <c r="AH753" s="64"/>
      <c r="AI753" s="64"/>
      <c r="AJ753" s="64"/>
      <c r="AK753" s="64"/>
      <c r="AL753" s="64"/>
      <c r="AM753" s="80" t="str">
        <f>IFERROR((Tablas!$C$1*VLOOKUP(AH753, tipo_control, 2, 0)+Tablas!$E$1*VLOOKUP(AI753, nat_control, 2, 0)+Tablas!$G$1*VLOOKUP(AJ753, ev_control, 2, 0)+Tablas!$I$1*VLOOKUP(AK753, frec_control, 2, 0)+Tablas!$K$1*VLOOKUP(AL753, doc_control, 2, 0))*0.1*peso_dis, "")</f>
        <v/>
      </c>
      <c r="AN753" s="64"/>
      <c r="AO753" s="64"/>
      <c r="AP753" s="64"/>
      <c r="AQ753" s="80" t="str">
        <f>IFERROR((Tablas!$C$9*VLOOKUP(AN753, amb_control, 2, 0)+Tablas!$E$9*VLOOKUP(AO753, ejec_control, 2, 0)+Tablas!$G$9*VLOOKUP(AP753, cub_control, 2, 0))*0.1*peso_ejec, "")</f>
        <v/>
      </c>
      <c r="AR753" s="91" t="str">
        <f t="shared" si="1230"/>
        <v/>
      </c>
      <c r="AS753" s="85" t="str">
        <f t="shared" si="1251"/>
        <v/>
      </c>
      <c r="AT753" s="85" t="str">
        <f t="shared" si="1252"/>
        <v/>
      </c>
      <c r="AU753" s="85" t="str">
        <f>IF(AR753&lt;Tablas!$G$19, 0, IF(AND(AR753&gt;=Tablas!$G$19, AR753&lt;Tablas!$G$20), 1,  IF(AND(AR753&gt;=Tablas!$G$20, AR753&lt;Tablas!$G$21), 2,  IF(AND(AR753&gt;=Tablas!$G$21, AR753&lt;=Tablas!$G$22), 3,  ""))))</f>
        <v/>
      </c>
      <c r="AV753" s="85" t="str">
        <f t="shared" si="1231"/>
        <v/>
      </c>
      <c r="AW753" s="101" t="str">
        <f t="shared" si="1232"/>
        <v/>
      </c>
      <c r="AX753" s="177"/>
      <c r="AY753" s="169"/>
      <c r="AZ753" s="158"/>
      <c r="BA753" s="169"/>
      <c r="BB753" s="182"/>
      <c r="BC753" s="182"/>
      <c r="BD753" s="185"/>
      <c r="BE753" s="185"/>
      <c r="BF753" s="158" t="str">
        <f t="shared" si="1315"/>
        <v/>
      </c>
      <c r="BG753" s="191"/>
    </row>
    <row r="754" spans="1:59" x14ac:dyDescent="0.25">
      <c r="A754" s="167"/>
      <c r="B754" s="167"/>
      <c r="C754" s="161"/>
      <c r="D754" s="160"/>
      <c r="E754" s="162"/>
      <c r="F754" s="164"/>
      <c r="G754" s="161"/>
      <c r="H754" s="161"/>
      <c r="I754" s="161"/>
      <c r="J754" s="161"/>
      <c r="K754" s="161"/>
      <c r="L754" s="166"/>
      <c r="M754" s="166"/>
      <c r="N754" s="166"/>
      <c r="O754" s="166"/>
      <c r="P754" s="166"/>
      <c r="Q754" s="166"/>
      <c r="R754" s="166"/>
      <c r="S754" s="167"/>
      <c r="T754" s="167"/>
      <c r="U754" s="167"/>
      <c r="V754" s="167"/>
      <c r="W754" s="167"/>
      <c r="X754" s="164"/>
      <c r="Y754" s="164"/>
      <c r="Z754" s="172"/>
      <c r="AA754" s="188"/>
      <c r="AB754" s="172"/>
      <c r="AC754" s="172"/>
      <c r="AD754" s="175"/>
      <c r="AE754" s="62" t="s">
        <v>115</v>
      </c>
      <c r="AF754" s="133"/>
      <c r="AG754" s="65"/>
      <c r="AH754" s="64"/>
      <c r="AI754" s="64"/>
      <c r="AJ754" s="64"/>
      <c r="AK754" s="64"/>
      <c r="AL754" s="64"/>
      <c r="AM754" s="80" t="str">
        <f>IFERROR((Tablas!$C$1*VLOOKUP(AH754, tipo_control, 2, 0)+Tablas!$E$1*VLOOKUP(AI754, nat_control, 2, 0)+Tablas!$G$1*VLOOKUP(AJ754, ev_control, 2, 0)+Tablas!$I$1*VLOOKUP(AK754, frec_control, 2, 0)+Tablas!$K$1*VLOOKUP(AL754, doc_control, 2, 0))*0.1*peso_dis, "")</f>
        <v/>
      </c>
      <c r="AN754" s="64"/>
      <c r="AO754" s="64"/>
      <c r="AP754" s="64"/>
      <c r="AQ754" s="80" t="str">
        <f>IFERROR((Tablas!$C$9*VLOOKUP(AN754, amb_control, 2, 0)+Tablas!$E$9*VLOOKUP(AO754, ejec_control, 2, 0)+Tablas!$G$9*VLOOKUP(AP754, cub_control, 2, 0))*0.1*peso_ejec, "")</f>
        <v/>
      </c>
      <c r="AR754" s="91" t="str">
        <f t="shared" si="1230"/>
        <v/>
      </c>
      <c r="AS754" s="85" t="str">
        <f t="shared" si="1251"/>
        <v/>
      </c>
      <c r="AT754" s="85" t="str">
        <f t="shared" si="1252"/>
        <v/>
      </c>
      <c r="AU754" s="85" t="str">
        <f>IF(AR754&lt;Tablas!$G$19, 0, IF(AND(AR754&gt;=Tablas!$G$19, AR754&lt;Tablas!$G$20), 1,  IF(AND(AR754&gt;=Tablas!$G$20, AR754&lt;Tablas!$G$21), 2,  IF(AND(AR754&gt;=Tablas!$G$21, AR754&lt;=Tablas!$G$22), 3,  ""))))</f>
        <v/>
      </c>
      <c r="AV754" s="85" t="str">
        <f t="shared" si="1231"/>
        <v/>
      </c>
      <c r="AW754" s="101" t="str">
        <f t="shared" si="1232"/>
        <v/>
      </c>
      <c r="AX754" s="177"/>
      <c r="AY754" s="169"/>
      <c r="AZ754" s="158"/>
      <c r="BA754" s="169"/>
      <c r="BB754" s="182"/>
      <c r="BC754" s="182"/>
      <c r="BD754" s="185"/>
      <c r="BE754" s="185"/>
      <c r="BF754" s="158" t="str">
        <f t="shared" si="1315"/>
        <v/>
      </c>
      <c r="BG754" s="191"/>
    </row>
    <row r="755" spans="1:59" x14ac:dyDescent="0.25">
      <c r="A755" s="167"/>
      <c r="B755" s="167"/>
      <c r="C755" s="161"/>
      <c r="D755" s="160"/>
      <c r="E755" s="162"/>
      <c r="F755" s="164"/>
      <c r="G755" s="161"/>
      <c r="H755" s="161"/>
      <c r="I755" s="161"/>
      <c r="J755" s="161"/>
      <c r="K755" s="161"/>
      <c r="L755" s="166"/>
      <c r="M755" s="166"/>
      <c r="N755" s="166"/>
      <c r="O755" s="166"/>
      <c r="P755" s="166"/>
      <c r="Q755" s="166"/>
      <c r="R755" s="166"/>
      <c r="S755" s="167"/>
      <c r="T755" s="167"/>
      <c r="U755" s="167"/>
      <c r="V755" s="167"/>
      <c r="W755" s="167"/>
      <c r="X755" s="164"/>
      <c r="Y755" s="164"/>
      <c r="Z755" s="172"/>
      <c r="AA755" s="188"/>
      <c r="AB755" s="172"/>
      <c r="AC755" s="172"/>
      <c r="AD755" s="175"/>
      <c r="AE755" s="62" t="s">
        <v>153</v>
      </c>
      <c r="AF755" s="133"/>
      <c r="AG755" s="65"/>
      <c r="AH755" s="64"/>
      <c r="AI755" s="64"/>
      <c r="AJ755" s="64"/>
      <c r="AK755" s="64"/>
      <c r="AL755" s="64"/>
      <c r="AM755" s="80" t="str">
        <f>IFERROR((Tablas!$C$1*VLOOKUP(AH755, tipo_control, 2, 0)+Tablas!$E$1*VLOOKUP(AI755, nat_control, 2, 0)+Tablas!$G$1*VLOOKUP(AJ755, ev_control, 2, 0)+Tablas!$I$1*VLOOKUP(AK755, frec_control, 2, 0)+Tablas!$K$1*VLOOKUP(AL755, doc_control, 2, 0))*0.1*peso_dis, "")</f>
        <v/>
      </c>
      <c r="AN755" s="64"/>
      <c r="AO755" s="64"/>
      <c r="AP755" s="64"/>
      <c r="AQ755" s="80" t="str">
        <f>IFERROR((Tablas!$C$9*VLOOKUP(AN755, amb_control, 2, 0)+Tablas!$E$9*VLOOKUP(AO755, ejec_control, 2, 0)+Tablas!$G$9*VLOOKUP(AP755, cub_control, 2, 0))*0.1*peso_ejec, "")</f>
        <v/>
      </c>
      <c r="AR755" s="91" t="str">
        <f t="shared" si="1230"/>
        <v/>
      </c>
      <c r="AS755" s="85" t="str">
        <f t="shared" si="1251"/>
        <v/>
      </c>
      <c r="AT755" s="85" t="str">
        <f t="shared" si="1252"/>
        <v/>
      </c>
      <c r="AU755" s="85" t="str">
        <f>IF(AR755&lt;Tablas!$G$19, 0, IF(AND(AR755&gt;=Tablas!$G$19, AR755&lt;Tablas!$G$20), 1,  IF(AND(AR755&gt;=Tablas!$G$20, AR755&lt;Tablas!$G$21), 2,  IF(AND(AR755&gt;=Tablas!$G$21, AR755&lt;=Tablas!$G$22), 3,  ""))))</f>
        <v/>
      </c>
      <c r="AV755" s="85" t="str">
        <f t="shared" si="1231"/>
        <v/>
      </c>
      <c r="AW755" s="101" t="str">
        <f t="shared" si="1232"/>
        <v/>
      </c>
      <c r="AX755" s="177"/>
      <c r="AY755" s="169"/>
      <c r="AZ755" s="158"/>
      <c r="BA755" s="169"/>
      <c r="BB755" s="182"/>
      <c r="BC755" s="182"/>
      <c r="BD755" s="185"/>
      <c r="BE755" s="185"/>
      <c r="BF755" s="158"/>
      <c r="BG755" s="191"/>
    </row>
    <row r="756" spans="1:59" ht="15.75" thickBot="1" x14ac:dyDescent="0.3">
      <c r="A756" s="149"/>
      <c r="B756" s="149"/>
      <c r="C756" s="161"/>
      <c r="D756" s="160"/>
      <c r="E756" s="162"/>
      <c r="F756" s="165"/>
      <c r="G756" s="161"/>
      <c r="H756" s="161"/>
      <c r="I756" s="161"/>
      <c r="J756" s="161"/>
      <c r="K756" s="161"/>
      <c r="L756" s="166"/>
      <c r="M756" s="166"/>
      <c r="N756" s="166"/>
      <c r="O756" s="166"/>
      <c r="P756" s="166"/>
      <c r="Q756" s="166"/>
      <c r="R756" s="166"/>
      <c r="S756" s="149"/>
      <c r="T756" s="149"/>
      <c r="U756" s="149"/>
      <c r="V756" s="149"/>
      <c r="W756" s="149"/>
      <c r="X756" s="165"/>
      <c r="Y756" s="165"/>
      <c r="Z756" s="173"/>
      <c r="AA756" s="189"/>
      <c r="AB756" s="173"/>
      <c r="AC756" s="173"/>
      <c r="AD756" s="175"/>
      <c r="AE756" s="75" t="s">
        <v>154</v>
      </c>
      <c r="AF756" s="136"/>
      <c r="AG756" s="68"/>
      <c r="AH756" s="76"/>
      <c r="AI756" s="76"/>
      <c r="AJ756" s="76"/>
      <c r="AK756" s="76"/>
      <c r="AL756" s="76"/>
      <c r="AM756" s="83" t="str">
        <f>IFERROR((Tablas!$C$1*VLOOKUP(AH756, tipo_control, 2, 0)+Tablas!$E$1*VLOOKUP(AI756, nat_control, 2, 0)+Tablas!$G$1*VLOOKUP(AJ756, ev_control, 2, 0)+Tablas!$I$1*VLOOKUP(AK756, frec_control, 2, 0)+Tablas!$K$1*VLOOKUP(AL756, doc_control, 2, 0))*0.1*peso_dis, "")</f>
        <v/>
      </c>
      <c r="AN756" s="76"/>
      <c r="AO756" s="76"/>
      <c r="AP756" s="76"/>
      <c r="AQ756" s="83" t="str">
        <f>IFERROR((Tablas!$C$9*VLOOKUP(AN756, amb_control, 2, 0)+Tablas!$E$9*VLOOKUP(AO756, ejec_control, 2, 0)+Tablas!$G$9*VLOOKUP(AP756, cub_control, 2, 0))*0.1*peso_ejec, "")</f>
        <v/>
      </c>
      <c r="AR756" s="99" t="str">
        <f t="shared" si="1230"/>
        <v/>
      </c>
      <c r="AS756" s="86" t="str">
        <f t="shared" si="1251"/>
        <v/>
      </c>
      <c r="AT756" s="86" t="str">
        <f t="shared" si="1252"/>
        <v/>
      </c>
      <c r="AU756" s="86" t="str">
        <f>IF(AR756&lt;Tablas!$G$19, 0, IF(AND(AR756&gt;=Tablas!$G$19, AR756&lt;Tablas!$G$20), 1,  IF(AND(AR756&gt;=Tablas!$G$20, AR756&lt;Tablas!$G$21), 2,  IF(AND(AR756&gt;=Tablas!$G$21, AR756&lt;=Tablas!$G$22), 3,  ""))))</f>
        <v/>
      </c>
      <c r="AV756" s="86" t="str">
        <f t="shared" si="1231"/>
        <v/>
      </c>
      <c r="AW756" s="84" t="str">
        <f t="shared" si="1232"/>
        <v/>
      </c>
      <c r="AX756" s="157"/>
      <c r="AY756" s="170"/>
      <c r="AZ756" s="179"/>
      <c r="BA756" s="170"/>
      <c r="BB756" s="183"/>
      <c r="BC756" s="183"/>
      <c r="BD756" s="186"/>
      <c r="BE756" s="186"/>
      <c r="BF756" s="159"/>
      <c r="BG756" s="191"/>
    </row>
    <row r="757" spans="1:59" x14ac:dyDescent="0.25">
      <c r="A757" s="148" t="s">
        <v>205</v>
      </c>
      <c r="B757" s="148" t="s">
        <v>206</v>
      </c>
      <c r="C757" s="161" t="s">
        <v>14</v>
      </c>
      <c r="D757" s="160" t="s">
        <v>158</v>
      </c>
      <c r="E757" s="193"/>
      <c r="F757" s="163" t="str">
        <f t="shared" si="1243"/>
        <v/>
      </c>
      <c r="G757" s="149"/>
      <c r="H757" s="149"/>
      <c r="I757" s="149"/>
      <c r="J757" s="149"/>
      <c r="K757" s="149"/>
      <c r="L757" s="165" t="str">
        <f>IFERROR(VLOOKUP(G757, tabla02, 2, 0), "")</f>
        <v/>
      </c>
      <c r="M757" s="165" t="str">
        <f>IFERROR(VLOOKUP(H757, tabla02, 2, 0), "")</f>
        <v/>
      </c>
      <c r="N757" s="165" t="str">
        <f>IFERROR(VLOOKUP(I757, tabla02, 2, 0), "")</f>
        <v/>
      </c>
      <c r="O757" s="165" t="str">
        <f>IFERROR(VLOOKUP(J757, tabla02, 2, 0), "")</f>
        <v/>
      </c>
      <c r="P757" s="165" t="str">
        <f>IFERROR(VLOOKUP(K757, tabla02, 2, 0), "")</f>
        <v/>
      </c>
      <c r="Q757" s="165" t="str">
        <f t="shared" ref="Q757" si="1316">IF(SUM(L757:O761)=0, "", MAX(L757:P757))</f>
        <v/>
      </c>
      <c r="R757" s="165" t="str">
        <f>IFERROR(VLOOKUP(Q757, tabla04, 3, 0), "")</f>
        <v/>
      </c>
      <c r="S757" s="148"/>
      <c r="T757" s="148"/>
      <c r="U757" s="148"/>
      <c r="V757" s="148"/>
      <c r="W757" s="148"/>
      <c r="X757" s="164" t="str">
        <f>IFERROR(VLOOKUP(CONCATENATE(F757, "-", Q757), cuadrante_sev, 3, 0), "")</f>
        <v/>
      </c>
      <c r="Y757" s="163" t="str">
        <f>IFERROR(IF(X757="Baja", 1, IF(X757="Moderada", 2, IF(X757="Alta", 3, IF(X757="Extrema", 4, "")))), "")</f>
        <v/>
      </c>
      <c r="Z757" s="171">
        <f t="shared" ref="Z757" si="1317">MAX(F757:F806)</f>
        <v>0</v>
      </c>
      <c r="AA757" s="187">
        <f t="shared" ref="AA757" si="1318">MAX(Q757:Q806)</f>
        <v>0</v>
      </c>
      <c r="AB757" s="171" t="str">
        <f>IFERROR(VLOOKUP(Z757, tabla04, 2, 0), "")</f>
        <v/>
      </c>
      <c r="AC757" s="171" t="str">
        <f>IFERROR(VLOOKUP(AA757, tabla04, 3, 0), "")</f>
        <v/>
      </c>
      <c r="AD757" s="174" t="str">
        <f>IFERROR(VLOOKUP(CONCATENATE(Z757, "-", AA757), cuadrante_sev, 3, 0), "")</f>
        <v/>
      </c>
      <c r="AE757" s="59" t="s">
        <v>113</v>
      </c>
      <c r="AF757" s="132"/>
      <c r="AG757" s="77"/>
      <c r="AH757" s="61"/>
      <c r="AI757" s="61"/>
      <c r="AJ757" s="61"/>
      <c r="AK757" s="61"/>
      <c r="AL757" s="61"/>
      <c r="AM757" s="79" t="str">
        <f>IFERROR((Tablas!$C$1*VLOOKUP(AH757, tipo_control, 2, 0)+Tablas!$E$1*VLOOKUP(AI757, nat_control, 2, 0)+Tablas!$G$1*VLOOKUP(AJ757, ev_control, 2, 0)+Tablas!$I$1*VLOOKUP(AK757, frec_control, 2, 0)+Tablas!$K$1*VLOOKUP(AL757, doc_control, 2, 0))*0.1*peso_dis, "")</f>
        <v/>
      </c>
      <c r="AN757" s="61"/>
      <c r="AO757" s="61"/>
      <c r="AP757" s="61"/>
      <c r="AQ757" s="79" t="str">
        <f>IFERROR((Tablas!$C$9*VLOOKUP(AN757, amb_control, 2, 0)+Tablas!$E$9*VLOOKUP(AO757, ejec_control, 2, 0)+Tablas!$G$9*VLOOKUP(AP757, cub_control, 2, 0))*0.1*peso_ejec, "")</f>
        <v/>
      </c>
      <c r="AR757" s="89" t="str">
        <f>IFERROR(AM757+AQ757, "")</f>
        <v/>
      </c>
      <c r="AS757" s="87" t="str">
        <f t="shared" si="1251"/>
        <v/>
      </c>
      <c r="AT757" s="87" t="str">
        <f t="shared" si="1252"/>
        <v/>
      </c>
      <c r="AU757" s="87" t="str">
        <f>IF(AR757&lt;Tablas!$G$19, 0, IF(AND(AR757&gt;=Tablas!$G$19, AR757&lt;Tablas!$G$20), 1,  IF(AND(AR757&gt;=Tablas!$G$20, AR757&lt;Tablas!$G$21), 2,  IF(AND(AR757&gt;=Tablas!$G$21, AR757&lt;=Tablas!$G$22), 3,  ""))))</f>
        <v/>
      </c>
      <c r="AV757" s="87" t="str">
        <f>IF(AS757="Sí",AU757,"")</f>
        <v/>
      </c>
      <c r="AW757" s="100" t="str">
        <f>IF(AT757="Sí",AU757,"")</f>
        <v/>
      </c>
      <c r="AX757" s="176" t="str">
        <f>IFERROR(VLOOKUP(AY757, tabla04, 2, 0), "")</f>
        <v/>
      </c>
      <c r="AY757" s="168" t="str">
        <f>IF(F757="", "", IF((F757-MAX(AV757:AV761))&lt;=0, 1, F757-MAX(AV757:AV761)))</f>
        <v/>
      </c>
      <c r="AZ757" s="178" t="str">
        <f>IFERROR(VLOOKUP(BA757, tabla04, 3, 0), "")</f>
        <v/>
      </c>
      <c r="BA757" s="168" t="str">
        <f>IF(Q757="", "", IF((Q757-MAX(AW757:AW761))&lt;=0, 1, Q757-MAX(AW757:AW761)))</f>
        <v/>
      </c>
      <c r="BB757" s="170">
        <f>IFERROR(MAX(AY757:AY806), "")</f>
        <v>0</v>
      </c>
      <c r="BC757" s="170">
        <f>IFERROR(MAX(BA757:BA806), "")</f>
        <v>0</v>
      </c>
      <c r="BD757" s="184" t="str">
        <f>IFERROR(VLOOKUP(BB757, tabla04, 2, 0), "")</f>
        <v/>
      </c>
      <c r="BE757" s="184" t="str">
        <f>IFERROR(VLOOKUP(BC757, tabla04, 3, 0), "")</f>
        <v/>
      </c>
      <c r="BF757" s="158" t="str">
        <f>IFERROR(VLOOKUP(CONCATENATE(AY757, "-", BA757), cuadrante_sev, 3, 0), "")</f>
        <v/>
      </c>
      <c r="BG757" s="190" t="str">
        <f>IFERROR(VLOOKUP(CONCATENATE(BB757, "-", BC757), cuadrante_sev, 3, 0), "")</f>
        <v/>
      </c>
    </row>
    <row r="758" spans="1:59" x14ac:dyDescent="0.25">
      <c r="A758" s="167"/>
      <c r="B758" s="167"/>
      <c r="C758" s="161"/>
      <c r="D758" s="160"/>
      <c r="E758" s="162"/>
      <c r="F758" s="164"/>
      <c r="G758" s="161"/>
      <c r="H758" s="161"/>
      <c r="I758" s="161"/>
      <c r="J758" s="161"/>
      <c r="K758" s="161"/>
      <c r="L758" s="166"/>
      <c r="M758" s="166"/>
      <c r="N758" s="166"/>
      <c r="O758" s="166"/>
      <c r="P758" s="166"/>
      <c r="Q758" s="166"/>
      <c r="R758" s="166"/>
      <c r="S758" s="167"/>
      <c r="T758" s="167"/>
      <c r="U758" s="167"/>
      <c r="V758" s="167"/>
      <c r="W758" s="167"/>
      <c r="X758" s="164"/>
      <c r="Y758" s="164"/>
      <c r="Z758" s="172"/>
      <c r="AA758" s="188"/>
      <c r="AB758" s="172"/>
      <c r="AC758" s="172"/>
      <c r="AD758" s="175"/>
      <c r="AE758" s="62" t="s">
        <v>114</v>
      </c>
      <c r="AF758" s="133"/>
      <c r="AG758" s="65"/>
      <c r="AH758" s="64"/>
      <c r="AI758" s="64"/>
      <c r="AJ758" s="64"/>
      <c r="AK758" s="64"/>
      <c r="AL758" s="64"/>
      <c r="AM758" s="80" t="str">
        <f>IFERROR((Tablas!$C$1*VLOOKUP(AH758, tipo_control, 2, 0)+Tablas!$E$1*VLOOKUP(AI758, nat_control, 2, 0)+Tablas!$G$1*VLOOKUP(AJ758, ev_control, 2, 0)+Tablas!$I$1*VLOOKUP(AK758, frec_control, 2, 0)+Tablas!$K$1*VLOOKUP(AL758, doc_control, 2, 0))*0.1*peso_dis, "")</f>
        <v/>
      </c>
      <c r="AN758" s="64"/>
      <c r="AO758" s="64"/>
      <c r="AP758" s="64"/>
      <c r="AQ758" s="80" t="str">
        <f>IFERROR((Tablas!$C$9*VLOOKUP(AN758, amb_control, 2, 0)+Tablas!$E$9*VLOOKUP(AO758, ejec_control, 2, 0)+Tablas!$G$9*VLOOKUP(AP758, cub_control, 2, 0))*0.1*peso_ejec, "")</f>
        <v/>
      </c>
      <c r="AR758" s="91" t="str">
        <f t="shared" ref="AR758:AR806" si="1319">IFERROR(AM758+AQ758, "")</f>
        <v/>
      </c>
      <c r="AS758" s="87" t="str">
        <f t="shared" si="1251"/>
        <v/>
      </c>
      <c r="AT758" s="85" t="str">
        <f t="shared" si="1252"/>
        <v/>
      </c>
      <c r="AU758" s="85" t="str">
        <f>IF(AR758&lt;Tablas!$G$19, 0, IF(AND(AR758&gt;=Tablas!$G$19, AR758&lt;Tablas!$G$20), 1,  IF(AND(AR758&gt;=Tablas!$G$20, AR758&lt;Tablas!$G$21), 2,  IF(AND(AR758&gt;=Tablas!$G$21, AR758&lt;=Tablas!$G$22), 3,  ""))))</f>
        <v/>
      </c>
      <c r="AV758" s="85" t="str">
        <f t="shared" ref="AV758:AV806" si="1320">IF(AS758="Sí",AU758,"")</f>
        <v/>
      </c>
      <c r="AW758" s="101" t="str">
        <f t="shared" ref="AW758:AW806" si="1321">IF(AT758="Sí",AU758,"")</f>
        <v/>
      </c>
      <c r="AX758" s="177"/>
      <c r="AY758" s="169"/>
      <c r="AZ758" s="158"/>
      <c r="BA758" s="169"/>
      <c r="BB758" s="182"/>
      <c r="BC758" s="182"/>
      <c r="BD758" s="185"/>
      <c r="BE758" s="185"/>
      <c r="BF758" s="158"/>
      <c r="BG758" s="191"/>
    </row>
    <row r="759" spans="1:59" x14ac:dyDescent="0.25">
      <c r="A759" s="167"/>
      <c r="B759" s="167"/>
      <c r="C759" s="161"/>
      <c r="D759" s="160"/>
      <c r="E759" s="162"/>
      <c r="F759" s="164"/>
      <c r="G759" s="161"/>
      <c r="H759" s="161"/>
      <c r="I759" s="161"/>
      <c r="J759" s="161"/>
      <c r="K759" s="161"/>
      <c r="L759" s="166"/>
      <c r="M759" s="166"/>
      <c r="N759" s="166"/>
      <c r="O759" s="166"/>
      <c r="P759" s="166"/>
      <c r="Q759" s="166"/>
      <c r="R759" s="166"/>
      <c r="S759" s="167"/>
      <c r="T759" s="167"/>
      <c r="U759" s="167"/>
      <c r="V759" s="167"/>
      <c r="W759" s="167"/>
      <c r="X759" s="164"/>
      <c r="Y759" s="164"/>
      <c r="Z759" s="172"/>
      <c r="AA759" s="188"/>
      <c r="AB759" s="172"/>
      <c r="AC759" s="172"/>
      <c r="AD759" s="175"/>
      <c r="AE759" s="62" t="s">
        <v>115</v>
      </c>
      <c r="AF759" s="133"/>
      <c r="AG759" s="65"/>
      <c r="AH759" s="64"/>
      <c r="AI759" s="64"/>
      <c r="AJ759" s="64"/>
      <c r="AK759" s="64"/>
      <c r="AL759" s="64"/>
      <c r="AM759" s="80" t="str">
        <f>IFERROR((Tablas!$C$1*VLOOKUP(AH759, tipo_control, 2, 0)+Tablas!$E$1*VLOOKUP(AI759, nat_control, 2, 0)+Tablas!$G$1*VLOOKUP(AJ759, ev_control, 2, 0)+Tablas!$I$1*VLOOKUP(AK759, frec_control, 2, 0)+Tablas!$K$1*VLOOKUP(AL759, doc_control, 2, 0))*0.1*peso_dis, "")</f>
        <v/>
      </c>
      <c r="AN759" s="64"/>
      <c r="AO759" s="64"/>
      <c r="AP759" s="64"/>
      <c r="AQ759" s="80" t="str">
        <f>IFERROR((Tablas!$C$9*VLOOKUP(AN759, amb_control, 2, 0)+Tablas!$E$9*VLOOKUP(AO759, ejec_control, 2, 0)+Tablas!$G$9*VLOOKUP(AP759, cub_control, 2, 0))*0.1*peso_ejec, "")</f>
        <v/>
      </c>
      <c r="AR759" s="91" t="str">
        <f t="shared" si="1319"/>
        <v/>
      </c>
      <c r="AS759" s="87" t="str">
        <f t="shared" si="1251"/>
        <v/>
      </c>
      <c r="AT759" s="85" t="str">
        <f t="shared" si="1252"/>
        <v/>
      </c>
      <c r="AU759" s="85" t="str">
        <f>IF(AR759&lt;Tablas!$G$19, 0, IF(AND(AR759&gt;=Tablas!$G$19, AR759&lt;Tablas!$G$20), 1,  IF(AND(AR759&gt;=Tablas!$G$20, AR759&lt;Tablas!$G$21), 2,  IF(AND(AR759&gt;=Tablas!$G$21, AR759&lt;=Tablas!$G$22), 3,  ""))))</f>
        <v/>
      </c>
      <c r="AV759" s="85" t="str">
        <f t="shared" si="1320"/>
        <v/>
      </c>
      <c r="AW759" s="101" t="str">
        <f t="shared" si="1321"/>
        <v/>
      </c>
      <c r="AX759" s="177"/>
      <c r="AY759" s="169"/>
      <c r="AZ759" s="158"/>
      <c r="BA759" s="169"/>
      <c r="BB759" s="182"/>
      <c r="BC759" s="182"/>
      <c r="BD759" s="185"/>
      <c r="BE759" s="185"/>
      <c r="BF759" s="158"/>
      <c r="BG759" s="191"/>
    </row>
    <row r="760" spans="1:59" x14ac:dyDescent="0.25">
      <c r="A760" s="167"/>
      <c r="B760" s="167"/>
      <c r="C760" s="161"/>
      <c r="D760" s="160"/>
      <c r="E760" s="162"/>
      <c r="F760" s="164"/>
      <c r="G760" s="161"/>
      <c r="H760" s="161"/>
      <c r="I760" s="161"/>
      <c r="J760" s="161"/>
      <c r="K760" s="161"/>
      <c r="L760" s="166"/>
      <c r="M760" s="166"/>
      <c r="N760" s="166"/>
      <c r="O760" s="166"/>
      <c r="P760" s="166"/>
      <c r="Q760" s="166"/>
      <c r="R760" s="166"/>
      <c r="S760" s="167"/>
      <c r="T760" s="167"/>
      <c r="U760" s="167"/>
      <c r="V760" s="167"/>
      <c r="W760" s="167"/>
      <c r="X760" s="164"/>
      <c r="Y760" s="164"/>
      <c r="Z760" s="172"/>
      <c r="AA760" s="188"/>
      <c r="AB760" s="172"/>
      <c r="AC760" s="172"/>
      <c r="AD760" s="175"/>
      <c r="AE760" s="62" t="s">
        <v>153</v>
      </c>
      <c r="AF760" s="133"/>
      <c r="AG760" s="65"/>
      <c r="AH760" s="64"/>
      <c r="AI760" s="64"/>
      <c r="AJ760" s="64"/>
      <c r="AK760" s="64"/>
      <c r="AL760" s="64"/>
      <c r="AM760" s="80" t="str">
        <f>IFERROR((Tablas!$C$1*VLOOKUP(AH760, tipo_control, 2, 0)+Tablas!$E$1*VLOOKUP(AI760, nat_control, 2, 0)+Tablas!$G$1*VLOOKUP(AJ760, ev_control, 2, 0)+Tablas!$I$1*VLOOKUP(AK760, frec_control, 2, 0)+Tablas!$K$1*VLOOKUP(AL760, doc_control, 2, 0))*0.1*peso_dis, "")</f>
        <v/>
      </c>
      <c r="AN760" s="64"/>
      <c r="AO760" s="64"/>
      <c r="AP760" s="64"/>
      <c r="AQ760" s="80" t="str">
        <f>IFERROR((Tablas!$C$9*VLOOKUP(AN760, amb_control, 2, 0)+Tablas!$E$9*VLOOKUP(AO760, ejec_control, 2, 0)+Tablas!$G$9*VLOOKUP(AP760, cub_control, 2, 0))*0.1*peso_ejec, "")</f>
        <v/>
      </c>
      <c r="AR760" s="91" t="str">
        <f t="shared" si="1319"/>
        <v/>
      </c>
      <c r="AS760" s="87" t="str">
        <f t="shared" si="1251"/>
        <v/>
      </c>
      <c r="AT760" s="85" t="str">
        <f t="shared" si="1252"/>
        <v/>
      </c>
      <c r="AU760" s="85" t="str">
        <f>IF(AR760&lt;Tablas!$G$19, 0, IF(AND(AR760&gt;=Tablas!$G$19, AR760&lt;Tablas!$G$20), 1,  IF(AND(AR760&gt;=Tablas!$G$20, AR760&lt;Tablas!$G$21), 2,  IF(AND(AR760&gt;=Tablas!$G$21, AR760&lt;=Tablas!$G$22), 3,  ""))))</f>
        <v/>
      </c>
      <c r="AV760" s="85" t="str">
        <f t="shared" si="1320"/>
        <v/>
      </c>
      <c r="AW760" s="101" t="str">
        <f t="shared" si="1321"/>
        <v/>
      </c>
      <c r="AX760" s="177"/>
      <c r="AY760" s="169"/>
      <c r="AZ760" s="158"/>
      <c r="BA760" s="169"/>
      <c r="BB760" s="182"/>
      <c r="BC760" s="182"/>
      <c r="BD760" s="185"/>
      <c r="BE760" s="185"/>
      <c r="BF760" s="158"/>
      <c r="BG760" s="191"/>
    </row>
    <row r="761" spans="1:59" ht="15.75" thickBot="1" x14ac:dyDescent="0.3">
      <c r="A761" s="167"/>
      <c r="B761" s="167"/>
      <c r="C761" s="161"/>
      <c r="D761" s="160"/>
      <c r="E761" s="162"/>
      <c r="F761" s="165"/>
      <c r="G761" s="161"/>
      <c r="H761" s="161"/>
      <c r="I761" s="161"/>
      <c r="J761" s="161"/>
      <c r="K761" s="161"/>
      <c r="L761" s="166"/>
      <c r="M761" s="166"/>
      <c r="N761" s="166"/>
      <c r="O761" s="166"/>
      <c r="P761" s="166"/>
      <c r="Q761" s="166"/>
      <c r="R761" s="166"/>
      <c r="S761" s="149"/>
      <c r="T761" s="149"/>
      <c r="U761" s="149"/>
      <c r="V761" s="149"/>
      <c r="W761" s="149"/>
      <c r="X761" s="165"/>
      <c r="Y761" s="165"/>
      <c r="Z761" s="172"/>
      <c r="AA761" s="188"/>
      <c r="AB761" s="172"/>
      <c r="AC761" s="172"/>
      <c r="AD761" s="175"/>
      <c r="AE761" s="66" t="s">
        <v>154</v>
      </c>
      <c r="AF761" s="134"/>
      <c r="AG761" s="67"/>
      <c r="AH761" s="69"/>
      <c r="AI761" s="69"/>
      <c r="AJ761" s="69"/>
      <c r="AK761" s="69"/>
      <c r="AL761" s="69"/>
      <c r="AM761" s="81" t="str">
        <f>IFERROR((Tablas!$C$1*VLOOKUP(AH761, tipo_control, 2, 0)+Tablas!$E$1*VLOOKUP(AI761, nat_control, 2, 0)+Tablas!$G$1*VLOOKUP(AJ761, ev_control, 2, 0)+Tablas!$I$1*VLOOKUP(AK761, frec_control, 2, 0)+Tablas!$K$1*VLOOKUP(AL761, doc_control, 2, 0))*0.1*peso_dis, "")</f>
        <v/>
      </c>
      <c r="AN761" s="69"/>
      <c r="AO761" s="69"/>
      <c r="AP761" s="69"/>
      <c r="AQ761" s="81" t="str">
        <f>IFERROR((Tablas!$C$9*VLOOKUP(AN761, amb_control, 2, 0)+Tablas!$E$9*VLOOKUP(AO761, ejec_control, 2, 0)+Tablas!$G$9*VLOOKUP(AP761, cub_control, 2, 0))*0.1*peso_ejec, "")</f>
        <v/>
      </c>
      <c r="AR761" s="93" t="str">
        <f t="shared" si="1319"/>
        <v/>
      </c>
      <c r="AS761" s="87" t="str">
        <f t="shared" si="1251"/>
        <v/>
      </c>
      <c r="AT761" s="94" t="str">
        <f t="shared" si="1252"/>
        <v/>
      </c>
      <c r="AU761" s="94" t="str">
        <f>IF(AR761&lt;Tablas!$G$19, 0, IF(AND(AR761&gt;=Tablas!$G$19, AR761&lt;Tablas!$G$20), 1,  IF(AND(AR761&gt;=Tablas!$G$20, AR761&lt;Tablas!$G$21), 2,  IF(AND(AR761&gt;=Tablas!$G$21, AR761&lt;=Tablas!$G$22), 3,  ""))))</f>
        <v/>
      </c>
      <c r="AV761" s="94" t="str">
        <f t="shared" si="1320"/>
        <v/>
      </c>
      <c r="AW761" s="102" t="str">
        <f t="shared" si="1321"/>
        <v/>
      </c>
      <c r="AX761" s="157"/>
      <c r="AY761" s="170"/>
      <c r="AZ761" s="179"/>
      <c r="BA761" s="170"/>
      <c r="BB761" s="182"/>
      <c r="BC761" s="182"/>
      <c r="BD761" s="185"/>
      <c r="BE761" s="185"/>
      <c r="BF761" s="159"/>
      <c r="BG761" s="191"/>
    </row>
    <row r="762" spans="1:59" x14ac:dyDescent="0.25">
      <c r="A762" s="167"/>
      <c r="B762" s="167"/>
      <c r="C762" s="161" t="s">
        <v>15</v>
      </c>
      <c r="D762" s="160" t="s">
        <v>158</v>
      </c>
      <c r="E762" s="162"/>
      <c r="F762" s="163" t="str">
        <f t="shared" si="1243"/>
        <v/>
      </c>
      <c r="G762" s="149"/>
      <c r="H762" s="149"/>
      <c r="I762" s="149"/>
      <c r="J762" s="149"/>
      <c r="K762" s="149"/>
      <c r="L762" s="165" t="str">
        <f>IFERROR(VLOOKUP(G762, tabla02, 2, 0), "")</f>
        <v/>
      </c>
      <c r="M762" s="165" t="str">
        <f>IFERROR(VLOOKUP(H762, tabla02, 2, 0), "")</f>
        <v/>
      </c>
      <c r="N762" s="165" t="str">
        <f>IFERROR(VLOOKUP(I762, tabla02, 2, 0), "")</f>
        <v/>
      </c>
      <c r="O762" s="165" t="str">
        <f>IFERROR(VLOOKUP(J762, tabla02, 2, 0), "")</f>
        <v/>
      </c>
      <c r="P762" s="165" t="str">
        <f>IFERROR(VLOOKUP(K762, tabla02, 2, 0), "")</f>
        <v/>
      </c>
      <c r="Q762" s="165" t="str">
        <f t="shared" ref="Q762" si="1322">IF(SUM(L762:O766)=0, "", MAX(L762:P762))</f>
        <v/>
      </c>
      <c r="R762" s="165" t="str">
        <f>IFERROR(VLOOKUP(Q762, tabla04, 3, 0), "")</f>
        <v/>
      </c>
      <c r="S762" s="148"/>
      <c r="T762" s="148"/>
      <c r="U762" s="148"/>
      <c r="V762" s="148"/>
      <c r="W762" s="148"/>
      <c r="X762" s="163" t="str">
        <f>IFERROR(VLOOKUP(CONCATENATE(F762, "-", Q762), cuadrante_sev, 3, 0), "")</f>
        <v/>
      </c>
      <c r="Y762" s="163" t="str">
        <f t="shared" ref="Y762" si="1323">IFERROR(IF(X762="Baja", 1, IF(X762="Moderada", 2, IF(X762="Alta", 3, IF(X762="Extrema", 4, "")))), "")</f>
        <v/>
      </c>
      <c r="Z762" s="172"/>
      <c r="AA762" s="188"/>
      <c r="AB762" s="172"/>
      <c r="AC762" s="172"/>
      <c r="AD762" s="175"/>
      <c r="AE762" s="70" t="s">
        <v>113</v>
      </c>
      <c r="AF762" s="135"/>
      <c r="AG762" s="74"/>
      <c r="AH762" s="72"/>
      <c r="AI762" s="72"/>
      <c r="AJ762" s="72"/>
      <c r="AK762" s="72"/>
      <c r="AL762" s="72"/>
      <c r="AM762" s="82" t="str">
        <f>IFERROR((Tablas!$C$1*VLOOKUP(AH762, tipo_control, 2, 0)+Tablas!$E$1*VLOOKUP(AI762, nat_control, 2, 0)+Tablas!$G$1*VLOOKUP(AJ762, ev_control, 2, 0)+Tablas!$I$1*VLOOKUP(AK762, frec_control, 2, 0)+Tablas!$K$1*VLOOKUP(AL762, doc_control, 2, 0))*0.1*peso_dis, "")</f>
        <v/>
      </c>
      <c r="AN762" s="72"/>
      <c r="AO762" s="72"/>
      <c r="AP762" s="72"/>
      <c r="AQ762" s="82" t="str">
        <f>IFERROR((Tablas!$C$9*VLOOKUP(AN762, amb_control, 2, 0)+Tablas!$E$9*VLOOKUP(AO762, ejec_control, 2, 0)+Tablas!$G$9*VLOOKUP(AP762, cub_control, 2, 0))*0.1*peso_ejec, "")</f>
        <v/>
      </c>
      <c r="AR762" s="96" t="str">
        <f t="shared" si="1319"/>
        <v/>
      </c>
      <c r="AS762" s="97" t="str">
        <f t="shared" si="1251"/>
        <v/>
      </c>
      <c r="AT762" s="87" t="str">
        <f t="shared" si="1252"/>
        <v/>
      </c>
      <c r="AU762" s="97" t="str">
        <f>IF(AR762&lt;Tablas!$G$19, 0, IF(AND(AR762&gt;=Tablas!$G$19, AR762&lt;Tablas!$G$20), 1,  IF(AND(AR762&gt;=Tablas!$G$20, AR762&lt;Tablas!$G$21), 2,  IF(AND(AR762&gt;=Tablas!$G$21, AR762&lt;=Tablas!$G$22), 3,  ""))))</f>
        <v/>
      </c>
      <c r="AV762" s="97" t="str">
        <f t="shared" si="1320"/>
        <v/>
      </c>
      <c r="AW762" s="103" t="str">
        <f t="shared" si="1321"/>
        <v/>
      </c>
      <c r="AX762" s="176" t="str">
        <f t="shared" ref="AX762" si="1324">IFERROR(VLOOKUP(AY762, tabla04, 2, 0), "")</f>
        <v/>
      </c>
      <c r="AY762" s="168" t="str">
        <f>IF(F762="", "", IF((F762-MAX(AV762:AV766))&lt;=0, 1, F762-MAX(AV762:AV766)))</f>
        <v/>
      </c>
      <c r="AZ762" s="178" t="str">
        <f t="shared" ref="AZ762" si="1325">IFERROR(VLOOKUP(BA762, tabla04, 3, 0), "")</f>
        <v/>
      </c>
      <c r="BA762" s="168" t="str">
        <f>IF(Q762="", "", IF((Q762-MAX(AW762:AW766))&lt;=0, 1, Q762-MAX(AW762:AW766)))</f>
        <v/>
      </c>
      <c r="BB762" s="182"/>
      <c r="BC762" s="182"/>
      <c r="BD762" s="185"/>
      <c r="BE762" s="185"/>
      <c r="BF762" s="158" t="str">
        <f t="shared" ref="BF762:BF764" si="1326">IFERROR(VLOOKUP(CONCATENATE(AY762, "-", BA762), cuadrante_sev, 3, 0), "")</f>
        <v/>
      </c>
      <c r="BG762" s="191"/>
    </row>
    <row r="763" spans="1:59" x14ac:dyDescent="0.25">
      <c r="A763" s="167"/>
      <c r="B763" s="167"/>
      <c r="C763" s="161"/>
      <c r="D763" s="160"/>
      <c r="E763" s="162"/>
      <c r="F763" s="164"/>
      <c r="G763" s="161"/>
      <c r="H763" s="161"/>
      <c r="I763" s="161"/>
      <c r="J763" s="161"/>
      <c r="K763" s="161"/>
      <c r="L763" s="166"/>
      <c r="M763" s="166"/>
      <c r="N763" s="166"/>
      <c r="O763" s="166"/>
      <c r="P763" s="166"/>
      <c r="Q763" s="166"/>
      <c r="R763" s="166"/>
      <c r="S763" s="167"/>
      <c r="T763" s="167"/>
      <c r="U763" s="167"/>
      <c r="V763" s="167"/>
      <c r="W763" s="167"/>
      <c r="X763" s="164"/>
      <c r="Y763" s="164"/>
      <c r="Z763" s="172"/>
      <c r="AA763" s="188"/>
      <c r="AB763" s="172"/>
      <c r="AC763" s="172"/>
      <c r="AD763" s="175"/>
      <c r="AE763" s="62" t="s">
        <v>114</v>
      </c>
      <c r="AF763" s="133"/>
      <c r="AG763" s="65"/>
      <c r="AH763" s="64"/>
      <c r="AI763" s="64"/>
      <c r="AJ763" s="64"/>
      <c r="AK763" s="64"/>
      <c r="AL763" s="64"/>
      <c r="AM763" s="80" t="str">
        <f>IFERROR((Tablas!$C$1*VLOOKUP(AH763, tipo_control, 2, 0)+Tablas!$E$1*VLOOKUP(AI763, nat_control, 2, 0)+Tablas!$G$1*VLOOKUP(AJ763, ev_control, 2, 0)+Tablas!$I$1*VLOOKUP(AK763, frec_control, 2, 0)+Tablas!$K$1*VLOOKUP(AL763, doc_control, 2, 0))*0.1*peso_dis, "")</f>
        <v/>
      </c>
      <c r="AN763" s="64"/>
      <c r="AO763" s="64"/>
      <c r="AP763" s="64"/>
      <c r="AQ763" s="80" t="str">
        <f>IFERROR((Tablas!$C$9*VLOOKUP(AN763, amb_control, 2, 0)+Tablas!$E$9*VLOOKUP(AO763, ejec_control, 2, 0)+Tablas!$G$9*VLOOKUP(AP763, cub_control, 2, 0))*0.1*peso_ejec, "")</f>
        <v/>
      </c>
      <c r="AR763" s="91" t="str">
        <f t="shared" si="1319"/>
        <v/>
      </c>
      <c r="AS763" s="85" t="str">
        <f t="shared" si="1251"/>
        <v/>
      </c>
      <c r="AT763" s="85" t="str">
        <f t="shared" si="1252"/>
        <v/>
      </c>
      <c r="AU763" s="85" t="str">
        <f>IF(AR763&lt;Tablas!$G$19, 0, IF(AND(AR763&gt;=Tablas!$G$19, AR763&lt;Tablas!$G$20), 1,  IF(AND(AR763&gt;=Tablas!$G$20, AR763&lt;Tablas!$G$21), 2,  IF(AND(AR763&gt;=Tablas!$G$21, AR763&lt;=Tablas!$G$22), 3,  ""))))</f>
        <v/>
      </c>
      <c r="AV763" s="85" t="str">
        <f t="shared" si="1320"/>
        <v/>
      </c>
      <c r="AW763" s="101" t="str">
        <f t="shared" si="1321"/>
        <v/>
      </c>
      <c r="AX763" s="177"/>
      <c r="AY763" s="169"/>
      <c r="AZ763" s="158"/>
      <c r="BA763" s="169"/>
      <c r="BB763" s="182"/>
      <c r="BC763" s="182"/>
      <c r="BD763" s="185"/>
      <c r="BE763" s="185"/>
      <c r="BF763" s="158" t="str">
        <f t="shared" si="1326"/>
        <v/>
      </c>
      <c r="BG763" s="191"/>
    </row>
    <row r="764" spans="1:59" x14ac:dyDescent="0.25">
      <c r="A764" s="167"/>
      <c r="B764" s="167"/>
      <c r="C764" s="161"/>
      <c r="D764" s="160"/>
      <c r="E764" s="162"/>
      <c r="F764" s="164"/>
      <c r="G764" s="161"/>
      <c r="H764" s="161"/>
      <c r="I764" s="161"/>
      <c r="J764" s="161"/>
      <c r="K764" s="161"/>
      <c r="L764" s="166"/>
      <c r="M764" s="166"/>
      <c r="N764" s="166"/>
      <c r="O764" s="166"/>
      <c r="P764" s="166"/>
      <c r="Q764" s="166"/>
      <c r="R764" s="166"/>
      <c r="S764" s="167"/>
      <c r="T764" s="167"/>
      <c r="U764" s="167"/>
      <c r="V764" s="167"/>
      <c r="W764" s="167"/>
      <c r="X764" s="164"/>
      <c r="Y764" s="164"/>
      <c r="Z764" s="172"/>
      <c r="AA764" s="188"/>
      <c r="AB764" s="172"/>
      <c r="AC764" s="172"/>
      <c r="AD764" s="175"/>
      <c r="AE764" s="62" t="s">
        <v>115</v>
      </c>
      <c r="AF764" s="133"/>
      <c r="AG764" s="65"/>
      <c r="AH764" s="64"/>
      <c r="AI764" s="64"/>
      <c r="AJ764" s="64"/>
      <c r="AK764" s="64"/>
      <c r="AL764" s="64"/>
      <c r="AM764" s="80" t="str">
        <f>IFERROR((Tablas!$C$1*VLOOKUP(AH764, tipo_control, 2, 0)+Tablas!$E$1*VLOOKUP(AI764, nat_control, 2, 0)+Tablas!$G$1*VLOOKUP(AJ764, ev_control, 2, 0)+Tablas!$I$1*VLOOKUP(AK764, frec_control, 2, 0)+Tablas!$K$1*VLOOKUP(AL764, doc_control, 2, 0))*0.1*peso_dis, "")</f>
        <v/>
      </c>
      <c r="AN764" s="64"/>
      <c r="AO764" s="64"/>
      <c r="AP764" s="64"/>
      <c r="AQ764" s="80" t="str">
        <f>IFERROR((Tablas!$C$9*VLOOKUP(AN764, amb_control, 2, 0)+Tablas!$E$9*VLOOKUP(AO764, ejec_control, 2, 0)+Tablas!$G$9*VLOOKUP(AP764, cub_control, 2, 0))*0.1*peso_ejec, "")</f>
        <v/>
      </c>
      <c r="AR764" s="91" t="str">
        <f t="shared" si="1319"/>
        <v/>
      </c>
      <c r="AS764" s="85" t="str">
        <f t="shared" si="1251"/>
        <v/>
      </c>
      <c r="AT764" s="85" t="str">
        <f t="shared" si="1252"/>
        <v/>
      </c>
      <c r="AU764" s="85" t="str">
        <f>IF(AR764&lt;Tablas!$G$19, 0, IF(AND(AR764&gt;=Tablas!$G$19, AR764&lt;Tablas!$G$20), 1,  IF(AND(AR764&gt;=Tablas!$G$20, AR764&lt;Tablas!$G$21), 2,  IF(AND(AR764&gt;=Tablas!$G$21, AR764&lt;=Tablas!$G$22), 3,  ""))))</f>
        <v/>
      </c>
      <c r="AV764" s="85" t="str">
        <f t="shared" si="1320"/>
        <v/>
      </c>
      <c r="AW764" s="101" t="str">
        <f t="shared" si="1321"/>
        <v/>
      </c>
      <c r="AX764" s="177"/>
      <c r="AY764" s="169"/>
      <c r="AZ764" s="158"/>
      <c r="BA764" s="169"/>
      <c r="BB764" s="182"/>
      <c r="BC764" s="182"/>
      <c r="BD764" s="185"/>
      <c r="BE764" s="185"/>
      <c r="BF764" s="158" t="str">
        <f t="shared" si="1326"/>
        <v/>
      </c>
      <c r="BG764" s="191"/>
    </row>
    <row r="765" spans="1:59" x14ac:dyDescent="0.25">
      <c r="A765" s="167"/>
      <c r="B765" s="167"/>
      <c r="C765" s="161"/>
      <c r="D765" s="160"/>
      <c r="E765" s="162"/>
      <c r="F765" s="164"/>
      <c r="G765" s="161"/>
      <c r="H765" s="161"/>
      <c r="I765" s="161"/>
      <c r="J765" s="161"/>
      <c r="K765" s="161"/>
      <c r="L765" s="166"/>
      <c r="M765" s="166"/>
      <c r="N765" s="166"/>
      <c r="O765" s="166"/>
      <c r="P765" s="166"/>
      <c r="Q765" s="166"/>
      <c r="R765" s="166"/>
      <c r="S765" s="167"/>
      <c r="T765" s="167"/>
      <c r="U765" s="167"/>
      <c r="V765" s="167"/>
      <c r="W765" s="167"/>
      <c r="X765" s="164"/>
      <c r="Y765" s="164"/>
      <c r="Z765" s="172"/>
      <c r="AA765" s="188"/>
      <c r="AB765" s="172"/>
      <c r="AC765" s="172"/>
      <c r="AD765" s="175"/>
      <c r="AE765" s="62" t="s">
        <v>153</v>
      </c>
      <c r="AF765" s="133"/>
      <c r="AG765" s="65"/>
      <c r="AH765" s="64"/>
      <c r="AI765" s="64"/>
      <c r="AJ765" s="64"/>
      <c r="AK765" s="64"/>
      <c r="AL765" s="64"/>
      <c r="AM765" s="80" t="str">
        <f>IFERROR((Tablas!$C$1*VLOOKUP(AH765, tipo_control, 2, 0)+Tablas!$E$1*VLOOKUP(AI765, nat_control, 2, 0)+Tablas!$G$1*VLOOKUP(AJ765, ev_control, 2, 0)+Tablas!$I$1*VLOOKUP(AK765, frec_control, 2, 0)+Tablas!$K$1*VLOOKUP(AL765, doc_control, 2, 0))*0.1*peso_dis, "")</f>
        <v/>
      </c>
      <c r="AN765" s="64"/>
      <c r="AO765" s="64"/>
      <c r="AP765" s="64"/>
      <c r="AQ765" s="80" t="str">
        <f>IFERROR((Tablas!$C$9*VLOOKUP(AN765, amb_control, 2, 0)+Tablas!$E$9*VLOOKUP(AO765, ejec_control, 2, 0)+Tablas!$G$9*VLOOKUP(AP765, cub_control, 2, 0))*0.1*peso_ejec, "")</f>
        <v/>
      </c>
      <c r="AR765" s="91" t="str">
        <f t="shared" si="1319"/>
        <v/>
      </c>
      <c r="AS765" s="85" t="str">
        <f t="shared" si="1251"/>
        <v/>
      </c>
      <c r="AT765" s="85" t="str">
        <f t="shared" si="1252"/>
        <v/>
      </c>
      <c r="AU765" s="85" t="str">
        <f>IF(AR765&lt;Tablas!$G$19, 0, IF(AND(AR765&gt;=Tablas!$G$19, AR765&lt;Tablas!$G$20), 1,  IF(AND(AR765&gt;=Tablas!$G$20, AR765&lt;Tablas!$G$21), 2,  IF(AND(AR765&gt;=Tablas!$G$21, AR765&lt;=Tablas!$G$22), 3,  ""))))</f>
        <v/>
      </c>
      <c r="AV765" s="85" t="str">
        <f t="shared" si="1320"/>
        <v/>
      </c>
      <c r="AW765" s="101" t="str">
        <f t="shared" si="1321"/>
        <v/>
      </c>
      <c r="AX765" s="177"/>
      <c r="AY765" s="169"/>
      <c r="AZ765" s="158"/>
      <c r="BA765" s="169"/>
      <c r="BB765" s="182"/>
      <c r="BC765" s="182"/>
      <c r="BD765" s="185"/>
      <c r="BE765" s="185"/>
      <c r="BF765" s="158"/>
      <c r="BG765" s="191"/>
    </row>
    <row r="766" spans="1:59" ht="15.75" thickBot="1" x14ac:dyDescent="0.3">
      <c r="A766" s="167"/>
      <c r="B766" s="167"/>
      <c r="C766" s="161"/>
      <c r="D766" s="160"/>
      <c r="E766" s="162"/>
      <c r="F766" s="165"/>
      <c r="G766" s="161"/>
      <c r="H766" s="161"/>
      <c r="I766" s="161"/>
      <c r="J766" s="161"/>
      <c r="K766" s="161"/>
      <c r="L766" s="166"/>
      <c r="M766" s="166"/>
      <c r="N766" s="166"/>
      <c r="O766" s="166"/>
      <c r="P766" s="166"/>
      <c r="Q766" s="166"/>
      <c r="R766" s="166"/>
      <c r="S766" s="149"/>
      <c r="T766" s="149"/>
      <c r="U766" s="149"/>
      <c r="V766" s="149"/>
      <c r="W766" s="149"/>
      <c r="X766" s="165"/>
      <c r="Y766" s="165"/>
      <c r="Z766" s="172"/>
      <c r="AA766" s="188"/>
      <c r="AB766" s="172"/>
      <c r="AC766" s="172"/>
      <c r="AD766" s="175"/>
      <c r="AE766" s="66" t="s">
        <v>154</v>
      </c>
      <c r="AF766" s="134"/>
      <c r="AG766" s="67"/>
      <c r="AH766" s="69"/>
      <c r="AI766" s="69"/>
      <c r="AJ766" s="69"/>
      <c r="AK766" s="69"/>
      <c r="AL766" s="69"/>
      <c r="AM766" s="81" t="str">
        <f>IFERROR((Tablas!$C$1*VLOOKUP(AH766, tipo_control, 2, 0)+Tablas!$E$1*VLOOKUP(AI766, nat_control, 2, 0)+Tablas!$G$1*VLOOKUP(AJ766, ev_control, 2, 0)+Tablas!$I$1*VLOOKUP(AK766, frec_control, 2, 0)+Tablas!$K$1*VLOOKUP(AL766, doc_control, 2, 0))*0.1*peso_dis, "")</f>
        <v/>
      </c>
      <c r="AN766" s="69"/>
      <c r="AO766" s="69"/>
      <c r="AP766" s="69"/>
      <c r="AQ766" s="81" t="str">
        <f>IFERROR((Tablas!$C$9*VLOOKUP(AN766, amb_control, 2, 0)+Tablas!$E$9*VLOOKUP(AO766, ejec_control, 2, 0)+Tablas!$G$9*VLOOKUP(AP766, cub_control, 2, 0))*0.1*peso_ejec, "")</f>
        <v/>
      </c>
      <c r="AR766" s="93" t="str">
        <f t="shared" si="1319"/>
        <v/>
      </c>
      <c r="AS766" s="94" t="str">
        <f t="shared" si="1251"/>
        <v/>
      </c>
      <c r="AT766" s="94" t="str">
        <f t="shared" si="1252"/>
        <v/>
      </c>
      <c r="AU766" s="94" t="str">
        <f>IF(AR766&lt;Tablas!$G$19, 0, IF(AND(AR766&gt;=Tablas!$G$19, AR766&lt;Tablas!$G$20), 1,  IF(AND(AR766&gt;=Tablas!$G$20, AR766&lt;Tablas!$G$21), 2,  IF(AND(AR766&gt;=Tablas!$G$21, AR766&lt;=Tablas!$G$22), 3,  ""))))</f>
        <v/>
      </c>
      <c r="AV766" s="94" t="str">
        <f t="shared" si="1320"/>
        <v/>
      </c>
      <c r="AW766" s="102" t="str">
        <f t="shared" si="1321"/>
        <v/>
      </c>
      <c r="AX766" s="157"/>
      <c r="AY766" s="170"/>
      <c r="AZ766" s="179"/>
      <c r="BA766" s="170"/>
      <c r="BB766" s="182"/>
      <c r="BC766" s="182"/>
      <c r="BD766" s="185"/>
      <c r="BE766" s="185"/>
      <c r="BF766" s="159"/>
      <c r="BG766" s="191"/>
    </row>
    <row r="767" spans="1:59" x14ac:dyDescent="0.25">
      <c r="A767" s="167"/>
      <c r="B767" s="167"/>
      <c r="C767" s="161" t="s">
        <v>16</v>
      </c>
      <c r="D767" s="160" t="s">
        <v>158</v>
      </c>
      <c r="E767" s="162"/>
      <c r="F767" s="163" t="str">
        <f t="shared" si="1243"/>
        <v/>
      </c>
      <c r="G767" s="149"/>
      <c r="H767" s="149"/>
      <c r="I767" s="149"/>
      <c r="J767" s="149"/>
      <c r="K767" s="149"/>
      <c r="L767" s="165" t="str">
        <f>IFERROR(VLOOKUP(G767, tabla02, 2, 0), "")</f>
        <v/>
      </c>
      <c r="M767" s="165" t="str">
        <f>IFERROR(VLOOKUP(H767, tabla02, 2, 0), "")</f>
        <v/>
      </c>
      <c r="N767" s="165" t="str">
        <f>IFERROR(VLOOKUP(I767, tabla02, 2, 0), "")</f>
        <v/>
      </c>
      <c r="O767" s="165" t="str">
        <f>IFERROR(VLOOKUP(J767, tabla02, 2, 0), "")</f>
        <v/>
      </c>
      <c r="P767" s="165" t="str">
        <f>IFERROR(VLOOKUP(K767, tabla02, 2, 0), "")</f>
        <v/>
      </c>
      <c r="Q767" s="165" t="str">
        <f t="shared" ref="Q767" si="1327">IF(SUM(L767:O771)=0, "", MAX(L767:P767))</f>
        <v/>
      </c>
      <c r="R767" s="165" t="str">
        <f>IFERROR(VLOOKUP(Q767, tabla04, 3, 0), "")</f>
        <v/>
      </c>
      <c r="S767" s="148"/>
      <c r="T767" s="148"/>
      <c r="U767" s="148"/>
      <c r="V767" s="148"/>
      <c r="W767" s="148"/>
      <c r="X767" s="163" t="str">
        <f>IFERROR(VLOOKUP(CONCATENATE(F767, "-", Q767), cuadrante_sev, 3, 0), "")</f>
        <v/>
      </c>
      <c r="Y767" s="163" t="str">
        <f t="shared" ref="Y767" si="1328">IFERROR(IF(X767="Baja", 1, IF(X767="Moderada", 2, IF(X767="Alta", 3, IF(X767="Extrema", 4, "")))), "")</f>
        <v/>
      </c>
      <c r="Z767" s="172"/>
      <c r="AA767" s="188"/>
      <c r="AB767" s="172"/>
      <c r="AC767" s="172"/>
      <c r="AD767" s="175"/>
      <c r="AE767" s="70" t="s">
        <v>113</v>
      </c>
      <c r="AF767" s="135"/>
      <c r="AG767" s="77"/>
      <c r="AH767" s="61"/>
      <c r="AI767" s="61"/>
      <c r="AJ767" s="61"/>
      <c r="AK767" s="61"/>
      <c r="AL767" s="61"/>
      <c r="AM767" s="82" t="str">
        <f>IFERROR((Tablas!$C$1*VLOOKUP(AH767, tipo_control, 2, 0)+Tablas!$E$1*VLOOKUP(AI767, nat_control, 2, 0)+Tablas!$G$1*VLOOKUP(AJ767, ev_control, 2, 0)+Tablas!$I$1*VLOOKUP(AK767, frec_control, 2, 0)+Tablas!$K$1*VLOOKUP(AL767, doc_control, 2, 0))*0.1*peso_dis, "")</f>
        <v/>
      </c>
      <c r="AN767" s="61"/>
      <c r="AO767" s="61"/>
      <c r="AP767" s="61"/>
      <c r="AQ767" s="82" t="str">
        <f>IFERROR((Tablas!$C$9*VLOOKUP(AN767, amb_control, 2, 0)+Tablas!$E$9*VLOOKUP(AO767, ejec_control, 2, 0)+Tablas!$G$9*VLOOKUP(AP767, cub_control, 2, 0))*0.1*peso_ejec, "")</f>
        <v/>
      </c>
      <c r="AR767" s="96" t="str">
        <f t="shared" si="1319"/>
        <v/>
      </c>
      <c r="AS767" s="97" t="str">
        <f t="shared" si="1251"/>
        <v/>
      </c>
      <c r="AT767" s="87" t="str">
        <f t="shared" si="1252"/>
        <v/>
      </c>
      <c r="AU767" s="97" t="str">
        <f>IF(AR767&lt;Tablas!$G$19, 0, IF(AND(AR767&gt;=Tablas!$G$19, AR767&lt;Tablas!$G$20), 1,  IF(AND(AR767&gt;=Tablas!$G$20, AR767&lt;Tablas!$G$21), 2,  IF(AND(AR767&gt;=Tablas!$G$21, AR767&lt;=Tablas!$G$22), 3,  ""))))</f>
        <v/>
      </c>
      <c r="AV767" s="97" t="str">
        <f t="shared" si="1320"/>
        <v/>
      </c>
      <c r="AW767" s="103" t="str">
        <f t="shared" si="1321"/>
        <v/>
      </c>
      <c r="AX767" s="176" t="str">
        <f t="shared" ref="AX767" si="1329">IFERROR(VLOOKUP(AY767, tabla04, 2, 0), "")</f>
        <v/>
      </c>
      <c r="AY767" s="168" t="str">
        <f>IF(F767="", "", IF((F767-MAX(AV767:AV771))&lt;=0, 1, F767-MAX(AV767:AV771)))</f>
        <v/>
      </c>
      <c r="AZ767" s="178" t="str">
        <f t="shared" ref="AZ767" si="1330">IFERROR(VLOOKUP(BA767, tabla04, 3, 0), "")</f>
        <v/>
      </c>
      <c r="BA767" s="168" t="str">
        <f>IF(Q767="", "", IF((Q767-MAX(AW767:AW771))&lt;=0, 1, Q767-MAX(AW767:AW771)))</f>
        <v/>
      </c>
      <c r="BB767" s="182"/>
      <c r="BC767" s="182"/>
      <c r="BD767" s="185"/>
      <c r="BE767" s="185"/>
      <c r="BF767" s="158" t="str">
        <f t="shared" ref="BF767:BF769" si="1331">IFERROR(VLOOKUP(CONCATENATE(AY767, "-", BA767), cuadrante_sev, 3, 0), "")</f>
        <v/>
      </c>
      <c r="BG767" s="191"/>
    </row>
    <row r="768" spans="1:59" x14ac:dyDescent="0.25">
      <c r="A768" s="167"/>
      <c r="B768" s="167"/>
      <c r="C768" s="161"/>
      <c r="D768" s="160"/>
      <c r="E768" s="162"/>
      <c r="F768" s="164"/>
      <c r="G768" s="161"/>
      <c r="H768" s="161"/>
      <c r="I768" s="161"/>
      <c r="J768" s="161"/>
      <c r="K768" s="161"/>
      <c r="L768" s="166"/>
      <c r="M768" s="166"/>
      <c r="N768" s="166"/>
      <c r="O768" s="166"/>
      <c r="P768" s="166"/>
      <c r="Q768" s="166"/>
      <c r="R768" s="166"/>
      <c r="S768" s="167"/>
      <c r="T768" s="167"/>
      <c r="U768" s="167"/>
      <c r="V768" s="167"/>
      <c r="W768" s="167"/>
      <c r="X768" s="164"/>
      <c r="Y768" s="164"/>
      <c r="Z768" s="172"/>
      <c r="AA768" s="188"/>
      <c r="AB768" s="172"/>
      <c r="AC768" s="172"/>
      <c r="AD768" s="175"/>
      <c r="AE768" s="62" t="s">
        <v>114</v>
      </c>
      <c r="AF768" s="133"/>
      <c r="AG768" s="65"/>
      <c r="AH768" s="64"/>
      <c r="AI768" s="64"/>
      <c r="AJ768" s="64"/>
      <c r="AK768" s="64"/>
      <c r="AL768" s="64"/>
      <c r="AM768" s="80" t="str">
        <f>IFERROR((Tablas!$C$1*VLOOKUP(AH768, tipo_control, 2, 0)+Tablas!$E$1*VLOOKUP(AI768, nat_control, 2, 0)+Tablas!$G$1*VLOOKUP(AJ768, ev_control, 2, 0)+Tablas!$I$1*VLOOKUP(AK768, frec_control, 2, 0)+Tablas!$K$1*VLOOKUP(AL768, doc_control, 2, 0))*0.1*peso_dis, "")</f>
        <v/>
      </c>
      <c r="AN768" s="64"/>
      <c r="AO768" s="64"/>
      <c r="AP768" s="64"/>
      <c r="AQ768" s="80" t="str">
        <f>IFERROR((Tablas!$C$9*VLOOKUP(AN768, amb_control, 2, 0)+Tablas!$E$9*VLOOKUP(AO768, ejec_control, 2, 0)+Tablas!$G$9*VLOOKUP(AP768, cub_control, 2, 0))*0.1*peso_ejec, "")</f>
        <v/>
      </c>
      <c r="AR768" s="91" t="str">
        <f t="shared" si="1319"/>
        <v/>
      </c>
      <c r="AS768" s="85" t="str">
        <f t="shared" si="1251"/>
        <v/>
      </c>
      <c r="AT768" s="85" t="str">
        <f t="shared" si="1252"/>
        <v/>
      </c>
      <c r="AU768" s="85" t="str">
        <f>IF(AR768&lt;Tablas!$G$19, 0, IF(AND(AR768&gt;=Tablas!$G$19, AR768&lt;Tablas!$G$20), 1,  IF(AND(AR768&gt;=Tablas!$G$20, AR768&lt;Tablas!$G$21), 2,  IF(AND(AR768&gt;=Tablas!$G$21, AR768&lt;=Tablas!$G$22), 3,  ""))))</f>
        <v/>
      </c>
      <c r="AV768" s="85" t="str">
        <f t="shared" si="1320"/>
        <v/>
      </c>
      <c r="AW768" s="101" t="str">
        <f t="shared" si="1321"/>
        <v/>
      </c>
      <c r="AX768" s="177"/>
      <c r="AY768" s="169"/>
      <c r="AZ768" s="158"/>
      <c r="BA768" s="169"/>
      <c r="BB768" s="182"/>
      <c r="BC768" s="182"/>
      <c r="BD768" s="185"/>
      <c r="BE768" s="185"/>
      <c r="BF768" s="158" t="str">
        <f t="shared" si="1331"/>
        <v/>
      </c>
      <c r="BG768" s="191"/>
    </row>
    <row r="769" spans="1:59" x14ac:dyDescent="0.25">
      <c r="A769" s="167"/>
      <c r="B769" s="167"/>
      <c r="C769" s="161"/>
      <c r="D769" s="160"/>
      <c r="E769" s="162"/>
      <c r="F769" s="164"/>
      <c r="G769" s="161"/>
      <c r="H769" s="161"/>
      <c r="I769" s="161"/>
      <c r="J769" s="161"/>
      <c r="K769" s="161"/>
      <c r="L769" s="166"/>
      <c r="M769" s="166"/>
      <c r="N769" s="166"/>
      <c r="O769" s="166"/>
      <c r="P769" s="166"/>
      <c r="Q769" s="166"/>
      <c r="R769" s="166"/>
      <c r="S769" s="167"/>
      <c r="T769" s="167"/>
      <c r="U769" s="167"/>
      <c r="V769" s="167"/>
      <c r="W769" s="167"/>
      <c r="X769" s="164"/>
      <c r="Y769" s="164"/>
      <c r="Z769" s="172"/>
      <c r="AA769" s="188"/>
      <c r="AB769" s="172"/>
      <c r="AC769" s="172"/>
      <c r="AD769" s="175"/>
      <c r="AE769" s="62" t="s">
        <v>115</v>
      </c>
      <c r="AF769" s="133"/>
      <c r="AG769" s="65"/>
      <c r="AH769" s="64"/>
      <c r="AI769" s="64"/>
      <c r="AJ769" s="64"/>
      <c r="AK769" s="64"/>
      <c r="AL769" s="64"/>
      <c r="AM769" s="80" t="str">
        <f>IFERROR((Tablas!$C$1*VLOOKUP(AH769, tipo_control, 2, 0)+Tablas!$E$1*VLOOKUP(AI769, nat_control, 2, 0)+Tablas!$G$1*VLOOKUP(AJ769, ev_control, 2, 0)+Tablas!$I$1*VLOOKUP(AK769, frec_control, 2, 0)+Tablas!$K$1*VLOOKUP(AL769, doc_control, 2, 0))*0.1*peso_dis, "")</f>
        <v/>
      </c>
      <c r="AN769" s="64"/>
      <c r="AO769" s="64"/>
      <c r="AP769" s="64"/>
      <c r="AQ769" s="80" t="str">
        <f>IFERROR((Tablas!$C$9*VLOOKUP(AN769, amb_control, 2, 0)+Tablas!$E$9*VLOOKUP(AO769, ejec_control, 2, 0)+Tablas!$G$9*VLOOKUP(AP769, cub_control, 2, 0))*0.1*peso_ejec, "")</f>
        <v/>
      </c>
      <c r="AR769" s="91" t="str">
        <f t="shared" si="1319"/>
        <v/>
      </c>
      <c r="AS769" s="85" t="str">
        <f t="shared" si="1251"/>
        <v/>
      </c>
      <c r="AT769" s="85" t="str">
        <f t="shared" si="1252"/>
        <v/>
      </c>
      <c r="AU769" s="85" t="str">
        <f>IF(AR769&lt;Tablas!$G$19, 0, IF(AND(AR769&gt;=Tablas!$G$19, AR769&lt;Tablas!$G$20), 1,  IF(AND(AR769&gt;=Tablas!$G$20, AR769&lt;Tablas!$G$21), 2,  IF(AND(AR769&gt;=Tablas!$G$21, AR769&lt;=Tablas!$G$22), 3,  ""))))</f>
        <v/>
      </c>
      <c r="AV769" s="85" t="str">
        <f t="shared" si="1320"/>
        <v/>
      </c>
      <c r="AW769" s="101" t="str">
        <f t="shared" si="1321"/>
        <v/>
      </c>
      <c r="AX769" s="177"/>
      <c r="AY769" s="169"/>
      <c r="AZ769" s="158"/>
      <c r="BA769" s="169"/>
      <c r="BB769" s="182"/>
      <c r="BC769" s="182"/>
      <c r="BD769" s="185"/>
      <c r="BE769" s="185"/>
      <c r="BF769" s="158" t="str">
        <f t="shared" si="1331"/>
        <v/>
      </c>
      <c r="BG769" s="191"/>
    </row>
    <row r="770" spans="1:59" x14ac:dyDescent="0.25">
      <c r="A770" s="167"/>
      <c r="B770" s="167"/>
      <c r="C770" s="161"/>
      <c r="D770" s="160"/>
      <c r="E770" s="162"/>
      <c r="F770" s="164"/>
      <c r="G770" s="161"/>
      <c r="H770" s="161"/>
      <c r="I770" s="161"/>
      <c r="J770" s="161"/>
      <c r="K770" s="161"/>
      <c r="L770" s="166"/>
      <c r="M770" s="166"/>
      <c r="N770" s="166"/>
      <c r="O770" s="166"/>
      <c r="P770" s="166"/>
      <c r="Q770" s="166"/>
      <c r="R770" s="166"/>
      <c r="S770" s="167"/>
      <c r="T770" s="167"/>
      <c r="U770" s="167"/>
      <c r="V770" s="167"/>
      <c r="W770" s="167"/>
      <c r="X770" s="164"/>
      <c r="Y770" s="164"/>
      <c r="Z770" s="172"/>
      <c r="AA770" s="188"/>
      <c r="AB770" s="172"/>
      <c r="AC770" s="172"/>
      <c r="AD770" s="175"/>
      <c r="AE770" s="62" t="s">
        <v>153</v>
      </c>
      <c r="AF770" s="133"/>
      <c r="AG770" s="65"/>
      <c r="AH770" s="64"/>
      <c r="AI770" s="64"/>
      <c r="AJ770" s="64"/>
      <c r="AK770" s="64"/>
      <c r="AL770" s="64"/>
      <c r="AM770" s="80" t="str">
        <f>IFERROR((Tablas!$C$1*VLOOKUP(AH770, tipo_control, 2, 0)+Tablas!$E$1*VLOOKUP(AI770, nat_control, 2, 0)+Tablas!$G$1*VLOOKUP(AJ770, ev_control, 2, 0)+Tablas!$I$1*VLOOKUP(AK770, frec_control, 2, 0)+Tablas!$K$1*VLOOKUP(AL770, doc_control, 2, 0))*0.1*peso_dis, "")</f>
        <v/>
      </c>
      <c r="AN770" s="64"/>
      <c r="AO770" s="64"/>
      <c r="AP770" s="64"/>
      <c r="AQ770" s="80" t="str">
        <f>IFERROR((Tablas!$C$9*VLOOKUP(AN770, amb_control, 2, 0)+Tablas!$E$9*VLOOKUP(AO770, ejec_control, 2, 0)+Tablas!$G$9*VLOOKUP(AP770, cub_control, 2, 0))*0.1*peso_ejec, "")</f>
        <v/>
      </c>
      <c r="AR770" s="91" t="str">
        <f t="shared" si="1319"/>
        <v/>
      </c>
      <c r="AS770" s="85" t="str">
        <f t="shared" si="1251"/>
        <v/>
      </c>
      <c r="AT770" s="85" t="str">
        <f t="shared" si="1252"/>
        <v/>
      </c>
      <c r="AU770" s="85" t="str">
        <f>IF(AR770&lt;Tablas!$G$19, 0, IF(AND(AR770&gt;=Tablas!$G$19, AR770&lt;Tablas!$G$20), 1,  IF(AND(AR770&gt;=Tablas!$G$20, AR770&lt;Tablas!$G$21), 2,  IF(AND(AR770&gt;=Tablas!$G$21, AR770&lt;=Tablas!$G$22), 3,  ""))))</f>
        <v/>
      </c>
      <c r="AV770" s="85" t="str">
        <f t="shared" si="1320"/>
        <v/>
      </c>
      <c r="AW770" s="101" t="str">
        <f t="shared" si="1321"/>
        <v/>
      </c>
      <c r="AX770" s="177"/>
      <c r="AY770" s="169"/>
      <c r="AZ770" s="158"/>
      <c r="BA770" s="169"/>
      <c r="BB770" s="182"/>
      <c r="BC770" s="182"/>
      <c r="BD770" s="185"/>
      <c r="BE770" s="185"/>
      <c r="BF770" s="158"/>
      <c r="BG770" s="191"/>
    </row>
    <row r="771" spans="1:59" ht="15.75" thickBot="1" x14ac:dyDescent="0.3">
      <c r="A771" s="167"/>
      <c r="B771" s="167"/>
      <c r="C771" s="161"/>
      <c r="D771" s="160"/>
      <c r="E771" s="162"/>
      <c r="F771" s="165"/>
      <c r="G771" s="161"/>
      <c r="H771" s="161"/>
      <c r="I771" s="161"/>
      <c r="J771" s="161"/>
      <c r="K771" s="161"/>
      <c r="L771" s="166"/>
      <c r="M771" s="166"/>
      <c r="N771" s="166"/>
      <c r="O771" s="166"/>
      <c r="P771" s="166"/>
      <c r="Q771" s="166"/>
      <c r="R771" s="166"/>
      <c r="S771" s="149"/>
      <c r="T771" s="149"/>
      <c r="U771" s="149"/>
      <c r="V771" s="149"/>
      <c r="W771" s="149"/>
      <c r="X771" s="165"/>
      <c r="Y771" s="165"/>
      <c r="Z771" s="172"/>
      <c r="AA771" s="188"/>
      <c r="AB771" s="172"/>
      <c r="AC771" s="172"/>
      <c r="AD771" s="175"/>
      <c r="AE771" s="66" t="s">
        <v>154</v>
      </c>
      <c r="AF771" s="134"/>
      <c r="AG771" s="67"/>
      <c r="AH771" s="69"/>
      <c r="AI771" s="69"/>
      <c r="AJ771" s="69"/>
      <c r="AK771" s="69"/>
      <c r="AL771" s="69"/>
      <c r="AM771" s="81" t="str">
        <f>IFERROR((Tablas!$C$1*VLOOKUP(AH771, tipo_control, 2, 0)+Tablas!$E$1*VLOOKUP(AI771, nat_control, 2, 0)+Tablas!$G$1*VLOOKUP(AJ771, ev_control, 2, 0)+Tablas!$I$1*VLOOKUP(AK771, frec_control, 2, 0)+Tablas!$K$1*VLOOKUP(AL771, doc_control, 2, 0))*0.1*peso_dis, "")</f>
        <v/>
      </c>
      <c r="AN771" s="69"/>
      <c r="AO771" s="69"/>
      <c r="AP771" s="69"/>
      <c r="AQ771" s="81" t="str">
        <f>IFERROR((Tablas!$C$9*VLOOKUP(AN771, amb_control, 2, 0)+Tablas!$E$9*VLOOKUP(AO771, ejec_control, 2, 0)+Tablas!$G$9*VLOOKUP(AP771, cub_control, 2, 0))*0.1*peso_ejec, "")</f>
        <v/>
      </c>
      <c r="AR771" s="93" t="str">
        <f t="shared" si="1319"/>
        <v/>
      </c>
      <c r="AS771" s="94" t="str">
        <f t="shared" si="1251"/>
        <v/>
      </c>
      <c r="AT771" s="94" t="str">
        <f t="shared" si="1252"/>
        <v/>
      </c>
      <c r="AU771" s="94" t="str">
        <f>IF(AR771&lt;Tablas!$G$19, 0, IF(AND(AR771&gt;=Tablas!$G$19, AR771&lt;Tablas!$G$20), 1,  IF(AND(AR771&gt;=Tablas!$G$20, AR771&lt;Tablas!$G$21), 2,  IF(AND(AR771&gt;=Tablas!$G$21, AR771&lt;=Tablas!$G$22), 3,  ""))))</f>
        <v/>
      </c>
      <c r="AV771" s="94" t="str">
        <f t="shared" si="1320"/>
        <v/>
      </c>
      <c r="AW771" s="102" t="str">
        <f t="shared" si="1321"/>
        <v/>
      </c>
      <c r="AX771" s="157"/>
      <c r="AY771" s="170"/>
      <c r="AZ771" s="179"/>
      <c r="BA771" s="170"/>
      <c r="BB771" s="182"/>
      <c r="BC771" s="182"/>
      <c r="BD771" s="185"/>
      <c r="BE771" s="185"/>
      <c r="BF771" s="159"/>
      <c r="BG771" s="191"/>
    </row>
    <row r="772" spans="1:59" x14ac:dyDescent="0.25">
      <c r="A772" s="167"/>
      <c r="B772" s="167"/>
      <c r="C772" s="161" t="s">
        <v>18</v>
      </c>
      <c r="D772" s="160" t="s">
        <v>158</v>
      </c>
      <c r="E772" s="162"/>
      <c r="F772" s="163" t="str">
        <f t="shared" si="1243"/>
        <v/>
      </c>
      <c r="G772" s="149"/>
      <c r="H772" s="149"/>
      <c r="I772" s="149"/>
      <c r="J772" s="149"/>
      <c r="K772" s="149"/>
      <c r="L772" s="165" t="str">
        <f t="shared" ref="L772" si="1332">IFERROR(VLOOKUP(G772, tabla02, 2, 0), "")</f>
        <v/>
      </c>
      <c r="M772" s="165" t="str">
        <f t="shared" ref="M772" si="1333">IFERROR(VLOOKUP(H772, tabla02, 2, 0), "")</f>
        <v/>
      </c>
      <c r="N772" s="165" t="str">
        <f t="shared" ref="N772" si="1334">IFERROR(VLOOKUP(I772, tabla02, 2, 0), "")</f>
        <v/>
      </c>
      <c r="O772" s="165" t="str">
        <f t="shared" ref="O772" si="1335">IFERROR(VLOOKUP(J772, tabla02, 2, 0), "")</f>
        <v/>
      </c>
      <c r="P772" s="165" t="str">
        <f t="shared" ref="P772" si="1336">IFERROR(VLOOKUP(K772, tabla02, 2, 0), "")</f>
        <v/>
      </c>
      <c r="Q772" s="165" t="str">
        <f t="shared" ref="Q772" si="1337">IF(SUM(L772:O776)=0, "", MAX(L772:P772))</f>
        <v/>
      </c>
      <c r="R772" s="165" t="str">
        <f>IFERROR(VLOOKUP(Q772, tabla04, 3, 0), "")</f>
        <v/>
      </c>
      <c r="S772" s="148"/>
      <c r="T772" s="148"/>
      <c r="U772" s="148"/>
      <c r="V772" s="148"/>
      <c r="W772" s="148"/>
      <c r="X772" s="163" t="str">
        <f>IFERROR(VLOOKUP(CONCATENATE(F772, "-", Q772), cuadrante_sev, 3, 0), "")</f>
        <v/>
      </c>
      <c r="Y772" s="163" t="str">
        <f t="shared" ref="Y772" si="1338">IFERROR(IF(X772="Baja", 1, IF(X772="Moderada", 2, IF(X772="Alta", 3, IF(X772="Extrema", 4, "")))), "")</f>
        <v/>
      </c>
      <c r="Z772" s="172"/>
      <c r="AA772" s="188"/>
      <c r="AB772" s="172"/>
      <c r="AC772" s="172"/>
      <c r="AD772" s="175"/>
      <c r="AE772" s="70" t="s">
        <v>113</v>
      </c>
      <c r="AF772" s="135"/>
      <c r="AG772" s="77"/>
      <c r="AH772" s="61"/>
      <c r="AI772" s="61"/>
      <c r="AJ772" s="61"/>
      <c r="AK772" s="61"/>
      <c r="AL772" s="61"/>
      <c r="AM772" s="82" t="str">
        <f>IFERROR((Tablas!$C$1*VLOOKUP(AH772, tipo_control, 2, 0)+Tablas!$E$1*VLOOKUP(AI772, nat_control, 2, 0)+Tablas!$G$1*VLOOKUP(AJ772, ev_control, 2, 0)+Tablas!$I$1*VLOOKUP(AK772, frec_control, 2, 0)+Tablas!$K$1*VLOOKUP(AL772, doc_control, 2, 0))*0.1*peso_dis, "")</f>
        <v/>
      </c>
      <c r="AN772" s="61"/>
      <c r="AO772" s="61"/>
      <c r="AP772" s="61"/>
      <c r="AQ772" s="82" t="str">
        <f>IFERROR((Tablas!$C$9*VLOOKUP(AN772, amb_control, 2, 0)+Tablas!$E$9*VLOOKUP(AO772, ejec_control, 2, 0)+Tablas!$G$9*VLOOKUP(AP772, cub_control, 2, 0))*0.1*peso_ejec, "")</f>
        <v/>
      </c>
      <c r="AR772" s="96" t="str">
        <f t="shared" si="1319"/>
        <v/>
      </c>
      <c r="AS772" s="97" t="str">
        <f t="shared" si="1251"/>
        <v/>
      </c>
      <c r="AT772" s="87" t="str">
        <f t="shared" si="1252"/>
        <v/>
      </c>
      <c r="AU772" s="97" t="str">
        <f>IF(AR772&lt;Tablas!$G$19, 0, IF(AND(AR772&gt;=Tablas!$G$19, AR772&lt;Tablas!$G$20), 1,  IF(AND(AR772&gt;=Tablas!$G$20, AR772&lt;Tablas!$G$21), 2,  IF(AND(AR772&gt;=Tablas!$G$21, AR772&lt;=Tablas!$G$22), 3,  ""))))</f>
        <v/>
      </c>
      <c r="AV772" s="97" t="str">
        <f t="shared" si="1320"/>
        <v/>
      </c>
      <c r="AW772" s="103" t="str">
        <f t="shared" si="1321"/>
        <v/>
      </c>
      <c r="AX772" s="176" t="str">
        <f t="shared" ref="AX772" si="1339">IFERROR(VLOOKUP(AY772, tabla04, 2, 0), "")</f>
        <v/>
      </c>
      <c r="AY772" s="168" t="str">
        <f>IF(F772="", "", IF((F772-MAX(AV772:AV776))&lt;=0, 1, F772-MAX(AV772:AV776)))</f>
        <v/>
      </c>
      <c r="AZ772" s="178" t="str">
        <f t="shared" ref="AZ772" si="1340">IFERROR(VLOOKUP(BA772, tabla04, 3, 0), "")</f>
        <v/>
      </c>
      <c r="BA772" s="168" t="str">
        <f>IF(Q772="", "", IF((Q772-MAX(AW772:AW776))&lt;=0, 1, Q772-MAX(AW772:AW776)))</f>
        <v/>
      </c>
      <c r="BB772" s="182"/>
      <c r="BC772" s="182"/>
      <c r="BD772" s="185"/>
      <c r="BE772" s="185"/>
      <c r="BF772" s="158" t="str">
        <f t="shared" ref="BF772:BF774" si="1341">IFERROR(VLOOKUP(CONCATENATE(AY772, "-", BA772), cuadrante_sev, 3, 0), "")</f>
        <v/>
      </c>
      <c r="BG772" s="191"/>
    </row>
    <row r="773" spans="1:59" x14ac:dyDescent="0.25">
      <c r="A773" s="167"/>
      <c r="B773" s="167"/>
      <c r="C773" s="161"/>
      <c r="D773" s="160"/>
      <c r="E773" s="162"/>
      <c r="F773" s="164"/>
      <c r="G773" s="161"/>
      <c r="H773" s="161"/>
      <c r="I773" s="161"/>
      <c r="J773" s="161"/>
      <c r="K773" s="161"/>
      <c r="L773" s="166"/>
      <c r="M773" s="166"/>
      <c r="N773" s="166"/>
      <c r="O773" s="166"/>
      <c r="P773" s="166"/>
      <c r="Q773" s="166"/>
      <c r="R773" s="166"/>
      <c r="S773" s="167"/>
      <c r="T773" s="167"/>
      <c r="U773" s="167"/>
      <c r="V773" s="167"/>
      <c r="W773" s="167"/>
      <c r="X773" s="164"/>
      <c r="Y773" s="164"/>
      <c r="Z773" s="172"/>
      <c r="AA773" s="188"/>
      <c r="AB773" s="172"/>
      <c r="AC773" s="172"/>
      <c r="AD773" s="175"/>
      <c r="AE773" s="62" t="s">
        <v>114</v>
      </c>
      <c r="AF773" s="133"/>
      <c r="AG773" s="65"/>
      <c r="AH773" s="64"/>
      <c r="AI773" s="64"/>
      <c r="AJ773" s="64"/>
      <c r="AK773" s="64"/>
      <c r="AL773" s="64"/>
      <c r="AM773" s="80" t="str">
        <f>IFERROR((Tablas!$C$1*VLOOKUP(AH773, tipo_control, 2, 0)+Tablas!$E$1*VLOOKUP(AI773, nat_control, 2, 0)+Tablas!$G$1*VLOOKUP(AJ773, ev_control, 2, 0)+Tablas!$I$1*VLOOKUP(AK773, frec_control, 2, 0)+Tablas!$K$1*VLOOKUP(AL773, doc_control, 2, 0))*0.1*peso_dis, "")</f>
        <v/>
      </c>
      <c r="AN773" s="64"/>
      <c r="AO773" s="64"/>
      <c r="AP773" s="64"/>
      <c r="AQ773" s="80" t="str">
        <f>IFERROR((Tablas!$C$9*VLOOKUP(AN773, amb_control, 2, 0)+Tablas!$E$9*VLOOKUP(AO773, ejec_control, 2, 0)+Tablas!$G$9*VLOOKUP(AP773, cub_control, 2, 0))*0.1*peso_ejec, "")</f>
        <v/>
      </c>
      <c r="AR773" s="91" t="str">
        <f t="shared" si="1319"/>
        <v/>
      </c>
      <c r="AS773" s="85" t="str">
        <f t="shared" si="1251"/>
        <v/>
      </c>
      <c r="AT773" s="85" t="str">
        <f t="shared" si="1252"/>
        <v/>
      </c>
      <c r="AU773" s="85" t="str">
        <f>IF(AR773&lt;Tablas!$G$19, 0, IF(AND(AR773&gt;=Tablas!$G$19, AR773&lt;Tablas!$G$20), 1,  IF(AND(AR773&gt;=Tablas!$G$20, AR773&lt;Tablas!$G$21), 2,  IF(AND(AR773&gt;=Tablas!$G$21, AR773&lt;=Tablas!$G$22), 3,  ""))))</f>
        <v/>
      </c>
      <c r="AV773" s="85" t="str">
        <f t="shared" si="1320"/>
        <v/>
      </c>
      <c r="AW773" s="101" t="str">
        <f t="shared" si="1321"/>
        <v/>
      </c>
      <c r="AX773" s="177"/>
      <c r="AY773" s="169"/>
      <c r="AZ773" s="158"/>
      <c r="BA773" s="169"/>
      <c r="BB773" s="182"/>
      <c r="BC773" s="182"/>
      <c r="BD773" s="185"/>
      <c r="BE773" s="185"/>
      <c r="BF773" s="158" t="str">
        <f t="shared" si="1341"/>
        <v/>
      </c>
      <c r="BG773" s="191"/>
    </row>
    <row r="774" spans="1:59" x14ac:dyDescent="0.25">
      <c r="A774" s="167"/>
      <c r="B774" s="167"/>
      <c r="C774" s="161"/>
      <c r="D774" s="160"/>
      <c r="E774" s="162"/>
      <c r="F774" s="164"/>
      <c r="G774" s="161"/>
      <c r="H774" s="161"/>
      <c r="I774" s="161"/>
      <c r="J774" s="161"/>
      <c r="K774" s="161"/>
      <c r="L774" s="166"/>
      <c r="M774" s="166"/>
      <c r="N774" s="166"/>
      <c r="O774" s="166"/>
      <c r="P774" s="166"/>
      <c r="Q774" s="166"/>
      <c r="R774" s="166"/>
      <c r="S774" s="167"/>
      <c r="T774" s="167"/>
      <c r="U774" s="167"/>
      <c r="V774" s="167"/>
      <c r="W774" s="167"/>
      <c r="X774" s="164"/>
      <c r="Y774" s="164"/>
      <c r="Z774" s="172"/>
      <c r="AA774" s="188"/>
      <c r="AB774" s="172"/>
      <c r="AC774" s="172"/>
      <c r="AD774" s="175"/>
      <c r="AE774" s="62" t="s">
        <v>115</v>
      </c>
      <c r="AF774" s="133"/>
      <c r="AG774" s="65"/>
      <c r="AH774" s="64"/>
      <c r="AI774" s="64"/>
      <c r="AJ774" s="64"/>
      <c r="AK774" s="64"/>
      <c r="AL774" s="64"/>
      <c r="AM774" s="80" t="str">
        <f>IFERROR((Tablas!$C$1*VLOOKUP(AH774, tipo_control, 2, 0)+Tablas!$E$1*VLOOKUP(AI774, nat_control, 2, 0)+Tablas!$G$1*VLOOKUP(AJ774, ev_control, 2, 0)+Tablas!$I$1*VLOOKUP(AK774, frec_control, 2, 0)+Tablas!$K$1*VLOOKUP(AL774, doc_control, 2, 0))*0.1*peso_dis, "")</f>
        <v/>
      </c>
      <c r="AN774" s="64"/>
      <c r="AO774" s="64"/>
      <c r="AP774" s="64"/>
      <c r="AQ774" s="80" t="str">
        <f>IFERROR((Tablas!$C$9*VLOOKUP(AN774, amb_control, 2, 0)+Tablas!$E$9*VLOOKUP(AO774, ejec_control, 2, 0)+Tablas!$G$9*VLOOKUP(AP774, cub_control, 2, 0))*0.1*peso_ejec, "")</f>
        <v/>
      </c>
      <c r="AR774" s="91" t="str">
        <f t="shared" si="1319"/>
        <v/>
      </c>
      <c r="AS774" s="85" t="str">
        <f t="shared" si="1251"/>
        <v/>
      </c>
      <c r="AT774" s="85" t="str">
        <f t="shared" si="1252"/>
        <v/>
      </c>
      <c r="AU774" s="85" t="str">
        <f>IF(AR774&lt;Tablas!$G$19, 0, IF(AND(AR774&gt;=Tablas!$G$19, AR774&lt;Tablas!$G$20), 1,  IF(AND(AR774&gt;=Tablas!$G$20, AR774&lt;Tablas!$G$21), 2,  IF(AND(AR774&gt;=Tablas!$G$21, AR774&lt;=Tablas!$G$22), 3,  ""))))</f>
        <v/>
      </c>
      <c r="AV774" s="85" t="str">
        <f t="shared" si="1320"/>
        <v/>
      </c>
      <c r="AW774" s="101" t="str">
        <f t="shared" si="1321"/>
        <v/>
      </c>
      <c r="AX774" s="177"/>
      <c r="AY774" s="169"/>
      <c r="AZ774" s="158"/>
      <c r="BA774" s="169"/>
      <c r="BB774" s="182"/>
      <c r="BC774" s="182"/>
      <c r="BD774" s="185"/>
      <c r="BE774" s="185"/>
      <c r="BF774" s="158" t="str">
        <f t="shared" si="1341"/>
        <v/>
      </c>
      <c r="BG774" s="191"/>
    </row>
    <row r="775" spans="1:59" x14ac:dyDescent="0.25">
      <c r="A775" s="167"/>
      <c r="B775" s="167"/>
      <c r="C775" s="161"/>
      <c r="D775" s="160"/>
      <c r="E775" s="162"/>
      <c r="F775" s="164"/>
      <c r="G775" s="161"/>
      <c r="H775" s="161"/>
      <c r="I775" s="161"/>
      <c r="J775" s="161"/>
      <c r="K775" s="161"/>
      <c r="L775" s="166"/>
      <c r="M775" s="166"/>
      <c r="N775" s="166"/>
      <c r="O775" s="166"/>
      <c r="P775" s="166"/>
      <c r="Q775" s="166"/>
      <c r="R775" s="166"/>
      <c r="S775" s="167"/>
      <c r="T775" s="167"/>
      <c r="U775" s="167"/>
      <c r="V775" s="167"/>
      <c r="W775" s="167"/>
      <c r="X775" s="164"/>
      <c r="Y775" s="164"/>
      <c r="Z775" s="172"/>
      <c r="AA775" s="188"/>
      <c r="AB775" s="172"/>
      <c r="AC775" s="172"/>
      <c r="AD775" s="175"/>
      <c r="AE775" s="62" t="s">
        <v>153</v>
      </c>
      <c r="AF775" s="133"/>
      <c r="AG775" s="65"/>
      <c r="AH775" s="64"/>
      <c r="AI775" s="64"/>
      <c r="AJ775" s="64"/>
      <c r="AK775" s="64"/>
      <c r="AL775" s="64"/>
      <c r="AM775" s="80" t="str">
        <f>IFERROR((Tablas!$C$1*VLOOKUP(AH775, tipo_control, 2, 0)+Tablas!$E$1*VLOOKUP(AI775, nat_control, 2, 0)+Tablas!$G$1*VLOOKUP(AJ775, ev_control, 2, 0)+Tablas!$I$1*VLOOKUP(AK775, frec_control, 2, 0)+Tablas!$K$1*VLOOKUP(AL775, doc_control, 2, 0))*0.1*peso_dis, "")</f>
        <v/>
      </c>
      <c r="AN775" s="64"/>
      <c r="AO775" s="64"/>
      <c r="AP775" s="64"/>
      <c r="AQ775" s="80" t="str">
        <f>IFERROR((Tablas!$C$9*VLOOKUP(AN775, amb_control, 2, 0)+Tablas!$E$9*VLOOKUP(AO775, ejec_control, 2, 0)+Tablas!$G$9*VLOOKUP(AP775, cub_control, 2, 0))*0.1*peso_ejec, "")</f>
        <v/>
      </c>
      <c r="AR775" s="91" t="str">
        <f t="shared" si="1319"/>
        <v/>
      </c>
      <c r="AS775" s="85" t="str">
        <f t="shared" si="1251"/>
        <v/>
      </c>
      <c r="AT775" s="85" t="str">
        <f t="shared" si="1252"/>
        <v/>
      </c>
      <c r="AU775" s="85" t="str">
        <f>IF(AR775&lt;Tablas!$G$19, 0, IF(AND(AR775&gt;=Tablas!$G$19, AR775&lt;Tablas!$G$20), 1,  IF(AND(AR775&gt;=Tablas!$G$20, AR775&lt;Tablas!$G$21), 2,  IF(AND(AR775&gt;=Tablas!$G$21, AR775&lt;=Tablas!$G$22), 3,  ""))))</f>
        <v/>
      </c>
      <c r="AV775" s="85" t="str">
        <f t="shared" si="1320"/>
        <v/>
      </c>
      <c r="AW775" s="101" t="str">
        <f t="shared" si="1321"/>
        <v/>
      </c>
      <c r="AX775" s="177"/>
      <c r="AY775" s="169"/>
      <c r="AZ775" s="158"/>
      <c r="BA775" s="169"/>
      <c r="BB775" s="182"/>
      <c r="BC775" s="182"/>
      <c r="BD775" s="185"/>
      <c r="BE775" s="185"/>
      <c r="BF775" s="158"/>
      <c r="BG775" s="191"/>
    </row>
    <row r="776" spans="1:59" ht="15.75" thickBot="1" x14ac:dyDescent="0.3">
      <c r="A776" s="167"/>
      <c r="B776" s="167"/>
      <c r="C776" s="161"/>
      <c r="D776" s="160"/>
      <c r="E776" s="162"/>
      <c r="F776" s="165"/>
      <c r="G776" s="161"/>
      <c r="H776" s="161"/>
      <c r="I776" s="161"/>
      <c r="J776" s="161"/>
      <c r="K776" s="161"/>
      <c r="L776" s="166"/>
      <c r="M776" s="166"/>
      <c r="N776" s="166"/>
      <c r="O776" s="166"/>
      <c r="P776" s="166"/>
      <c r="Q776" s="166"/>
      <c r="R776" s="166"/>
      <c r="S776" s="149"/>
      <c r="T776" s="149"/>
      <c r="U776" s="149"/>
      <c r="V776" s="149"/>
      <c r="W776" s="149"/>
      <c r="X776" s="165"/>
      <c r="Y776" s="165"/>
      <c r="Z776" s="172"/>
      <c r="AA776" s="188"/>
      <c r="AB776" s="172"/>
      <c r="AC776" s="172"/>
      <c r="AD776" s="175"/>
      <c r="AE776" s="66" t="s">
        <v>154</v>
      </c>
      <c r="AF776" s="134"/>
      <c r="AG776" s="67"/>
      <c r="AH776" s="69"/>
      <c r="AI776" s="69"/>
      <c r="AJ776" s="69"/>
      <c r="AK776" s="69"/>
      <c r="AL776" s="69"/>
      <c r="AM776" s="81" t="str">
        <f>IFERROR((Tablas!$C$1*VLOOKUP(AH776, tipo_control, 2, 0)+Tablas!$E$1*VLOOKUP(AI776, nat_control, 2, 0)+Tablas!$G$1*VLOOKUP(AJ776, ev_control, 2, 0)+Tablas!$I$1*VLOOKUP(AK776, frec_control, 2, 0)+Tablas!$K$1*VLOOKUP(AL776, doc_control, 2, 0))*0.1*peso_dis, "")</f>
        <v/>
      </c>
      <c r="AN776" s="69"/>
      <c r="AO776" s="69"/>
      <c r="AP776" s="69"/>
      <c r="AQ776" s="81" t="str">
        <f>IFERROR((Tablas!$C$9*VLOOKUP(AN776, amb_control, 2, 0)+Tablas!$E$9*VLOOKUP(AO776, ejec_control, 2, 0)+Tablas!$G$9*VLOOKUP(AP776, cub_control, 2, 0))*0.1*peso_ejec, "")</f>
        <v/>
      </c>
      <c r="AR776" s="93" t="str">
        <f t="shared" si="1319"/>
        <v/>
      </c>
      <c r="AS776" s="94" t="str">
        <f t="shared" si="1251"/>
        <v/>
      </c>
      <c r="AT776" s="94" t="str">
        <f t="shared" si="1252"/>
        <v/>
      </c>
      <c r="AU776" s="94" t="str">
        <f>IF(AR776&lt;Tablas!$G$19, 0, IF(AND(AR776&gt;=Tablas!$G$19, AR776&lt;Tablas!$G$20), 1,  IF(AND(AR776&gt;=Tablas!$G$20, AR776&lt;Tablas!$G$21), 2,  IF(AND(AR776&gt;=Tablas!$G$21, AR776&lt;=Tablas!$G$22), 3,  ""))))</f>
        <v/>
      </c>
      <c r="AV776" s="94" t="str">
        <f t="shared" si="1320"/>
        <v/>
      </c>
      <c r="AW776" s="102" t="str">
        <f t="shared" si="1321"/>
        <v/>
      </c>
      <c r="AX776" s="157"/>
      <c r="AY776" s="170"/>
      <c r="AZ776" s="179"/>
      <c r="BA776" s="170"/>
      <c r="BB776" s="182"/>
      <c r="BC776" s="182"/>
      <c r="BD776" s="185"/>
      <c r="BE776" s="185"/>
      <c r="BF776" s="159"/>
      <c r="BG776" s="191"/>
    </row>
    <row r="777" spans="1:59" x14ac:dyDescent="0.25">
      <c r="A777" s="167"/>
      <c r="B777" s="167"/>
      <c r="C777" s="161" t="s">
        <v>19</v>
      </c>
      <c r="D777" s="160" t="s">
        <v>158</v>
      </c>
      <c r="E777" s="162"/>
      <c r="F777" s="163" t="str">
        <f t="shared" si="1243"/>
        <v/>
      </c>
      <c r="G777" s="149"/>
      <c r="H777" s="149"/>
      <c r="I777" s="149"/>
      <c r="J777" s="149"/>
      <c r="K777" s="149"/>
      <c r="L777" s="165" t="str">
        <f t="shared" ref="L777" si="1342">IFERROR(VLOOKUP(G777, tabla02, 2, 0), "")</f>
        <v/>
      </c>
      <c r="M777" s="165" t="str">
        <f t="shared" ref="M777" si="1343">IFERROR(VLOOKUP(H777, tabla02, 2, 0), "")</f>
        <v/>
      </c>
      <c r="N777" s="165" t="str">
        <f t="shared" ref="N777" si="1344">IFERROR(VLOOKUP(I777, tabla02, 2, 0), "")</f>
        <v/>
      </c>
      <c r="O777" s="165" t="str">
        <f t="shared" ref="O777" si="1345">IFERROR(VLOOKUP(J777, tabla02, 2, 0), "")</f>
        <v/>
      </c>
      <c r="P777" s="165" t="str">
        <f t="shared" ref="P777" si="1346">IFERROR(VLOOKUP(K777, tabla02, 2, 0), "")</f>
        <v/>
      </c>
      <c r="Q777" s="165" t="str">
        <f t="shared" ref="Q777" si="1347">IF(SUM(L777:O781)=0, "", MAX(L777:P777))</f>
        <v/>
      </c>
      <c r="R777" s="165" t="str">
        <f>IFERROR(VLOOKUP(Q777, tabla04, 3, 0), "")</f>
        <v/>
      </c>
      <c r="S777" s="148"/>
      <c r="T777" s="148"/>
      <c r="U777" s="148"/>
      <c r="V777" s="148"/>
      <c r="W777" s="148"/>
      <c r="X777" s="163" t="str">
        <f>IFERROR(VLOOKUP(CONCATENATE(F777, "-", Q777), cuadrante_sev, 3, 0), "")</f>
        <v/>
      </c>
      <c r="Y777" s="163" t="str">
        <f t="shared" ref="Y777" si="1348">IFERROR(IF(X777="Baja", 1, IF(X777="Moderada", 2, IF(X777="Alta", 3, IF(X777="Extrema", 4, "")))), "")</f>
        <v/>
      </c>
      <c r="Z777" s="172"/>
      <c r="AA777" s="188"/>
      <c r="AB777" s="172"/>
      <c r="AC777" s="172"/>
      <c r="AD777" s="175"/>
      <c r="AE777" s="70" t="s">
        <v>113</v>
      </c>
      <c r="AF777" s="135"/>
      <c r="AG777" s="74"/>
      <c r="AH777" s="72"/>
      <c r="AI777" s="72"/>
      <c r="AJ777" s="72"/>
      <c r="AK777" s="72"/>
      <c r="AL777" s="72"/>
      <c r="AM777" s="82" t="str">
        <f>IFERROR((Tablas!$C$1*VLOOKUP(AH777, tipo_control, 2, 0)+Tablas!$E$1*VLOOKUP(AI777, nat_control, 2, 0)+Tablas!$G$1*VLOOKUP(AJ777, ev_control, 2, 0)+Tablas!$I$1*VLOOKUP(AK777, frec_control, 2, 0)+Tablas!$K$1*VLOOKUP(AL777, doc_control, 2, 0))*0.1*peso_dis, "")</f>
        <v/>
      </c>
      <c r="AN777" s="72"/>
      <c r="AO777" s="72"/>
      <c r="AP777" s="72"/>
      <c r="AQ777" s="82" t="str">
        <f>IFERROR((Tablas!$C$9*VLOOKUP(AN777, amb_control, 2, 0)+Tablas!$E$9*VLOOKUP(AO777, ejec_control, 2, 0)+Tablas!$G$9*VLOOKUP(AP777, cub_control, 2, 0))*0.1*peso_ejec, "")</f>
        <v/>
      </c>
      <c r="AR777" s="96" t="str">
        <f t="shared" si="1319"/>
        <v/>
      </c>
      <c r="AS777" s="97" t="str">
        <f t="shared" si="1251"/>
        <v/>
      </c>
      <c r="AT777" s="87" t="str">
        <f t="shared" si="1252"/>
        <v/>
      </c>
      <c r="AU777" s="97" t="str">
        <f>IF(AR777&lt;Tablas!$G$19, 0, IF(AND(AR777&gt;=Tablas!$G$19, AR777&lt;Tablas!$G$20), 1,  IF(AND(AR777&gt;=Tablas!$G$20, AR777&lt;Tablas!$G$21), 2,  IF(AND(AR777&gt;=Tablas!$G$21, AR777&lt;=Tablas!$G$22), 3,  ""))))</f>
        <v/>
      </c>
      <c r="AV777" s="97" t="str">
        <f t="shared" si="1320"/>
        <v/>
      </c>
      <c r="AW777" s="103" t="str">
        <f t="shared" si="1321"/>
        <v/>
      </c>
      <c r="AX777" s="176" t="str">
        <f t="shared" ref="AX777" si="1349">IFERROR(VLOOKUP(AY777, tabla04, 2, 0), "")</f>
        <v/>
      </c>
      <c r="AY777" s="168" t="str">
        <f>IF(F777="", "", IF((F777-MAX(AV777:AV781))&lt;=0, 1, F777-MAX(AV777:AV781)))</f>
        <v/>
      </c>
      <c r="AZ777" s="178" t="str">
        <f t="shared" ref="AZ777" si="1350">IFERROR(VLOOKUP(BA777, tabla04, 3, 0), "")</f>
        <v/>
      </c>
      <c r="BA777" s="168" t="str">
        <f>IF(Q777="", "", IF((Q777-MAX(AW777:AW781))&lt;=0, 1, Q777-MAX(AW777:AW781)))</f>
        <v/>
      </c>
      <c r="BB777" s="182"/>
      <c r="BC777" s="182"/>
      <c r="BD777" s="185"/>
      <c r="BE777" s="185"/>
      <c r="BF777" s="158" t="str">
        <f t="shared" ref="BF777:BF779" si="1351">IFERROR(VLOOKUP(CONCATENATE(AY777, "-", BA777), cuadrante_sev, 3, 0), "")</f>
        <v/>
      </c>
      <c r="BG777" s="191"/>
    </row>
    <row r="778" spans="1:59" x14ac:dyDescent="0.25">
      <c r="A778" s="167"/>
      <c r="B778" s="167"/>
      <c r="C778" s="161"/>
      <c r="D778" s="160"/>
      <c r="E778" s="162"/>
      <c r="F778" s="164"/>
      <c r="G778" s="161"/>
      <c r="H778" s="161"/>
      <c r="I778" s="161"/>
      <c r="J778" s="161"/>
      <c r="K778" s="161"/>
      <c r="L778" s="166"/>
      <c r="M778" s="166"/>
      <c r="N778" s="166"/>
      <c r="O778" s="166"/>
      <c r="P778" s="166"/>
      <c r="Q778" s="166"/>
      <c r="R778" s="166"/>
      <c r="S778" s="167"/>
      <c r="T778" s="167"/>
      <c r="U778" s="167"/>
      <c r="V778" s="167"/>
      <c r="W778" s="167"/>
      <c r="X778" s="164"/>
      <c r="Y778" s="164"/>
      <c r="Z778" s="172"/>
      <c r="AA778" s="188"/>
      <c r="AB778" s="172"/>
      <c r="AC778" s="172"/>
      <c r="AD778" s="175"/>
      <c r="AE778" s="62" t="s">
        <v>114</v>
      </c>
      <c r="AF778" s="133"/>
      <c r="AG778" s="65"/>
      <c r="AH778" s="64"/>
      <c r="AI778" s="64"/>
      <c r="AJ778" s="64"/>
      <c r="AK778" s="64"/>
      <c r="AL778" s="64"/>
      <c r="AM778" s="80" t="str">
        <f>IFERROR((Tablas!$C$1*VLOOKUP(AH778, tipo_control, 2, 0)+Tablas!$E$1*VLOOKUP(AI778, nat_control, 2, 0)+Tablas!$G$1*VLOOKUP(AJ778, ev_control, 2, 0)+Tablas!$I$1*VLOOKUP(AK778, frec_control, 2, 0)+Tablas!$K$1*VLOOKUP(AL778, doc_control, 2, 0))*0.1*peso_dis, "")</f>
        <v/>
      </c>
      <c r="AN778" s="64"/>
      <c r="AO778" s="64"/>
      <c r="AP778" s="64"/>
      <c r="AQ778" s="80" t="str">
        <f>IFERROR((Tablas!$C$9*VLOOKUP(AN778, amb_control, 2, 0)+Tablas!$E$9*VLOOKUP(AO778, ejec_control, 2, 0)+Tablas!$G$9*VLOOKUP(AP778, cub_control, 2, 0))*0.1*peso_ejec, "")</f>
        <v/>
      </c>
      <c r="AR778" s="91" t="str">
        <f t="shared" si="1319"/>
        <v/>
      </c>
      <c r="AS778" s="85" t="str">
        <f t="shared" si="1251"/>
        <v/>
      </c>
      <c r="AT778" s="85" t="str">
        <f t="shared" si="1252"/>
        <v/>
      </c>
      <c r="AU778" s="85" t="str">
        <f>IF(AR778&lt;Tablas!$G$19, 0, IF(AND(AR778&gt;=Tablas!$G$19, AR778&lt;Tablas!$G$20), 1,  IF(AND(AR778&gt;=Tablas!$G$20, AR778&lt;Tablas!$G$21), 2,  IF(AND(AR778&gt;=Tablas!$G$21, AR778&lt;=Tablas!$G$22), 3,  ""))))</f>
        <v/>
      </c>
      <c r="AV778" s="85" t="str">
        <f t="shared" si="1320"/>
        <v/>
      </c>
      <c r="AW778" s="101" t="str">
        <f t="shared" si="1321"/>
        <v/>
      </c>
      <c r="AX778" s="177"/>
      <c r="AY778" s="169"/>
      <c r="AZ778" s="158"/>
      <c r="BA778" s="169"/>
      <c r="BB778" s="182"/>
      <c r="BC778" s="182"/>
      <c r="BD778" s="185"/>
      <c r="BE778" s="185"/>
      <c r="BF778" s="158" t="str">
        <f t="shared" si="1351"/>
        <v/>
      </c>
      <c r="BG778" s="191"/>
    </row>
    <row r="779" spans="1:59" x14ac:dyDescent="0.25">
      <c r="A779" s="167"/>
      <c r="B779" s="167"/>
      <c r="C779" s="161"/>
      <c r="D779" s="160"/>
      <c r="E779" s="162"/>
      <c r="F779" s="164"/>
      <c r="G779" s="161"/>
      <c r="H779" s="161"/>
      <c r="I779" s="161"/>
      <c r="J779" s="161"/>
      <c r="K779" s="161"/>
      <c r="L779" s="166"/>
      <c r="M779" s="166"/>
      <c r="N779" s="166"/>
      <c r="O779" s="166"/>
      <c r="P779" s="166"/>
      <c r="Q779" s="166"/>
      <c r="R779" s="166"/>
      <c r="S779" s="167"/>
      <c r="T779" s="167"/>
      <c r="U779" s="167"/>
      <c r="V779" s="167"/>
      <c r="W779" s="167"/>
      <c r="X779" s="164"/>
      <c r="Y779" s="164"/>
      <c r="Z779" s="172"/>
      <c r="AA779" s="188"/>
      <c r="AB779" s="172"/>
      <c r="AC779" s="172"/>
      <c r="AD779" s="175"/>
      <c r="AE779" s="62" t="s">
        <v>115</v>
      </c>
      <c r="AF779" s="133"/>
      <c r="AG779" s="65"/>
      <c r="AH779" s="64"/>
      <c r="AI779" s="64"/>
      <c r="AJ779" s="64"/>
      <c r="AK779" s="64"/>
      <c r="AL779" s="64"/>
      <c r="AM779" s="80" t="str">
        <f>IFERROR((Tablas!$C$1*VLOOKUP(AH779, tipo_control, 2, 0)+Tablas!$E$1*VLOOKUP(AI779, nat_control, 2, 0)+Tablas!$G$1*VLOOKUP(AJ779, ev_control, 2, 0)+Tablas!$I$1*VLOOKUP(AK779, frec_control, 2, 0)+Tablas!$K$1*VLOOKUP(AL779, doc_control, 2, 0))*0.1*peso_dis, "")</f>
        <v/>
      </c>
      <c r="AN779" s="64"/>
      <c r="AO779" s="64"/>
      <c r="AP779" s="64"/>
      <c r="AQ779" s="80" t="str">
        <f>IFERROR((Tablas!$C$9*VLOOKUP(AN779, amb_control, 2, 0)+Tablas!$E$9*VLOOKUP(AO779, ejec_control, 2, 0)+Tablas!$G$9*VLOOKUP(AP779, cub_control, 2, 0))*0.1*peso_ejec, "")</f>
        <v/>
      </c>
      <c r="AR779" s="91" t="str">
        <f t="shared" si="1319"/>
        <v/>
      </c>
      <c r="AS779" s="85" t="str">
        <f t="shared" si="1251"/>
        <v/>
      </c>
      <c r="AT779" s="85" t="str">
        <f t="shared" si="1252"/>
        <v/>
      </c>
      <c r="AU779" s="85" t="str">
        <f>IF(AR779&lt;Tablas!$G$19, 0, IF(AND(AR779&gt;=Tablas!$G$19, AR779&lt;Tablas!$G$20), 1,  IF(AND(AR779&gt;=Tablas!$G$20, AR779&lt;Tablas!$G$21), 2,  IF(AND(AR779&gt;=Tablas!$G$21, AR779&lt;=Tablas!$G$22), 3,  ""))))</f>
        <v/>
      </c>
      <c r="AV779" s="85" t="str">
        <f t="shared" si="1320"/>
        <v/>
      </c>
      <c r="AW779" s="101" t="str">
        <f t="shared" si="1321"/>
        <v/>
      </c>
      <c r="AX779" s="177"/>
      <c r="AY779" s="169"/>
      <c r="AZ779" s="158"/>
      <c r="BA779" s="169"/>
      <c r="BB779" s="182"/>
      <c r="BC779" s="182"/>
      <c r="BD779" s="185"/>
      <c r="BE779" s="185"/>
      <c r="BF779" s="158" t="str">
        <f t="shared" si="1351"/>
        <v/>
      </c>
      <c r="BG779" s="191"/>
    </row>
    <row r="780" spans="1:59" x14ac:dyDescent="0.25">
      <c r="A780" s="167"/>
      <c r="B780" s="167"/>
      <c r="C780" s="161"/>
      <c r="D780" s="160"/>
      <c r="E780" s="162"/>
      <c r="F780" s="164"/>
      <c r="G780" s="161"/>
      <c r="H780" s="161"/>
      <c r="I780" s="161"/>
      <c r="J780" s="161"/>
      <c r="K780" s="161"/>
      <c r="L780" s="166"/>
      <c r="M780" s="166"/>
      <c r="N780" s="166"/>
      <c r="O780" s="166"/>
      <c r="P780" s="166"/>
      <c r="Q780" s="166"/>
      <c r="R780" s="166"/>
      <c r="S780" s="167"/>
      <c r="T780" s="167"/>
      <c r="U780" s="167"/>
      <c r="V780" s="167"/>
      <c r="W780" s="167"/>
      <c r="X780" s="164"/>
      <c r="Y780" s="164"/>
      <c r="Z780" s="172"/>
      <c r="AA780" s="188"/>
      <c r="AB780" s="172"/>
      <c r="AC780" s="172"/>
      <c r="AD780" s="175"/>
      <c r="AE780" s="62" t="s">
        <v>153</v>
      </c>
      <c r="AF780" s="133"/>
      <c r="AG780" s="65"/>
      <c r="AH780" s="64"/>
      <c r="AI780" s="64"/>
      <c r="AJ780" s="64"/>
      <c r="AK780" s="64"/>
      <c r="AL780" s="64"/>
      <c r="AM780" s="80" t="str">
        <f>IFERROR((Tablas!$C$1*VLOOKUP(AH780, tipo_control, 2, 0)+Tablas!$E$1*VLOOKUP(AI780, nat_control, 2, 0)+Tablas!$G$1*VLOOKUP(AJ780, ev_control, 2, 0)+Tablas!$I$1*VLOOKUP(AK780, frec_control, 2, 0)+Tablas!$K$1*VLOOKUP(AL780, doc_control, 2, 0))*0.1*peso_dis, "")</f>
        <v/>
      </c>
      <c r="AN780" s="64"/>
      <c r="AO780" s="64"/>
      <c r="AP780" s="64"/>
      <c r="AQ780" s="80" t="str">
        <f>IFERROR((Tablas!$C$9*VLOOKUP(AN780, amb_control, 2, 0)+Tablas!$E$9*VLOOKUP(AO780, ejec_control, 2, 0)+Tablas!$G$9*VLOOKUP(AP780, cub_control, 2, 0))*0.1*peso_ejec, "")</f>
        <v/>
      </c>
      <c r="AR780" s="91" t="str">
        <f t="shared" si="1319"/>
        <v/>
      </c>
      <c r="AS780" s="85" t="str">
        <f t="shared" si="1251"/>
        <v/>
      </c>
      <c r="AT780" s="85" t="str">
        <f t="shared" si="1252"/>
        <v/>
      </c>
      <c r="AU780" s="85" t="str">
        <f>IF(AR780&lt;Tablas!$G$19, 0, IF(AND(AR780&gt;=Tablas!$G$19, AR780&lt;Tablas!$G$20), 1,  IF(AND(AR780&gt;=Tablas!$G$20, AR780&lt;Tablas!$G$21), 2,  IF(AND(AR780&gt;=Tablas!$G$21, AR780&lt;=Tablas!$G$22), 3,  ""))))</f>
        <v/>
      </c>
      <c r="AV780" s="85" t="str">
        <f t="shared" si="1320"/>
        <v/>
      </c>
      <c r="AW780" s="101" t="str">
        <f t="shared" si="1321"/>
        <v/>
      </c>
      <c r="AX780" s="177"/>
      <c r="AY780" s="169"/>
      <c r="AZ780" s="158"/>
      <c r="BA780" s="169"/>
      <c r="BB780" s="182"/>
      <c r="BC780" s="182"/>
      <c r="BD780" s="185"/>
      <c r="BE780" s="185"/>
      <c r="BF780" s="158"/>
      <c r="BG780" s="191"/>
    </row>
    <row r="781" spans="1:59" ht="15.75" thickBot="1" x14ac:dyDescent="0.3">
      <c r="A781" s="167"/>
      <c r="B781" s="167"/>
      <c r="C781" s="161"/>
      <c r="D781" s="160"/>
      <c r="E781" s="162"/>
      <c r="F781" s="165"/>
      <c r="G781" s="161"/>
      <c r="H781" s="161"/>
      <c r="I781" s="161"/>
      <c r="J781" s="161"/>
      <c r="K781" s="161"/>
      <c r="L781" s="166"/>
      <c r="M781" s="166"/>
      <c r="N781" s="166"/>
      <c r="O781" s="166"/>
      <c r="P781" s="166"/>
      <c r="Q781" s="166"/>
      <c r="R781" s="166"/>
      <c r="S781" s="149"/>
      <c r="T781" s="149"/>
      <c r="U781" s="149"/>
      <c r="V781" s="149"/>
      <c r="W781" s="149"/>
      <c r="X781" s="165"/>
      <c r="Y781" s="165"/>
      <c r="Z781" s="172"/>
      <c r="AA781" s="188"/>
      <c r="AB781" s="172"/>
      <c r="AC781" s="172"/>
      <c r="AD781" s="175"/>
      <c r="AE781" s="66" t="s">
        <v>154</v>
      </c>
      <c r="AF781" s="134"/>
      <c r="AG781" s="67"/>
      <c r="AH781" s="69"/>
      <c r="AI781" s="69"/>
      <c r="AJ781" s="69"/>
      <c r="AK781" s="69"/>
      <c r="AL781" s="69"/>
      <c r="AM781" s="81" t="str">
        <f>IFERROR((Tablas!$C$1*VLOOKUP(AH781, tipo_control, 2, 0)+Tablas!$E$1*VLOOKUP(AI781, nat_control, 2, 0)+Tablas!$G$1*VLOOKUP(AJ781, ev_control, 2, 0)+Tablas!$I$1*VLOOKUP(AK781, frec_control, 2, 0)+Tablas!$K$1*VLOOKUP(AL781, doc_control, 2, 0))*0.1*peso_dis, "")</f>
        <v/>
      </c>
      <c r="AN781" s="69"/>
      <c r="AO781" s="69"/>
      <c r="AP781" s="69"/>
      <c r="AQ781" s="81" t="str">
        <f>IFERROR((Tablas!$C$9*VLOOKUP(AN781, amb_control, 2, 0)+Tablas!$E$9*VLOOKUP(AO781, ejec_control, 2, 0)+Tablas!$G$9*VLOOKUP(AP781, cub_control, 2, 0))*0.1*peso_ejec, "")</f>
        <v/>
      </c>
      <c r="AR781" s="93" t="str">
        <f t="shared" si="1319"/>
        <v/>
      </c>
      <c r="AS781" s="94" t="str">
        <f t="shared" si="1251"/>
        <v/>
      </c>
      <c r="AT781" s="94" t="str">
        <f t="shared" si="1252"/>
        <v/>
      </c>
      <c r="AU781" s="94" t="str">
        <f>IF(AR781&lt;Tablas!$G$19, 0, IF(AND(AR781&gt;=Tablas!$G$19, AR781&lt;Tablas!$G$20), 1,  IF(AND(AR781&gt;=Tablas!$G$20, AR781&lt;Tablas!$G$21), 2,  IF(AND(AR781&gt;=Tablas!$G$21, AR781&lt;=Tablas!$G$22), 3,  ""))))</f>
        <v/>
      </c>
      <c r="AV781" s="94" t="str">
        <f t="shared" si="1320"/>
        <v/>
      </c>
      <c r="AW781" s="102" t="str">
        <f t="shared" si="1321"/>
        <v/>
      </c>
      <c r="AX781" s="157"/>
      <c r="AY781" s="170"/>
      <c r="AZ781" s="179"/>
      <c r="BA781" s="170"/>
      <c r="BB781" s="182"/>
      <c r="BC781" s="182"/>
      <c r="BD781" s="185"/>
      <c r="BE781" s="185"/>
      <c r="BF781" s="159"/>
      <c r="BG781" s="191"/>
    </row>
    <row r="782" spans="1:59" x14ac:dyDescent="0.25">
      <c r="A782" s="167"/>
      <c r="B782" s="167"/>
      <c r="C782" s="161" t="s">
        <v>20</v>
      </c>
      <c r="D782" s="160" t="s">
        <v>158</v>
      </c>
      <c r="E782" s="162"/>
      <c r="F782" s="163" t="str">
        <f t="shared" si="1243"/>
        <v/>
      </c>
      <c r="G782" s="149"/>
      <c r="H782" s="149"/>
      <c r="I782" s="149"/>
      <c r="J782" s="149"/>
      <c r="K782" s="149"/>
      <c r="L782" s="165" t="str">
        <f t="shared" ref="L782" si="1352">IFERROR(VLOOKUP(G782, tabla02, 2, 0), "")</f>
        <v/>
      </c>
      <c r="M782" s="165" t="str">
        <f t="shared" ref="M782" si="1353">IFERROR(VLOOKUP(H782, tabla02, 2, 0), "")</f>
        <v/>
      </c>
      <c r="N782" s="165" t="str">
        <f t="shared" ref="N782" si="1354">IFERROR(VLOOKUP(I782, tabla02, 2, 0), "")</f>
        <v/>
      </c>
      <c r="O782" s="165" t="str">
        <f t="shared" ref="O782" si="1355">IFERROR(VLOOKUP(J782, tabla02, 2, 0), "")</f>
        <v/>
      </c>
      <c r="P782" s="165" t="str">
        <f t="shared" ref="P782" si="1356">IFERROR(VLOOKUP(K782, tabla02, 2, 0), "")</f>
        <v/>
      </c>
      <c r="Q782" s="165" t="str">
        <f t="shared" ref="Q782" si="1357">IF(SUM(L782:O786)=0, "", MAX(L782:P782))</f>
        <v/>
      </c>
      <c r="R782" s="165" t="str">
        <f>IFERROR(VLOOKUP(Q782, tabla04, 3, 0), "")</f>
        <v/>
      </c>
      <c r="S782" s="148"/>
      <c r="T782" s="148"/>
      <c r="U782" s="148"/>
      <c r="V782" s="148"/>
      <c r="W782" s="148"/>
      <c r="X782" s="163" t="str">
        <f>IFERROR(VLOOKUP(CONCATENATE(F782, "-", Q782), cuadrante_sev, 3, 0), "")</f>
        <v/>
      </c>
      <c r="Y782" s="163" t="str">
        <f t="shared" ref="Y782" si="1358">IFERROR(IF(X782="Baja", 1, IF(X782="Moderada", 2, IF(X782="Alta", 3, IF(X782="Extrema", 4, "")))), "")</f>
        <v/>
      </c>
      <c r="Z782" s="172"/>
      <c r="AA782" s="188"/>
      <c r="AB782" s="172"/>
      <c r="AC782" s="172"/>
      <c r="AD782" s="175"/>
      <c r="AE782" s="70" t="s">
        <v>113</v>
      </c>
      <c r="AF782" s="135"/>
      <c r="AG782" s="74"/>
      <c r="AH782" s="72"/>
      <c r="AI782" s="72"/>
      <c r="AJ782" s="72"/>
      <c r="AK782" s="72"/>
      <c r="AL782" s="72"/>
      <c r="AM782" s="82" t="str">
        <f>IFERROR((Tablas!$C$1*VLOOKUP(AH782, tipo_control, 2, 0)+Tablas!$E$1*VLOOKUP(AI782, nat_control, 2, 0)+Tablas!$G$1*VLOOKUP(AJ782, ev_control, 2, 0)+Tablas!$I$1*VLOOKUP(AK782, frec_control, 2, 0)+Tablas!$K$1*VLOOKUP(AL782, doc_control, 2, 0))*0.1*peso_dis, "")</f>
        <v/>
      </c>
      <c r="AN782" s="72"/>
      <c r="AO782" s="72"/>
      <c r="AP782" s="72"/>
      <c r="AQ782" s="82" t="str">
        <f>IFERROR((Tablas!$C$9*VLOOKUP(AN782, amb_control, 2, 0)+Tablas!$E$9*VLOOKUP(AO782, ejec_control, 2, 0)+Tablas!$G$9*VLOOKUP(AP782, cub_control, 2, 0))*0.1*peso_ejec, "")</f>
        <v/>
      </c>
      <c r="AR782" s="96" t="str">
        <f t="shared" si="1319"/>
        <v/>
      </c>
      <c r="AS782" s="97" t="str">
        <f t="shared" si="1251"/>
        <v/>
      </c>
      <c r="AT782" s="87" t="str">
        <f t="shared" si="1252"/>
        <v/>
      </c>
      <c r="AU782" s="97" t="str">
        <f>IF(AR782&lt;Tablas!$G$19, 0, IF(AND(AR782&gt;=Tablas!$G$19, AR782&lt;Tablas!$G$20), 1,  IF(AND(AR782&gt;=Tablas!$G$20, AR782&lt;Tablas!$G$21), 2,  IF(AND(AR782&gt;=Tablas!$G$21, AR782&lt;=Tablas!$G$22), 3,  ""))))</f>
        <v/>
      </c>
      <c r="AV782" s="97" t="str">
        <f t="shared" si="1320"/>
        <v/>
      </c>
      <c r="AW782" s="103" t="str">
        <f t="shared" si="1321"/>
        <v/>
      </c>
      <c r="AX782" s="176" t="str">
        <f t="shared" ref="AX782" si="1359">IFERROR(VLOOKUP(AY782, tabla04, 2, 0), "")</f>
        <v/>
      </c>
      <c r="AY782" s="168" t="str">
        <f>IF(F782="", "", IF((F782-MAX(AV782:AV786))&lt;=0, 1, F782-MAX(AV782:AV786)))</f>
        <v/>
      </c>
      <c r="AZ782" s="178" t="str">
        <f t="shared" ref="AZ782" si="1360">IFERROR(VLOOKUP(BA782, tabla04, 3, 0), "")</f>
        <v/>
      </c>
      <c r="BA782" s="168" t="str">
        <f>IF(Q782="", "", IF((Q782-MAX(AW782:AW786))&lt;=0, 1, Q782-MAX(AW782:AW786)))</f>
        <v/>
      </c>
      <c r="BB782" s="182"/>
      <c r="BC782" s="182"/>
      <c r="BD782" s="185"/>
      <c r="BE782" s="185"/>
      <c r="BF782" s="158" t="str">
        <f t="shared" ref="BF782:BF784" si="1361">IFERROR(VLOOKUP(CONCATENATE(AY782, "-", BA782), cuadrante_sev, 3, 0), "")</f>
        <v/>
      </c>
      <c r="BG782" s="191"/>
    </row>
    <row r="783" spans="1:59" x14ac:dyDescent="0.25">
      <c r="A783" s="167"/>
      <c r="B783" s="167"/>
      <c r="C783" s="161"/>
      <c r="D783" s="160"/>
      <c r="E783" s="162"/>
      <c r="F783" s="164"/>
      <c r="G783" s="161"/>
      <c r="H783" s="161"/>
      <c r="I783" s="161"/>
      <c r="J783" s="161"/>
      <c r="K783" s="161"/>
      <c r="L783" s="166"/>
      <c r="M783" s="166"/>
      <c r="N783" s="166"/>
      <c r="O783" s="166"/>
      <c r="P783" s="166"/>
      <c r="Q783" s="166"/>
      <c r="R783" s="166"/>
      <c r="S783" s="167"/>
      <c r="T783" s="167"/>
      <c r="U783" s="167"/>
      <c r="V783" s="167"/>
      <c r="W783" s="167"/>
      <c r="X783" s="164"/>
      <c r="Y783" s="164"/>
      <c r="Z783" s="172"/>
      <c r="AA783" s="188"/>
      <c r="AB783" s="172"/>
      <c r="AC783" s="172"/>
      <c r="AD783" s="175"/>
      <c r="AE783" s="62" t="s">
        <v>114</v>
      </c>
      <c r="AF783" s="133"/>
      <c r="AG783" s="65"/>
      <c r="AH783" s="64"/>
      <c r="AI783" s="64"/>
      <c r="AJ783" s="64"/>
      <c r="AK783" s="64"/>
      <c r="AL783" s="64"/>
      <c r="AM783" s="80" t="str">
        <f>IFERROR((Tablas!$C$1*VLOOKUP(AH783, tipo_control, 2, 0)+Tablas!$E$1*VLOOKUP(AI783, nat_control, 2, 0)+Tablas!$G$1*VLOOKUP(AJ783, ev_control, 2, 0)+Tablas!$I$1*VLOOKUP(AK783, frec_control, 2, 0)+Tablas!$K$1*VLOOKUP(AL783, doc_control, 2, 0))*0.1*peso_dis, "")</f>
        <v/>
      </c>
      <c r="AN783" s="64"/>
      <c r="AO783" s="64"/>
      <c r="AP783" s="64"/>
      <c r="AQ783" s="80" t="str">
        <f>IFERROR((Tablas!$C$9*VLOOKUP(AN783, amb_control, 2, 0)+Tablas!$E$9*VLOOKUP(AO783, ejec_control, 2, 0)+Tablas!$G$9*VLOOKUP(AP783, cub_control, 2, 0))*0.1*peso_ejec, "")</f>
        <v/>
      </c>
      <c r="AR783" s="91" t="str">
        <f t="shared" si="1319"/>
        <v/>
      </c>
      <c r="AS783" s="85" t="str">
        <f t="shared" si="1251"/>
        <v/>
      </c>
      <c r="AT783" s="85" t="str">
        <f t="shared" si="1252"/>
        <v/>
      </c>
      <c r="AU783" s="85" t="str">
        <f>IF(AR783&lt;Tablas!$G$19, 0, IF(AND(AR783&gt;=Tablas!$G$19, AR783&lt;Tablas!$G$20), 1,  IF(AND(AR783&gt;=Tablas!$G$20, AR783&lt;Tablas!$G$21), 2,  IF(AND(AR783&gt;=Tablas!$G$21, AR783&lt;=Tablas!$G$22), 3,  ""))))</f>
        <v/>
      </c>
      <c r="AV783" s="85" t="str">
        <f t="shared" si="1320"/>
        <v/>
      </c>
      <c r="AW783" s="101" t="str">
        <f t="shared" si="1321"/>
        <v/>
      </c>
      <c r="AX783" s="177"/>
      <c r="AY783" s="169"/>
      <c r="AZ783" s="158"/>
      <c r="BA783" s="169"/>
      <c r="BB783" s="182"/>
      <c r="BC783" s="182"/>
      <c r="BD783" s="185"/>
      <c r="BE783" s="185"/>
      <c r="BF783" s="158" t="str">
        <f t="shared" si="1361"/>
        <v/>
      </c>
      <c r="BG783" s="191"/>
    </row>
    <row r="784" spans="1:59" x14ac:dyDescent="0.25">
      <c r="A784" s="167"/>
      <c r="B784" s="167"/>
      <c r="C784" s="161"/>
      <c r="D784" s="160"/>
      <c r="E784" s="162"/>
      <c r="F784" s="164"/>
      <c r="G784" s="161"/>
      <c r="H784" s="161"/>
      <c r="I784" s="161"/>
      <c r="J784" s="161"/>
      <c r="K784" s="161"/>
      <c r="L784" s="166"/>
      <c r="M784" s="166"/>
      <c r="N784" s="166"/>
      <c r="O784" s="166"/>
      <c r="P784" s="166"/>
      <c r="Q784" s="166"/>
      <c r="R784" s="166"/>
      <c r="S784" s="167"/>
      <c r="T784" s="167"/>
      <c r="U784" s="167"/>
      <c r="V784" s="167"/>
      <c r="W784" s="167"/>
      <c r="X784" s="164"/>
      <c r="Y784" s="164"/>
      <c r="Z784" s="172"/>
      <c r="AA784" s="188"/>
      <c r="AB784" s="172"/>
      <c r="AC784" s="172"/>
      <c r="AD784" s="175"/>
      <c r="AE784" s="62" t="s">
        <v>115</v>
      </c>
      <c r="AF784" s="133"/>
      <c r="AG784" s="65"/>
      <c r="AH784" s="64"/>
      <c r="AI784" s="64"/>
      <c r="AJ784" s="64"/>
      <c r="AK784" s="64"/>
      <c r="AL784" s="64"/>
      <c r="AM784" s="80" t="str">
        <f>IFERROR((Tablas!$C$1*VLOOKUP(AH784, tipo_control, 2, 0)+Tablas!$E$1*VLOOKUP(AI784, nat_control, 2, 0)+Tablas!$G$1*VLOOKUP(AJ784, ev_control, 2, 0)+Tablas!$I$1*VLOOKUP(AK784, frec_control, 2, 0)+Tablas!$K$1*VLOOKUP(AL784, doc_control, 2, 0))*0.1*peso_dis, "")</f>
        <v/>
      </c>
      <c r="AN784" s="64"/>
      <c r="AO784" s="64"/>
      <c r="AP784" s="64"/>
      <c r="AQ784" s="80" t="str">
        <f>IFERROR((Tablas!$C$9*VLOOKUP(AN784, amb_control, 2, 0)+Tablas!$E$9*VLOOKUP(AO784, ejec_control, 2, 0)+Tablas!$G$9*VLOOKUP(AP784, cub_control, 2, 0))*0.1*peso_ejec, "")</f>
        <v/>
      </c>
      <c r="AR784" s="91" t="str">
        <f t="shared" si="1319"/>
        <v/>
      </c>
      <c r="AS784" s="85" t="str">
        <f t="shared" si="1251"/>
        <v/>
      </c>
      <c r="AT784" s="85" t="str">
        <f t="shared" si="1252"/>
        <v/>
      </c>
      <c r="AU784" s="85" t="str">
        <f>IF(AR784&lt;Tablas!$G$19, 0, IF(AND(AR784&gt;=Tablas!$G$19, AR784&lt;Tablas!$G$20), 1,  IF(AND(AR784&gt;=Tablas!$G$20, AR784&lt;Tablas!$G$21), 2,  IF(AND(AR784&gt;=Tablas!$G$21, AR784&lt;=Tablas!$G$22), 3,  ""))))</f>
        <v/>
      </c>
      <c r="AV784" s="85" t="str">
        <f t="shared" si="1320"/>
        <v/>
      </c>
      <c r="AW784" s="101" t="str">
        <f t="shared" si="1321"/>
        <v/>
      </c>
      <c r="AX784" s="177"/>
      <c r="AY784" s="169"/>
      <c r="AZ784" s="158"/>
      <c r="BA784" s="169"/>
      <c r="BB784" s="182"/>
      <c r="BC784" s="182"/>
      <c r="BD784" s="185"/>
      <c r="BE784" s="185"/>
      <c r="BF784" s="158" t="str">
        <f t="shared" si="1361"/>
        <v/>
      </c>
      <c r="BG784" s="191"/>
    </row>
    <row r="785" spans="1:59" x14ac:dyDescent="0.25">
      <c r="A785" s="167"/>
      <c r="B785" s="167"/>
      <c r="C785" s="161"/>
      <c r="D785" s="160"/>
      <c r="E785" s="162"/>
      <c r="F785" s="164"/>
      <c r="G785" s="161"/>
      <c r="H785" s="161"/>
      <c r="I785" s="161"/>
      <c r="J785" s="161"/>
      <c r="K785" s="161"/>
      <c r="L785" s="166"/>
      <c r="M785" s="166"/>
      <c r="N785" s="166"/>
      <c r="O785" s="166"/>
      <c r="P785" s="166"/>
      <c r="Q785" s="166"/>
      <c r="R785" s="166"/>
      <c r="S785" s="167"/>
      <c r="T785" s="167"/>
      <c r="U785" s="167"/>
      <c r="V785" s="167"/>
      <c r="W785" s="167"/>
      <c r="X785" s="164"/>
      <c r="Y785" s="164"/>
      <c r="Z785" s="172"/>
      <c r="AA785" s="188"/>
      <c r="AB785" s="172"/>
      <c r="AC785" s="172"/>
      <c r="AD785" s="175"/>
      <c r="AE785" s="62" t="s">
        <v>153</v>
      </c>
      <c r="AF785" s="133"/>
      <c r="AG785" s="65"/>
      <c r="AH785" s="64"/>
      <c r="AI785" s="64"/>
      <c r="AJ785" s="64"/>
      <c r="AK785" s="64"/>
      <c r="AL785" s="64"/>
      <c r="AM785" s="80" t="str">
        <f>IFERROR((Tablas!$C$1*VLOOKUP(AH785, tipo_control, 2, 0)+Tablas!$E$1*VLOOKUP(AI785, nat_control, 2, 0)+Tablas!$G$1*VLOOKUP(AJ785, ev_control, 2, 0)+Tablas!$I$1*VLOOKUP(AK785, frec_control, 2, 0)+Tablas!$K$1*VLOOKUP(AL785, doc_control, 2, 0))*0.1*peso_dis, "")</f>
        <v/>
      </c>
      <c r="AN785" s="64"/>
      <c r="AO785" s="64"/>
      <c r="AP785" s="64"/>
      <c r="AQ785" s="80" t="str">
        <f>IFERROR((Tablas!$C$9*VLOOKUP(AN785, amb_control, 2, 0)+Tablas!$E$9*VLOOKUP(AO785, ejec_control, 2, 0)+Tablas!$G$9*VLOOKUP(AP785, cub_control, 2, 0))*0.1*peso_ejec, "")</f>
        <v/>
      </c>
      <c r="AR785" s="91" t="str">
        <f t="shared" si="1319"/>
        <v/>
      </c>
      <c r="AS785" s="85" t="str">
        <f t="shared" si="1251"/>
        <v/>
      </c>
      <c r="AT785" s="85" t="str">
        <f t="shared" si="1252"/>
        <v/>
      </c>
      <c r="AU785" s="85" t="str">
        <f>IF(AR785&lt;Tablas!$G$19, 0, IF(AND(AR785&gt;=Tablas!$G$19, AR785&lt;Tablas!$G$20), 1,  IF(AND(AR785&gt;=Tablas!$G$20, AR785&lt;Tablas!$G$21), 2,  IF(AND(AR785&gt;=Tablas!$G$21, AR785&lt;=Tablas!$G$22), 3,  ""))))</f>
        <v/>
      </c>
      <c r="AV785" s="85" t="str">
        <f t="shared" si="1320"/>
        <v/>
      </c>
      <c r="AW785" s="101" t="str">
        <f t="shared" si="1321"/>
        <v/>
      </c>
      <c r="AX785" s="177"/>
      <c r="AY785" s="169"/>
      <c r="AZ785" s="158"/>
      <c r="BA785" s="169"/>
      <c r="BB785" s="182"/>
      <c r="BC785" s="182"/>
      <c r="BD785" s="185"/>
      <c r="BE785" s="185"/>
      <c r="BF785" s="158"/>
      <c r="BG785" s="191"/>
    </row>
    <row r="786" spans="1:59" ht="15.75" thickBot="1" x14ac:dyDescent="0.3">
      <c r="A786" s="167"/>
      <c r="B786" s="167"/>
      <c r="C786" s="161"/>
      <c r="D786" s="160"/>
      <c r="E786" s="162"/>
      <c r="F786" s="165"/>
      <c r="G786" s="161"/>
      <c r="H786" s="161"/>
      <c r="I786" s="161"/>
      <c r="J786" s="161"/>
      <c r="K786" s="161"/>
      <c r="L786" s="166"/>
      <c r="M786" s="166"/>
      <c r="N786" s="166"/>
      <c r="O786" s="166"/>
      <c r="P786" s="166"/>
      <c r="Q786" s="166"/>
      <c r="R786" s="166"/>
      <c r="S786" s="149"/>
      <c r="T786" s="149"/>
      <c r="U786" s="149"/>
      <c r="V786" s="149"/>
      <c r="W786" s="149"/>
      <c r="X786" s="165"/>
      <c r="Y786" s="165"/>
      <c r="Z786" s="172"/>
      <c r="AA786" s="188"/>
      <c r="AB786" s="172"/>
      <c r="AC786" s="172"/>
      <c r="AD786" s="175"/>
      <c r="AE786" s="66" t="s">
        <v>154</v>
      </c>
      <c r="AF786" s="134"/>
      <c r="AG786" s="67"/>
      <c r="AH786" s="69"/>
      <c r="AI786" s="69"/>
      <c r="AJ786" s="69"/>
      <c r="AK786" s="69"/>
      <c r="AL786" s="69"/>
      <c r="AM786" s="81" t="str">
        <f>IFERROR((Tablas!$C$1*VLOOKUP(AH786, tipo_control, 2, 0)+Tablas!$E$1*VLOOKUP(AI786, nat_control, 2, 0)+Tablas!$G$1*VLOOKUP(AJ786, ev_control, 2, 0)+Tablas!$I$1*VLOOKUP(AK786, frec_control, 2, 0)+Tablas!$K$1*VLOOKUP(AL786, doc_control, 2, 0))*0.1*peso_dis, "")</f>
        <v/>
      </c>
      <c r="AN786" s="69"/>
      <c r="AO786" s="69"/>
      <c r="AP786" s="69"/>
      <c r="AQ786" s="81" t="str">
        <f>IFERROR((Tablas!$C$9*VLOOKUP(AN786, amb_control, 2, 0)+Tablas!$E$9*VLOOKUP(AO786, ejec_control, 2, 0)+Tablas!$G$9*VLOOKUP(AP786, cub_control, 2, 0))*0.1*peso_ejec, "")</f>
        <v/>
      </c>
      <c r="AR786" s="93" t="str">
        <f t="shared" si="1319"/>
        <v/>
      </c>
      <c r="AS786" s="94" t="str">
        <f t="shared" ref="AS786:AS849" si="1362">IFERROR(VLOOKUP(AH786, tabla03, 12, 0), "")</f>
        <v/>
      </c>
      <c r="AT786" s="94" t="str">
        <f t="shared" ref="AT786:AT849" si="1363">IFERROR(VLOOKUP(AH786, tabla03, 13, 0), "")</f>
        <v/>
      </c>
      <c r="AU786" s="94" t="str">
        <f>IF(AR786&lt;Tablas!$G$19, 0, IF(AND(AR786&gt;=Tablas!$G$19, AR786&lt;Tablas!$G$20), 1,  IF(AND(AR786&gt;=Tablas!$G$20, AR786&lt;Tablas!$G$21), 2,  IF(AND(AR786&gt;=Tablas!$G$21, AR786&lt;=Tablas!$G$22), 3,  ""))))</f>
        <v/>
      </c>
      <c r="AV786" s="94" t="str">
        <f t="shared" si="1320"/>
        <v/>
      </c>
      <c r="AW786" s="102" t="str">
        <f t="shared" si="1321"/>
        <v/>
      </c>
      <c r="AX786" s="157"/>
      <c r="AY786" s="170"/>
      <c r="AZ786" s="179"/>
      <c r="BA786" s="170"/>
      <c r="BB786" s="182"/>
      <c r="BC786" s="182"/>
      <c r="BD786" s="185"/>
      <c r="BE786" s="185"/>
      <c r="BF786" s="159"/>
      <c r="BG786" s="191"/>
    </row>
    <row r="787" spans="1:59" x14ac:dyDescent="0.25">
      <c r="A787" s="167"/>
      <c r="B787" s="167"/>
      <c r="C787" s="161" t="s">
        <v>180</v>
      </c>
      <c r="D787" s="160" t="s">
        <v>158</v>
      </c>
      <c r="E787" s="162"/>
      <c r="F787" s="163" t="str">
        <f t="shared" ref="F787:F847" si="1364">IFERROR(VLOOKUP(E787, tabla01, 3, 0), "")</f>
        <v/>
      </c>
      <c r="G787" s="149"/>
      <c r="H787" s="149"/>
      <c r="I787" s="149"/>
      <c r="J787" s="149"/>
      <c r="K787" s="149"/>
      <c r="L787" s="165" t="str">
        <f t="shared" ref="L787" si="1365">IFERROR(VLOOKUP(G787, tabla02, 2, 0), "")</f>
        <v/>
      </c>
      <c r="M787" s="165" t="str">
        <f t="shared" ref="M787" si="1366">IFERROR(VLOOKUP(H787, tabla02, 2, 0), "")</f>
        <v/>
      </c>
      <c r="N787" s="165" t="str">
        <f t="shared" ref="N787" si="1367">IFERROR(VLOOKUP(I787, tabla02, 2, 0), "")</f>
        <v/>
      </c>
      <c r="O787" s="165" t="str">
        <f t="shared" ref="O787" si="1368">IFERROR(VLOOKUP(J787, tabla02, 2, 0), "")</f>
        <v/>
      </c>
      <c r="P787" s="165" t="str">
        <f t="shared" ref="P787" si="1369">IFERROR(VLOOKUP(K787, tabla02, 2, 0), "")</f>
        <v/>
      </c>
      <c r="Q787" s="165" t="str">
        <f t="shared" ref="Q787" si="1370">IF(SUM(L787:O791)=0, "", MAX(L787:P787))</f>
        <v/>
      </c>
      <c r="R787" s="165" t="str">
        <f>IFERROR(VLOOKUP(Q787, tabla04, 3, 0), "")</f>
        <v/>
      </c>
      <c r="S787" s="148"/>
      <c r="T787" s="148"/>
      <c r="U787" s="148"/>
      <c r="V787" s="148"/>
      <c r="W787" s="148"/>
      <c r="X787" s="163" t="str">
        <f>IFERROR(VLOOKUP(CONCATENATE(F787, "-", Q787), cuadrante_sev, 3, 0), "")</f>
        <v/>
      </c>
      <c r="Y787" s="163" t="str">
        <f t="shared" ref="Y787" si="1371">IFERROR(IF(X787="Baja", 1, IF(X787="Moderada", 2, IF(X787="Alta", 3, IF(X787="Extrema", 4, "")))), "")</f>
        <v/>
      </c>
      <c r="Z787" s="172"/>
      <c r="AA787" s="188"/>
      <c r="AB787" s="172"/>
      <c r="AC787" s="172"/>
      <c r="AD787" s="175"/>
      <c r="AE787" s="70" t="s">
        <v>113</v>
      </c>
      <c r="AF787" s="135"/>
      <c r="AG787" s="74"/>
      <c r="AH787" s="72"/>
      <c r="AI787" s="72"/>
      <c r="AJ787" s="72"/>
      <c r="AK787" s="72"/>
      <c r="AL787" s="72"/>
      <c r="AM787" s="82" t="str">
        <f>IFERROR((Tablas!$C$1*VLOOKUP(AH787, tipo_control, 2, 0)+Tablas!$E$1*VLOOKUP(AI787, nat_control, 2, 0)+Tablas!$G$1*VLOOKUP(AJ787, ev_control, 2, 0)+Tablas!$I$1*VLOOKUP(AK787, frec_control, 2, 0)+Tablas!$K$1*VLOOKUP(AL787, doc_control, 2, 0))*0.1*peso_dis, "")</f>
        <v/>
      </c>
      <c r="AN787" s="72"/>
      <c r="AO787" s="72"/>
      <c r="AP787" s="72"/>
      <c r="AQ787" s="82" t="str">
        <f>IFERROR((Tablas!$C$9*VLOOKUP(AN787, amb_control, 2, 0)+Tablas!$E$9*VLOOKUP(AO787, ejec_control, 2, 0)+Tablas!$G$9*VLOOKUP(AP787, cub_control, 2, 0))*0.1*peso_ejec, "")</f>
        <v/>
      </c>
      <c r="AR787" s="96" t="str">
        <f t="shared" si="1319"/>
        <v/>
      </c>
      <c r="AS787" s="97" t="str">
        <f t="shared" si="1362"/>
        <v/>
      </c>
      <c r="AT787" s="87" t="str">
        <f t="shared" si="1363"/>
        <v/>
      </c>
      <c r="AU787" s="97" t="str">
        <f>IF(AR787&lt;Tablas!$G$19, 0, IF(AND(AR787&gt;=Tablas!$G$19, AR787&lt;Tablas!$G$20), 1,  IF(AND(AR787&gt;=Tablas!$G$20, AR787&lt;Tablas!$G$21), 2,  IF(AND(AR787&gt;=Tablas!$G$21, AR787&lt;=Tablas!$G$22), 3,  ""))))</f>
        <v/>
      </c>
      <c r="AV787" s="97" t="str">
        <f t="shared" si="1320"/>
        <v/>
      </c>
      <c r="AW787" s="103" t="str">
        <f t="shared" si="1321"/>
        <v/>
      </c>
      <c r="AX787" s="176" t="str">
        <f t="shared" ref="AX787" si="1372">IFERROR(VLOOKUP(AY787, tabla04, 2, 0), "")</f>
        <v/>
      </c>
      <c r="AY787" s="168" t="str">
        <f>IF(F787="", "", IF((F787-MAX(AV787:AV791))&lt;=0, 1, F787-MAX(AV787:AV791)))</f>
        <v/>
      </c>
      <c r="AZ787" s="178" t="str">
        <f t="shared" ref="AZ787" si="1373">IFERROR(VLOOKUP(BA787, tabla04, 3, 0), "")</f>
        <v/>
      </c>
      <c r="BA787" s="168" t="str">
        <f>IF(Q787="", "", IF((Q787-MAX(AW787:AW791))&lt;=0, 1, Q787-MAX(AW787:AW791)))</f>
        <v/>
      </c>
      <c r="BB787" s="182"/>
      <c r="BC787" s="182"/>
      <c r="BD787" s="185"/>
      <c r="BE787" s="185"/>
      <c r="BF787" s="158" t="str">
        <f t="shared" ref="BF787:BF789" si="1374">IFERROR(VLOOKUP(CONCATENATE(AY787, "-", BA787), cuadrante_sev, 3, 0), "")</f>
        <v/>
      </c>
      <c r="BG787" s="191"/>
    </row>
    <row r="788" spans="1:59" x14ac:dyDescent="0.25">
      <c r="A788" s="167"/>
      <c r="B788" s="167"/>
      <c r="C788" s="161"/>
      <c r="D788" s="160"/>
      <c r="E788" s="162"/>
      <c r="F788" s="164"/>
      <c r="G788" s="161"/>
      <c r="H788" s="161"/>
      <c r="I788" s="161"/>
      <c r="J788" s="161"/>
      <c r="K788" s="161"/>
      <c r="L788" s="166"/>
      <c r="M788" s="166"/>
      <c r="N788" s="166"/>
      <c r="O788" s="166"/>
      <c r="P788" s="166"/>
      <c r="Q788" s="166"/>
      <c r="R788" s="166"/>
      <c r="S788" s="167"/>
      <c r="T788" s="167"/>
      <c r="U788" s="167"/>
      <c r="V788" s="167"/>
      <c r="W788" s="167"/>
      <c r="X788" s="164"/>
      <c r="Y788" s="164"/>
      <c r="Z788" s="172"/>
      <c r="AA788" s="188"/>
      <c r="AB788" s="172"/>
      <c r="AC788" s="172"/>
      <c r="AD788" s="175"/>
      <c r="AE788" s="62" t="s">
        <v>114</v>
      </c>
      <c r="AF788" s="133"/>
      <c r="AG788" s="65"/>
      <c r="AH788" s="64"/>
      <c r="AI788" s="64"/>
      <c r="AJ788" s="64"/>
      <c r="AK788" s="64"/>
      <c r="AL788" s="64"/>
      <c r="AM788" s="80" t="str">
        <f>IFERROR((Tablas!$C$1*VLOOKUP(AH788, tipo_control, 2, 0)+Tablas!$E$1*VLOOKUP(AI788, nat_control, 2, 0)+Tablas!$G$1*VLOOKUP(AJ788, ev_control, 2, 0)+Tablas!$I$1*VLOOKUP(AK788, frec_control, 2, 0)+Tablas!$K$1*VLOOKUP(AL788, doc_control, 2, 0))*0.1*peso_dis, "")</f>
        <v/>
      </c>
      <c r="AN788" s="64"/>
      <c r="AO788" s="64"/>
      <c r="AP788" s="64"/>
      <c r="AQ788" s="80" t="str">
        <f>IFERROR((Tablas!$C$9*VLOOKUP(AN788, amb_control, 2, 0)+Tablas!$E$9*VLOOKUP(AO788, ejec_control, 2, 0)+Tablas!$G$9*VLOOKUP(AP788, cub_control, 2, 0))*0.1*peso_ejec, "")</f>
        <v/>
      </c>
      <c r="AR788" s="91" t="str">
        <f t="shared" si="1319"/>
        <v/>
      </c>
      <c r="AS788" s="85" t="str">
        <f t="shared" si="1362"/>
        <v/>
      </c>
      <c r="AT788" s="85" t="str">
        <f t="shared" si="1363"/>
        <v/>
      </c>
      <c r="AU788" s="85" t="str">
        <f>IF(AR788&lt;Tablas!$G$19, 0, IF(AND(AR788&gt;=Tablas!$G$19, AR788&lt;Tablas!$G$20), 1,  IF(AND(AR788&gt;=Tablas!$G$20, AR788&lt;Tablas!$G$21), 2,  IF(AND(AR788&gt;=Tablas!$G$21, AR788&lt;=Tablas!$G$22), 3,  ""))))</f>
        <v/>
      </c>
      <c r="AV788" s="85" t="str">
        <f t="shared" si="1320"/>
        <v/>
      </c>
      <c r="AW788" s="101" t="str">
        <f t="shared" si="1321"/>
        <v/>
      </c>
      <c r="AX788" s="177"/>
      <c r="AY788" s="169"/>
      <c r="AZ788" s="158"/>
      <c r="BA788" s="169"/>
      <c r="BB788" s="182"/>
      <c r="BC788" s="182"/>
      <c r="BD788" s="185"/>
      <c r="BE788" s="185"/>
      <c r="BF788" s="158" t="str">
        <f t="shared" si="1374"/>
        <v/>
      </c>
      <c r="BG788" s="191"/>
    </row>
    <row r="789" spans="1:59" x14ac:dyDescent="0.25">
      <c r="A789" s="167"/>
      <c r="B789" s="167"/>
      <c r="C789" s="161"/>
      <c r="D789" s="160"/>
      <c r="E789" s="162"/>
      <c r="F789" s="164"/>
      <c r="G789" s="161"/>
      <c r="H789" s="161"/>
      <c r="I789" s="161"/>
      <c r="J789" s="161"/>
      <c r="K789" s="161"/>
      <c r="L789" s="166"/>
      <c r="M789" s="166"/>
      <c r="N789" s="166"/>
      <c r="O789" s="166"/>
      <c r="P789" s="166"/>
      <c r="Q789" s="166"/>
      <c r="R789" s="166"/>
      <c r="S789" s="167"/>
      <c r="T789" s="167"/>
      <c r="U789" s="167"/>
      <c r="V789" s="167"/>
      <c r="W789" s="167"/>
      <c r="X789" s="164"/>
      <c r="Y789" s="164"/>
      <c r="Z789" s="172"/>
      <c r="AA789" s="188"/>
      <c r="AB789" s="172"/>
      <c r="AC789" s="172"/>
      <c r="AD789" s="175"/>
      <c r="AE789" s="62" t="s">
        <v>115</v>
      </c>
      <c r="AF789" s="133"/>
      <c r="AG789" s="65"/>
      <c r="AH789" s="64"/>
      <c r="AI789" s="64"/>
      <c r="AJ789" s="64"/>
      <c r="AK789" s="64"/>
      <c r="AL789" s="64"/>
      <c r="AM789" s="80" t="str">
        <f>IFERROR((Tablas!$C$1*VLOOKUP(AH789, tipo_control, 2, 0)+Tablas!$E$1*VLOOKUP(AI789, nat_control, 2, 0)+Tablas!$G$1*VLOOKUP(AJ789, ev_control, 2, 0)+Tablas!$I$1*VLOOKUP(AK789, frec_control, 2, 0)+Tablas!$K$1*VLOOKUP(AL789, doc_control, 2, 0))*0.1*peso_dis, "")</f>
        <v/>
      </c>
      <c r="AN789" s="64"/>
      <c r="AO789" s="64"/>
      <c r="AP789" s="64"/>
      <c r="AQ789" s="80" t="str">
        <f>IFERROR((Tablas!$C$9*VLOOKUP(AN789, amb_control, 2, 0)+Tablas!$E$9*VLOOKUP(AO789, ejec_control, 2, 0)+Tablas!$G$9*VLOOKUP(AP789, cub_control, 2, 0))*0.1*peso_ejec, "")</f>
        <v/>
      </c>
      <c r="AR789" s="91" t="str">
        <f t="shared" si="1319"/>
        <v/>
      </c>
      <c r="AS789" s="85" t="str">
        <f t="shared" si="1362"/>
        <v/>
      </c>
      <c r="AT789" s="85" t="str">
        <f t="shared" si="1363"/>
        <v/>
      </c>
      <c r="AU789" s="85" t="str">
        <f>IF(AR789&lt;Tablas!$G$19, 0, IF(AND(AR789&gt;=Tablas!$G$19, AR789&lt;Tablas!$G$20), 1,  IF(AND(AR789&gt;=Tablas!$G$20, AR789&lt;Tablas!$G$21), 2,  IF(AND(AR789&gt;=Tablas!$G$21, AR789&lt;=Tablas!$G$22), 3,  ""))))</f>
        <v/>
      </c>
      <c r="AV789" s="85" t="str">
        <f t="shared" si="1320"/>
        <v/>
      </c>
      <c r="AW789" s="101" t="str">
        <f t="shared" si="1321"/>
        <v/>
      </c>
      <c r="AX789" s="177"/>
      <c r="AY789" s="169"/>
      <c r="AZ789" s="158"/>
      <c r="BA789" s="169"/>
      <c r="BB789" s="182"/>
      <c r="BC789" s="182"/>
      <c r="BD789" s="185"/>
      <c r="BE789" s="185"/>
      <c r="BF789" s="158" t="str">
        <f t="shared" si="1374"/>
        <v/>
      </c>
      <c r="BG789" s="191"/>
    </row>
    <row r="790" spans="1:59" x14ac:dyDescent="0.25">
      <c r="A790" s="167"/>
      <c r="B790" s="167"/>
      <c r="C790" s="161"/>
      <c r="D790" s="160"/>
      <c r="E790" s="162"/>
      <c r="F790" s="164"/>
      <c r="G790" s="161"/>
      <c r="H790" s="161"/>
      <c r="I790" s="161"/>
      <c r="J790" s="161"/>
      <c r="K790" s="161"/>
      <c r="L790" s="166"/>
      <c r="M790" s="166"/>
      <c r="N790" s="166"/>
      <c r="O790" s="166"/>
      <c r="P790" s="166"/>
      <c r="Q790" s="166"/>
      <c r="R790" s="166"/>
      <c r="S790" s="167"/>
      <c r="T790" s="167"/>
      <c r="U790" s="167"/>
      <c r="V790" s="167"/>
      <c r="W790" s="167"/>
      <c r="X790" s="164"/>
      <c r="Y790" s="164"/>
      <c r="Z790" s="172"/>
      <c r="AA790" s="188"/>
      <c r="AB790" s="172"/>
      <c r="AC790" s="172"/>
      <c r="AD790" s="175"/>
      <c r="AE790" s="62" t="s">
        <v>153</v>
      </c>
      <c r="AF790" s="133"/>
      <c r="AG790" s="65"/>
      <c r="AH790" s="64"/>
      <c r="AI790" s="64"/>
      <c r="AJ790" s="64"/>
      <c r="AK790" s="64"/>
      <c r="AL790" s="64"/>
      <c r="AM790" s="80" t="str">
        <f>IFERROR((Tablas!$C$1*VLOOKUP(AH790, tipo_control, 2, 0)+Tablas!$E$1*VLOOKUP(AI790, nat_control, 2, 0)+Tablas!$G$1*VLOOKUP(AJ790, ev_control, 2, 0)+Tablas!$I$1*VLOOKUP(AK790, frec_control, 2, 0)+Tablas!$K$1*VLOOKUP(AL790, doc_control, 2, 0))*0.1*peso_dis, "")</f>
        <v/>
      </c>
      <c r="AN790" s="64"/>
      <c r="AO790" s="64"/>
      <c r="AP790" s="64"/>
      <c r="AQ790" s="80" t="str">
        <f>IFERROR((Tablas!$C$9*VLOOKUP(AN790, amb_control, 2, 0)+Tablas!$E$9*VLOOKUP(AO790, ejec_control, 2, 0)+Tablas!$G$9*VLOOKUP(AP790, cub_control, 2, 0))*0.1*peso_ejec, "")</f>
        <v/>
      </c>
      <c r="AR790" s="91" t="str">
        <f t="shared" si="1319"/>
        <v/>
      </c>
      <c r="AS790" s="85" t="str">
        <f t="shared" si="1362"/>
        <v/>
      </c>
      <c r="AT790" s="85" t="str">
        <f t="shared" si="1363"/>
        <v/>
      </c>
      <c r="AU790" s="85" t="str">
        <f>IF(AR790&lt;Tablas!$G$19, 0, IF(AND(AR790&gt;=Tablas!$G$19, AR790&lt;Tablas!$G$20), 1,  IF(AND(AR790&gt;=Tablas!$G$20, AR790&lt;Tablas!$G$21), 2,  IF(AND(AR790&gt;=Tablas!$G$21, AR790&lt;=Tablas!$G$22), 3,  ""))))</f>
        <v/>
      </c>
      <c r="AV790" s="85" t="str">
        <f t="shared" si="1320"/>
        <v/>
      </c>
      <c r="AW790" s="101" t="str">
        <f t="shared" si="1321"/>
        <v/>
      </c>
      <c r="AX790" s="177"/>
      <c r="AY790" s="169"/>
      <c r="AZ790" s="158"/>
      <c r="BA790" s="169"/>
      <c r="BB790" s="182"/>
      <c r="BC790" s="182"/>
      <c r="BD790" s="185"/>
      <c r="BE790" s="185"/>
      <c r="BF790" s="158"/>
      <c r="BG790" s="191"/>
    </row>
    <row r="791" spans="1:59" ht="15.75" thickBot="1" x14ac:dyDescent="0.3">
      <c r="A791" s="167"/>
      <c r="B791" s="167"/>
      <c r="C791" s="161"/>
      <c r="D791" s="160"/>
      <c r="E791" s="162"/>
      <c r="F791" s="165"/>
      <c r="G791" s="161"/>
      <c r="H791" s="161"/>
      <c r="I791" s="161"/>
      <c r="J791" s="161"/>
      <c r="K791" s="161"/>
      <c r="L791" s="166"/>
      <c r="M791" s="166"/>
      <c r="N791" s="166"/>
      <c r="O791" s="166"/>
      <c r="P791" s="166"/>
      <c r="Q791" s="166"/>
      <c r="R791" s="166"/>
      <c r="S791" s="149"/>
      <c r="T791" s="149"/>
      <c r="U791" s="149"/>
      <c r="V791" s="149"/>
      <c r="W791" s="149"/>
      <c r="X791" s="165"/>
      <c r="Y791" s="165"/>
      <c r="Z791" s="172"/>
      <c r="AA791" s="188"/>
      <c r="AB791" s="172"/>
      <c r="AC791" s="172"/>
      <c r="AD791" s="175"/>
      <c r="AE791" s="66" t="s">
        <v>154</v>
      </c>
      <c r="AF791" s="134"/>
      <c r="AG791" s="67"/>
      <c r="AH791" s="69"/>
      <c r="AI791" s="69"/>
      <c r="AJ791" s="69"/>
      <c r="AK791" s="69"/>
      <c r="AL791" s="69"/>
      <c r="AM791" s="81" t="str">
        <f>IFERROR((Tablas!$C$1*VLOOKUP(AH791, tipo_control, 2, 0)+Tablas!$E$1*VLOOKUP(AI791, nat_control, 2, 0)+Tablas!$G$1*VLOOKUP(AJ791, ev_control, 2, 0)+Tablas!$I$1*VLOOKUP(AK791, frec_control, 2, 0)+Tablas!$K$1*VLOOKUP(AL791, doc_control, 2, 0))*0.1*peso_dis, "")</f>
        <v/>
      </c>
      <c r="AN791" s="69"/>
      <c r="AO791" s="69"/>
      <c r="AP791" s="69"/>
      <c r="AQ791" s="81" t="str">
        <f>IFERROR((Tablas!$C$9*VLOOKUP(AN791, amb_control, 2, 0)+Tablas!$E$9*VLOOKUP(AO791, ejec_control, 2, 0)+Tablas!$G$9*VLOOKUP(AP791, cub_control, 2, 0))*0.1*peso_ejec, "")</f>
        <v/>
      </c>
      <c r="AR791" s="93" t="str">
        <f t="shared" si="1319"/>
        <v/>
      </c>
      <c r="AS791" s="94" t="str">
        <f t="shared" si="1362"/>
        <v/>
      </c>
      <c r="AT791" s="94" t="str">
        <f t="shared" si="1363"/>
        <v/>
      </c>
      <c r="AU791" s="94" t="str">
        <f>IF(AR791&lt;Tablas!$G$19, 0, IF(AND(AR791&gt;=Tablas!$G$19, AR791&lt;Tablas!$G$20), 1,  IF(AND(AR791&gt;=Tablas!$G$20, AR791&lt;Tablas!$G$21), 2,  IF(AND(AR791&gt;=Tablas!$G$21, AR791&lt;=Tablas!$G$22), 3,  ""))))</f>
        <v/>
      </c>
      <c r="AV791" s="94" t="str">
        <f t="shared" si="1320"/>
        <v/>
      </c>
      <c r="AW791" s="102" t="str">
        <f t="shared" si="1321"/>
        <v/>
      </c>
      <c r="AX791" s="157"/>
      <c r="AY791" s="170"/>
      <c r="AZ791" s="179"/>
      <c r="BA791" s="170"/>
      <c r="BB791" s="182"/>
      <c r="BC791" s="182"/>
      <c r="BD791" s="185"/>
      <c r="BE791" s="185"/>
      <c r="BF791" s="159"/>
      <c r="BG791" s="191"/>
    </row>
    <row r="792" spans="1:59" x14ac:dyDescent="0.25">
      <c r="A792" s="167"/>
      <c r="B792" s="167"/>
      <c r="C792" s="161" t="s">
        <v>181</v>
      </c>
      <c r="D792" s="160" t="s">
        <v>158</v>
      </c>
      <c r="E792" s="162"/>
      <c r="F792" s="163" t="str">
        <f t="shared" si="1364"/>
        <v/>
      </c>
      <c r="G792" s="149"/>
      <c r="H792" s="149"/>
      <c r="I792" s="149"/>
      <c r="J792" s="149"/>
      <c r="K792" s="149"/>
      <c r="L792" s="165" t="str">
        <f t="shared" ref="L792" si="1375">IFERROR(VLOOKUP(G792, tabla02, 2, 0), "")</f>
        <v/>
      </c>
      <c r="M792" s="165" t="str">
        <f t="shared" ref="M792" si="1376">IFERROR(VLOOKUP(H792, tabla02, 2, 0), "")</f>
        <v/>
      </c>
      <c r="N792" s="165" t="str">
        <f t="shared" ref="N792" si="1377">IFERROR(VLOOKUP(I792, tabla02, 2, 0), "")</f>
        <v/>
      </c>
      <c r="O792" s="165" t="str">
        <f t="shared" ref="O792" si="1378">IFERROR(VLOOKUP(J792, tabla02, 2, 0), "")</f>
        <v/>
      </c>
      <c r="P792" s="165" t="str">
        <f t="shared" ref="P792" si="1379">IFERROR(VLOOKUP(K792, tabla02, 2, 0), "")</f>
        <v/>
      </c>
      <c r="Q792" s="165" t="str">
        <f t="shared" ref="Q792" si="1380">IF(SUM(L792:O796)=0, "", MAX(L792:P792))</f>
        <v/>
      </c>
      <c r="R792" s="165" t="str">
        <f>IFERROR(VLOOKUP(Q792, tabla04, 3, 0), "")</f>
        <v/>
      </c>
      <c r="S792" s="148"/>
      <c r="T792" s="148"/>
      <c r="U792" s="148"/>
      <c r="V792" s="148"/>
      <c r="W792" s="148"/>
      <c r="X792" s="163" t="str">
        <f>IFERROR(VLOOKUP(CONCATENATE(F792, "-", Q792), cuadrante_sev, 3, 0), "")</f>
        <v/>
      </c>
      <c r="Y792" s="163" t="str">
        <f t="shared" ref="Y792" si="1381">IFERROR(IF(X792="Baja", 1, IF(X792="Moderada", 2, IF(X792="Alta", 3, IF(X792="Extrema", 4, "")))), "")</f>
        <v/>
      </c>
      <c r="Z792" s="172"/>
      <c r="AA792" s="188"/>
      <c r="AB792" s="172"/>
      <c r="AC792" s="172"/>
      <c r="AD792" s="175"/>
      <c r="AE792" s="70" t="s">
        <v>113</v>
      </c>
      <c r="AF792" s="135"/>
      <c r="AG792" s="74"/>
      <c r="AH792" s="72"/>
      <c r="AI792" s="72"/>
      <c r="AJ792" s="72"/>
      <c r="AK792" s="72"/>
      <c r="AL792" s="72"/>
      <c r="AM792" s="82" t="str">
        <f>IFERROR((Tablas!$C$1*VLOOKUP(AH792, tipo_control, 2, 0)+Tablas!$E$1*VLOOKUP(AI792, nat_control, 2, 0)+Tablas!$G$1*VLOOKUP(AJ792, ev_control, 2, 0)+Tablas!$I$1*VLOOKUP(AK792, frec_control, 2, 0)+Tablas!$K$1*VLOOKUP(AL792, doc_control, 2, 0))*0.1*peso_dis, "")</f>
        <v/>
      </c>
      <c r="AN792" s="72"/>
      <c r="AO792" s="72"/>
      <c r="AP792" s="72"/>
      <c r="AQ792" s="82" t="str">
        <f>IFERROR((Tablas!$C$9*VLOOKUP(AN792, amb_control, 2, 0)+Tablas!$E$9*VLOOKUP(AO792, ejec_control, 2, 0)+Tablas!$G$9*VLOOKUP(AP792, cub_control, 2, 0))*0.1*peso_ejec, "")</f>
        <v/>
      </c>
      <c r="AR792" s="96" t="str">
        <f t="shared" si="1319"/>
        <v/>
      </c>
      <c r="AS792" s="97" t="str">
        <f t="shared" si="1362"/>
        <v/>
      </c>
      <c r="AT792" s="87" t="str">
        <f t="shared" si="1363"/>
        <v/>
      </c>
      <c r="AU792" s="97" t="str">
        <f>IF(AR792&lt;Tablas!$G$19, 0, IF(AND(AR792&gt;=Tablas!$G$19, AR792&lt;Tablas!$G$20), 1,  IF(AND(AR792&gt;=Tablas!$G$20, AR792&lt;Tablas!$G$21), 2,  IF(AND(AR792&gt;=Tablas!$G$21, AR792&lt;=Tablas!$G$22), 3,  ""))))</f>
        <v/>
      </c>
      <c r="AV792" s="97" t="str">
        <f t="shared" si="1320"/>
        <v/>
      </c>
      <c r="AW792" s="103" t="str">
        <f t="shared" si="1321"/>
        <v/>
      </c>
      <c r="AX792" s="176" t="str">
        <f t="shared" ref="AX792" si="1382">IFERROR(VLOOKUP(AY792, tabla04, 2, 0), "")</f>
        <v/>
      </c>
      <c r="AY792" s="168" t="str">
        <f>IF(F792="", "", IF((F792-MAX(AV792:AV796))&lt;=0, 1, F792-MAX(AV792:AV796)))</f>
        <v/>
      </c>
      <c r="AZ792" s="178" t="str">
        <f t="shared" ref="AZ792" si="1383">IFERROR(VLOOKUP(BA792, tabla04, 3, 0), "")</f>
        <v/>
      </c>
      <c r="BA792" s="168" t="str">
        <f>IF(Q792="", "", IF((Q792-MAX(AW792:AW796))&lt;=0, 1, Q792-MAX(AW792:AW796)))</f>
        <v/>
      </c>
      <c r="BB792" s="182"/>
      <c r="BC792" s="182"/>
      <c r="BD792" s="185"/>
      <c r="BE792" s="185"/>
      <c r="BF792" s="158" t="str">
        <f t="shared" ref="BF792:BF794" si="1384">IFERROR(VLOOKUP(CONCATENATE(AY792, "-", BA792), cuadrante_sev, 3, 0), "")</f>
        <v/>
      </c>
      <c r="BG792" s="191"/>
    </row>
    <row r="793" spans="1:59" x14ac:dyDescent="0.25">
      <c r="A793" s="167"/>
      <c r="B793" s="167"/>
      <c r="C793" s="161"/>
      <c r="D793" s="160"/>
      <c r="E793" s="162"/>
      <c r="F793" s="164"/>
      <c r="G793" s="161"/>
      <c r="H793" s="161"/>
      <c r="I793" s="161"/>
      <c r="J793" s="161"/>
      <c r="K793" s="161"/>
      <c r="L793" s="166"/>
      <c r="M793" s="166"/>
      <c r="N793" s="166"/>
      <c r="O793" s="166"/>
      <c r="P793" s="166"/>
      <c r="Q793" s="166"/>
      <c r="R793" s="166"/>
      <c r="S793" s="167"/>
      <c r="T793" s="167"/>
      <c r="U793" s="167"/>
      <c r="V793" s="167"/>
      <c r="W793" s="167"/>
      <c r="X793" s="164"/>
      <c r="Y793" s="164"/>
      <c r="Z793" s="172"/>
      <c r="AA793" s="188"/>
      <c r="AB793" s="172"/>
      <c r="AC793" s="172"/>
      <c r="AD793" s="175"/>
      <c r="AE793" s="62" t="s">
        <v>114</v>
      </c>
      <c r="AF793" s="133"/>
      <c r="AG793" s="65"/>
      <c r="AH793" s="64"/>
      <c r="AI793" s="64"/>
      <c r="AJ793" s="64"/>
      <c r="AK793" s="64"/>
      <c r="AL793" s="64"/>
      <c r="AM793" s="80" t="str">
        <f>IFERROR((Tablas!$C$1*VLOOKUP(AH793, tipo_control, 2, 0)+Tablas!$E$1*VLOOKUP(AI793, nat_control, 2, 0)+Tablas!$G$1*VLOOKUP(AJ793, ev_control, 2, 0)+Tablas!$I$1*VLOOKUP(AK793, frec_control, 2, 0)+Tablas!$K$1*VLOOKUP(AL793, doc_control, 2, 0))*0.1*peso_dis, "")</f>
        <v/>
      </c>
      <c r="AN793" s="64"/>
      <c r="AO793" s="64"/>
      <c r="AP793" s="64"/>
      <c r="AQ793" s="80" t="str">
        <f>IFERROR((Tablas!$C$9*VLOOKUP(AN793, amb_control, 2, 0)+Tablas!$E$9*VLOOKUP(AO793, ejec_control, 2, 0)+Tablas!$G$9*VLOOKUP(AP793, cub_control, 2, 0))*0.1*peso_ejec, "")</f>
        <v/>
      </c>
      <c r="AR793" s="91" t="str">
        <f t="shared" si="1319"/>
        <v/>
      </c>
      <c r="AS793" s="85" t="str">
        <f t="shared" si="1362"/>
        <v/>
      </c>
      <c r="AT793" s="85" t="str">
        <f t="shared" si="1363"/>
        <v/>
      </c>
      <c r="AU793" s="85" t="str">
        <f>IF(AR793&lt;Tablas!$G$19, 0, IF(AND(AR793&gt;=Tablas!$G$19, AR793&lt;Tablas!$G$20), 1,  IF(AND(AR793&gt;=Tablas!$G$20, AR793&lt;Tablas!$G$21), 2,  IF(AND(AR793&gt;=Tablas!$G$21, AR793&lt;=Tablas!$G$22), 3,  ""))))</f>
        <v/>
      </c>
      <c r="AV793" s="85" t="str">
        <f t="shared" si="1320"/>
        <v/>
      </c>
      <c r="AW793" s="101" t="str">
        <f t="shared" si="1321"/>
        <v/>
      </c>
      <c r="AX793" s="177"/>
      <c r="AY793" s="169"/>
      <c r="AZ793" s="158"/>
      <c r="BA793" s="169"/>
      <c r="BB793" s="182"/>
      <c r="BC793" s="182"/>
      <c r="BD793" s="185"/>
      <c r="BE793" s="185"/>
      <c r="BF793" s="158" t="str">
        <f t="shared" si="1384"/>
        <v/>
      </c>
      <c r="BG793" s="191"/>
    </row>
    <row r="794" spans="1:59" x14ac:dyDescent="0.25">
      <c r="A794" s="167"/>
      <c r="B794" s="167"/>
      <c r="C794" s="161"/>
      <c r="D794" s="160"/>
      <c r="E794" s="162"/>
      <c r="F794" s="164"/>
      <c r="G794" s="161"/>
      <c r="H794" s="161"/>
      <c r="I794" s="161"/>
      <c r="J794" s="161"/>
      <c r="K794" s="161"/>
      <c r="L794" s="166"/>
      <c r="M794" s="166"/>
      <c r="N794" s="166"/>
      <c r="O794" s="166"/>
      <c r="P794" s="166"/>
      <c r="Q794" s="166"/>
      <c r="R794" s="166"/>
      <c r="S794" s="167"/>
      <c r="T794" s="167"/>
      <c r="U794" s="167"/>
      <c r="V794" s="167"/>
      <c r="W794" s="167"/>
      <c r="X794" s="164"/>
      <c r="Y794" s="164"/>
      <c r="Z794" s="172"/>
      <c r="AA794" s="188"/>
      <c r="AB794" s="172"/>
      <c r="AC794" s="172"/>
      <c r="AD794" s="175"/>
      <c r="AE794" s="62" t="s">
        <v>115</v>
      </c>
      <c r="AF794" s="133"/>
      <c r="AG794" s="65"/>
      <c r="AH794" s="64"/>
      <c r="AI794" s="64"/>
      <c r="AJ794" s="64"/>
      <c r="AK794" s="64"/>
      <c r="AL794" s="64"/>
      <c r="AM794" s="80" t="str">
        <f>IFERROR((Tablas!$C$1*VLOOKUP(AH794, tipo_control, 2, 0)+Tablas!$E$1*VLOOKUP(AI794, nat_control, 2, 0)+Tablas!$G$1*VLOOKUP(AJ794, ev_control, 2, 0)+Tablas!$I$1*VLOOKUP(AK794, frec_control, 2, 0)+Tablas!$K$1*VLOOKUP(AL794, doc_control, 2, 0))*0.1*peso_dis, "")</f>
        <v/>
      </c>
      <c r="AN794" s="64"/>
      <c r="AO794" s="64"/>
      <c r="AP794" s="64"/>
      <c r="AQ794" s="80" t="str">
        <f>IFERROR((Tablas!$C$9*VLOOKUP(AN794, amb_control, 2, 0)+Tablas!$E$9*VLOOKUP(AO794, ejec_control, 2, 0)+Tablas!$G$9*VLOOKUP(AP794, cub_control, 2, 0))*0.1*peso_ejec, "")</f>
        <v/>
      </c>
      <c r="AR794" s="91" t="str">
        <f t="shared" si="1319"/>
        <v/>
      </c>
      <c r="AS794" s="85" t="str">
        <f t="shared" si="1362"/>
        <v/>
      </c>
      <c r="AT794" s="85" t="str">
        <f t="shared" si="1363"/>
        <v/>
      </c>
      <c r="AU794" s="85" t="str">
        <f>IF(AR794&lt;Tablas!$G$19, 0, IF(AND(AR794&gt;=Tablas!$G$19, AR794&lt;Tablas!$G$20), 1,  IF(AND(AR794&gt;=Tablas!$G$20, AR794&lt;Tablas!$G$21), 2,  IF(AND(AR794&gt;=Tablas!$G$21, AR794&lt;=Tablas!$G$22), 3,  ""))))</f>
        <v/>
      </c>
      <c r="AV794" s="85" t="str">
        <f t="shared" si="1320"/>
        <v/>
      </c>
      <c r="AW794" s="101" t="str">
        <f t="shared" si="1321"/>
        <v/>
      </c>
      <c r="AX794" s="177"/>
      <c r="AY794" s="169"/>
      <c r="AZ794" s="158"/>
      <c r="BA794" s="169"/>
      <c r="BB794" s="182"/>
      <c r="BC794" s="182"/>
      <c r="BD794" s="185"/>
      <c r="BE794" s="185"/>
      <c r="BF794" s="158" t="str">
        <f t="shared" si="1384"/>
        <v/>
      </c>
      <c r="BG794" s="191"/>
    </row>
    <row r="795" spans="1:59" x14ac:dyDescent="0.25">
      <c r="A795" s="167"/>
      <c r="B795" s="167"/>
      <c r="C795" s="161"/>
      <c r="D795" s="160"/>
      <c r="E795" s="162"/>
      <c r="F795" s="164"/>
      <c r="G795" s="161"/>
      <c r="H795" s="161"/>
      <c r="I795" s="161"/>
      <c r="J795" s="161"/>
      <c r="K795" s="161"/>
      <c r="L795" s="166"/>
      <c r="M795" s="166"/>
      <c r="N795" s="166"/>
      <c r="O795" s="166"/>
      <c r="P795" s="166"/>
      <c r="Q795" s="166"/>
      <c r="R795" s="166"/>
      <c r="S795" s="167"/>
      <c r="T795" s="167"/>
      <c r="U795" s="167"/>
      <c r="V795" s="167"/>
      <c r="W795" s="167"/>
      <c r="X795" s="164"/>
      <c r="Y795" s="164"/>
      <c r="Z795" s="172"/>
      <c r="AA795" s="188"/>
      <c r="AB795" s="172"/>
      <c r="AC795" s="172"/>
      <c r="AD795" s="175"/>
      <c r="AE795" s="62" t="s">
        <v>153</v>
      </c>
      <c r="AF795" s="133"/>
      <c r="AG795" s="65"/>
      <c r="AH795" s="64"/>
      <c r="AI795" s="64"/>
      <c r="AJ795" s="64"/>
      <c r="AK795" s="64"/>
      <c r="AL795" s="64"/>
      <c r="AM795" s="80" t="str">
        <f>IFERROR((Tablas!$C$1*VLOOKUP(AH795, tipo_control, 2, 0)+Tablas!$E$1*VLOOKUP(AI795, nat_control, 2, 0)+Tablas!$G$1*VLOOKUP(AJ795, ev_control, 2, 0)+Tablas!$I$1*VLOOKUP(AK795, frec_control, 2, 0)+Tablas!$K$1*VLOOKUP(AL795, doc_control, 2, 0))*0.1*peso_dis, "")</f>
        <v/>
      </c>
      <c r="AN795" s="64"/>
      <c r="AO795" s="64"/>
      <c r="AP795" s="64"/>
      <c r="AQ795" s="80" t="str">
        <f>IFERROR((Tablas!$C$9*VLOOKUP(AN795, amb_control, 2, 0)+Tablas!$E$9*VLOOKUP(AO795, ejec_control, 2, 0)+Tablas!$G$9*VLOOKUP(AP795, cub_control, 2, 0))*0.1*peso_ejec, "")</f>
        <v/>
      </c>
      <c r="AR795" s="91" t="str">
        <f t="shared" si="1319"/>
        <v/>
      </c>
      <c r="AS795" s="85" t="str">
        <f t="shared" si="1362"/>
        <v/>
      </c>
      <c r="AT795" s="85" t="str">
        <f t="shared" si="1363"/>
        <v/>
      </c>
      <c r="AU795" s="85" t="str">
        <f>IF(AR795&lt;Tablas!$G$19, 0, IF(AND(AR795&gt;=Tablas!$G$19, AR795&lt;Tablas!$G$20), 1,  IF(AND(AR795&gt;=Tablas!$G$20, AR795&lt;Tablas!$G$21), 2,  IF(AND(AR795&gt;=Tablas!$G$21, AR795&lt;=Tablas!$G$22), 3,  ""))))</f>
        <v/>
      </c>
      <c r="AV795" s="85" t="str">
        <f t="shared" si="1320"/>
        <v/>
      </c>
      <c r="AW795" s="101" t="str">
        <f t="shared" si="1321"/>
        <v/>
      </c>
      <c r="AX795" s="177"/>
      <c r="AY795" s="169"/>
      <c r="AZ795" s="158"/>
      <c r="BA795" s="169"/>
      <c r="BB795" s="182"/>
      <c r="BC795" s="182"/>
      <c r="BD795" s="185"/>
      <c r="BE795" s="185"/>
      <c r="BF795" s="158"/>
      <c r="BG795" s="191"/>
    </row>
    <row r="796" spans="1:59" ht="15.75" thickBot="1" x14ac:dyDescent="0.3">
      <c r="A796" s="167"/>
      <c r="B796" s="167"/>
      <c r="C796" s="161"/>
      <c r="D796" s="160"/>
      <c r="E796" s="162"/>
      <c r="F796" s="165"/>
      <c r="G796" s="161"/>
      <c r="H796" s="161"/>
      <c r="I796" s="161"/>
      <c r="J796" s="161"/>
      <c r="K796" s="161"/>
      <c r="L796" s="166"/>
      <c r="M796" s="166"/>
      <c r="N796" s="166"/>
      <c r="O796" s="166"/>
      <c r="P796" s="166"/>
      <c r="Q796" s="166"/>
      <c r="R796" s="166"/>
      <c r="S796" s="149"/>
      <c r="T796" s="149"/>
      <c r="U796" s="149"/>
      <c r="V796" s="149"/>
      <c r="W796" s="149"/>
      <c r="X796" s="165"/>
      <c r="Y796" s="165"/>
      <c r="Z796" s="172"/>
      <c r="AA796" s="188"/>
      <c r="AB796" s="172"/>
      <c r="AC796" s="172"/>
      <c r="AD796" s="175"/>
      <c r="AE796" s="66" t="s">
        <v>154</v>
      </c>
      <c r="AF796" s="134"/>
      <c r="AG796" s="67"/>
      <c r="AH796" s="69"/>
      <c r="AI796" s="69"/>
      <c r="AJ796" s="69"/>
      <c r="AK796" s="69"/>
      <c r="AL796" s="69"/>
      <c r="AM796" s="81" t="str">
        <f>IFERROR((Tablas!$C$1*VLOOKUP(AH796, tipo_control, 2, 0)+Tablas!$E$1*VLOOKUP(AI796, nat_control, 2, 0)+Tablas!$G$1*VLOOKUP(AJ796, ev_control, 2, 0)+Tablas!$I$1*VLOOKUP(AK796, frec_control, 2, 0)+Tablas!$K$1*VLOOKUP(AL796, doc_control, 2, 0))*0.1*peso_dis, "")</f>
        <v/>
      </c>
      <c r="AN796" s="69"/>
      <c r="AO796" s="69"/>
      <c r="AP796" s="69"/>
      <c r="AQ796" s="81" t="str">
        <f>IFERROR((Tablas!$C$9*VLOOKUP(AN796, amb_control, 2, 0)+Tablas!$E$9*VLOOKUP(AO796, ejec_control, 2, 0)+Tablas!$G$9*VLOOKUP(AP796, cub_control, 2, 0))*0.1*peso_ejec, "")</f>
        <v/>
      </c>
      <c r="AR796" s="93" t="str">
        <f t="shared" si="1319"/>
        <v/>
      </c>
      <c r="AS796" s="94" t="str">
        <f t="shared" si="1362"/>
        <v/>
      </c>
      <c r="AT796" s="94" t="str">
        <f t="shared" si="1363"/>
        <v/>
      </c>
      <c r="AU796" s="94" t="str">
        <f>IF(AR796&lt;Tablas!$G$19, 0, IF(AND(AR796&gt;=Tablas!$G$19, AR796&lt;Tablas!$G$20), 1,  IF(AND(AR796&gt;=Tablas!$G$20, AR796&lt;Tablas!$G$21), 2,  IF(AND(AR796&gt;=Tablas!$G$21, AR796&lt;=Tablas!$G$22), 3,  ""))))</f>
        <v/>
      </c>
      <c r="AV796" s="94" t="str">
        <f t="shared" si="1320"/>
        <v/>
      </c>
      <c r="AW796" s="102" t="str">
        <f t="shared" si="1321"/>
        <v/>
      </c>
      <c r="AX796" s="157"/>
      <c r="AY796" s="170"/>
      <c r="AZ796" s="179"/>
      <c r="BA796" s="170"/>
      <c r="BB796" s="182"/>
      <c r="BC796" s="182"/>
      <c r="BD796" s="185"/>
      <c r="BE796" s="185"/>
      <c r="BF796" s="159"/>
      <c r="BG796" s="191"/>
    </row>
    <row r="797" spans="1:59" x14ac:dyDescent="0.25">
      <c r="A797" s="167"/>
      <c r="B797" s="167"/>
      <c r="C797" s="161" t="s">
        <v>182</v>
      </c>
      <c r="D797" s="160" t="s">
        <v>158</v>
      </c>
      <c r="E797" s="162"/>
      <c r="F797" s="163" t="str">
        <f t="shared" si="1364"/>
        <v/>
      </c>
      <c r="G797" s="149"/>
      <c r="H797" s="149"/>
      <c r="I797" s="149"/>
      <c r="J797" s="149"/>
      <c r="K797" s="149"/>
      <c r="L797" s="165" t="str">
        <f t="shared" ref="L797" si="1385">IFERROR(VLOOKUP(G797, tabla02, 2, 0), "")</f>
        <v/>
      </c>
      <c r="M797" s="165" t="str">
        <f t="shared" ref="M797" si="1386">IFERROR(VLOOKUP(H797, tabla02, 2, 0), "")</f>
        <v/>
      </c>
      <c r="N797" s="165" t="str">
        <f t="shared" ref="N797" si="1387">IFERROR(VLOOKUP(I797, tabla02, 2, 0), "")</f>
        <v/>
      </c>
      <c r="O797" s="165" t="str">
        <f t="shared" ref="O797" si="1388">IFERROR(VLOOKUP(J797, tabla02, 2, 0), "")</f>
        <v/>
      </c>
      <c r="P797" s="165" t="str">
        <f t="shared" ref="P797" si="1389">IFERROR(VLOOKUP(K797, tabla02, 2, 0), "")</f>
        <v/>
      </c>
      <c r="Q797" s="165" t="str">
        <f t="shared" ref="Q797" si="1390">IF(SUM(L797:O801)=0, "", MAX(L797:P797))</f>
        <v/>
      </c>
      <c r="R797" s="165" t="str">
        <f>IFERROR(VLOOKUP(Q797, tabla04, 3, 0), "")</f>
        <v/>
      </c>
      <c r="S797" s="148"/>
      <c r="T797" s="148"/>
      <c r="U797" s="148"/>
      <c r="V797" s="148"/>
      <c r="W797" s="148"/>
      <c r="X797" s="163" t="str">
        <f>IFERROR(VLOOKUP(CONCATENATE(F797, "-", Q797), cuadrante_sev, 3, 0), "")</f>
        <v/>
      </c>
      <c r="Y797" s="163" t="str">
        <f t="shared" ref="Y797" si="1391">IFERROR(IF(X797="Baja", 1, IF(X797="Moderada", 2, IF(X797="Alta", 3, IF(X797="Extrema", 4, "")))), "")</f>
        <v/>
      </c>
      <c r="Z797" s="172"/>
      <c r="AA797" s="188"/>
      <c r="AB797" s="172"/>
      <c r="AC797" s="172"/>
      <c r="AD797" s="175"/>
      <c r="AE797" s="70" t="s">
        <v>113</v>
      </c>
      <c r="AF797" s="135"/>
      <c r="AG797" s="74"/>
      <c r="AH797" s="72"/>
      <c r="AI797" s="72"/>
      <c r="AJ797" s="72"/>
      <c r="AK797" s="72"/>
      <c r="AL797" s="72"/>
      <c r="AM797" s="82" t="str">
        <f>IFERROR((Tablas!$C$1*VLOOKUP(AH797, tipo_control, 2, 0)+Tablas!$E$1*VLOOKUP(AI797, nat_control, 2, 0)+Tablas!$G$1*VLOOKUP(AJ797, ev_control, 2, 0)+Tablas!$I$1*VLOOKUP(AK797, frec_control, 2, 0)+Tablas!$K$1*VLOOKUP(AL797, doc_control, 2, 0))*0.1*peso_dis, "")</f>
        <v/>
      </c>
      <c r="AN797" s="72"/>
      <c r="AO797" s="72"/>
      <c r="AP797" s="72"/>
      <c r="AQ797" s="82" t="str">
        <f>IFERROR((Tablas!$C$9*VLOOKUP(AN797, amb_control, 2, 0)+Tablas!$E$9*VLOOKUP(AO797, ejec_control, 2, 0)+Tablas!$G$9*VLOOKUP(AP797, cub_control, 2, 0))*0.1*peso_ejec, "")</f>
        <v/>
      </c>
      <c r="AR797" s="96" t="str">
        <f t="shared" si="1319"/>
        <v/>
      </c>
      <c r="AS797" s="97" t="str">
        <f t="shared" si="1362"/>
        <v/>
      </c>
      <c r="AT797" s="87" t="str">
        <f t="shared" si="1363"/>
        <v/>
      </c>
      <c r="AU797" s="97" t="str">
        <f>IF(AR797&lt;Tablas!$G$19, 0, IF(AND(AR797&gt;=Tablas!$G$19, AR797&lt;Tablas!$G$20), 1,  IF(AND(AR797&gt;=Tablas!$G$20, AR797&lt;Tablas!$G$21), 2,  IF(AND(AR797&gt;=Tablas!$G$21, AR797&lt;=Tablas!$G$22), 3,  ""))))</f>
        <v/>
      </c>
      <c r="AV797" s="97" t="str">
        <f t="shared" si="1320"/>
        <v/>
      </c>
      <c r="AW797" s="103" t="str">
        <f t="shared" si="1321"/>
        <v/>
      </c>
      <c r="AX797" s="176" t="str">
        <f t="shared" ref="AX797" si="1392">IFERROR(VLOOKUP(AY797, tabla04, 2, 0), "")</f>
        <v/>
      </c>
      <c r="AY797" s="168" t="str">
        <f>IF(F797="", "", IF((F797-MAX(AV797:AV801))&lt;=0, 1, F797-MAX(AV797:AV801)))</f>
        <v/>
      </c>
      <c r="AZ797" s="178" t="str">
        <f t="shared" ref="AZ797" si="1393">IFERROR(VLOOKUP(BA797, tabla04, 3, 0), "")</f>
        <v/>
      </c>
      <c r="BA797" s="168" t="str">
        <f>IF(Q797="", "", IF((Q797-MAX(AW797:AW801))&lt;=0, 1, Q797-MAX(AW797:AW801)))</f>
        <v/>
      </c>
      <c r="BB797" s="182"/>
      <c r="BC797" s="182"/>
      <c r="BD797" s="185"/>
      <c r="BE797" s="185"/>
      <c r="BF797" s="158" t="str">
        <f t="shared" ref="BF797:BF799" si="1394">IFERROR(VLOOKUP(CONCATENATE(AY797, "-", BA797), cuadrante_sev, 3, 0), "")</f>
        <v/>
      </c>
      <c r="BG797" s="191"/>
    </row>
    <row r="798" spans="1:59" x14ac:dyDescent="0.25">
      <c r="A798" s="167"/>
      <c r="B798" s="167"/>
      <c r="C798" s="161"/>
      <c r="D798" s="160"/>
      <c r="E798" s="162"/>
      <c r="F798" s="164"/>
      <c r="G798" s="161"/>
      <c r="H798" s="161"/>
      <c r="I798" s="161"/>
      <c r="J798" s="161"/>
      <c r="K798" s="161"/>
      <c r="L798" s="166"/>
      <c r="M798" s="166"/>
      <c r="N798" s="166"/>
      <c r="O798" s="166"/>
      <c r="P798" s="166"/>
      <c r="Q798" s="166"/>
      <c r="R798" s="166"/>
      <c r="S798" s="167"/>
      <c r="T798" s="167"/>
      <c r="U798" s="167"/>
      <c r="V798" s="167"/>
      <c r="W798" s="167"/>
      <c r="X798" s="164"/>
      <c r="Y798" s="164"/>
      <c r="Z798" s="172"/>
      <c r="AA798" s="188"/>
      <c r="AB798" s="172"/>
      <c r="AC798" s="172"/>
      <c r="AD798" s="175"/>
      <c r="AE798" s="62" t="s">
        <v>114</v>
      </c>
      <c r="AF798" s="133"/>
      <c r="AG798" s="65"/>
      <c r="AH798" s="64"/>
      <c r="AI798" s="64"/>
      <c r="AJ798" s="64"/>
      <c r="AK798" s="64"/>
      <c r="AL798" s="64"/>
      <c r="AM798" s="80" t="str">
        <f>IFERROR((Tablas!$C$1*VLOOKUP(AH798, tipo_control, 2, 0)+Tablas!$E$1*VLOOKUP(AI798, nat_control, 2, 0)+Tablas!$G$1*VLOOKUP(AJ798, ev_control, 2, 0)+Tablas!$I$1*VLOOKUP(AK798, frec_control, 2, 0)+Tablas!$K$1*VLOOKUP(AL798, doc_control, 2, 0))*0.1*peso_dis, "")</f>
        <v/>
      </c>
      <c r="AN798" s="64"/>
      <c r="AO798" s="64"/>
      <c r="AP798" s="64"/>
      <c r="AQ798" s="80" t="str">
        <f>IFERROR((Tablas!$C$9*VLOOKUP(AN798, amb_control, 2, 0)+Tablas!$E$9*VLOOKUP(AO798, ejec_control, 2, 0)+Tablas!$G$9*VLOOKUP(AP798, cub_control, 2, 0))*0.1*peso_ejec, "")</f>
        <v/>
      </c>
      <c r="AR798" s="91" t="str">
        <f t="shared" si="1319"/>
        <v/>
      </c>
      <c r="AS798" s="85" t="str">
        <f t="shared" si="1362"/>
        <v/>
      </c>
      <c r="AT798" s="85" t="str">
        <f t="shared" si="1363"/>
        <v/>
      </c>
      <c r="AU798" s="85" t="str">
        <f>IF(AR798&lt;Tablas!$G$19, 0, IF(AND(AR798&gt;=Tablas!$G$19, AR798&lt;Tablas!$G$20), 1,  IF(AND(AR798&gt;=Tablas!$G$20, AR798&lt;Tablas!$G$21), 2,  IF(AND(AR798&gt;=Tablas!$G$21, AR798&lt;=Tablas!$G$22), 3,  ""))))</f>
        <v/>
      </c>
      <c r="AV798" s="85" t="str">
        <f t="shared" si="1320"/>
        <v/>
      </c>
      <c r="AW798" s="101" t="str">
        <f t="shared" si="1321"/>
        <v/>
      </c>
      <c r="AX798" s="177"/>
      <c r="AY798" s="169"/>
      <c r="AZ798" s="158"/>
      <c r="BA798" s="169"/>
      <c r="BB798" s="182"/>
      <c r="BC798" s="182"/>
      <c r="BD798" s="185"/>
      <c r="BE798" s="185"/>
      <c r="BF798" s="158" t="str">
        <f t="shared" si="1394"/>
        <v/>
      </c>
      <c r="BG798" s="191"/>
    </row>
    <row r="799" spans="1:59" x14ac:dyDescent="0.25">
      <c r="A799" s="167"/>
      <c r="B799" s="167"/>
      <c r="C799" s="161"/>
      <c r="D799" s="160"/>
      <c r="E799" s="162"/>
      <c r="F799" s="164"/>
      <c r="G799" s="161"/>
      <c r="H799" s="161"/>
      <c r="I799" s="161"/>
      <c r="J799" s="161"/>
      <c r="K799" s="161"/>
      <c r="L799" s="166"/>
      <c r="M799" s="166"/>
      <c r="N799" s="166"/>
      <c r="O799" s="166"/>
      <c r="P799" s="166"/>
      <c r="Q799" s="166"/>
      <c r="R799" s="166"/>
      <c r="S799" s="167"/>
      <c r="T799" s="167"/>
      <c r="U799" s="167"/>
      <c r="V799" s="167"/>
      <c r="W799" s="167"/>
      <c r="X799" s="164"/>
      <c r="Y799" s="164"/>
      <c r="Z799" s="172"/>
      <c r="AA799" s="188"/>
      <c r="AB799" s="172"/>
      <c r="AC799" s="172"/>
      <c r="AD799" s="175"/>
      <c r="AE799" s="62" t="s">
        <v>115</v>
      </c>
      <c r="AF799" s="133"/>
      <c r="AG799" s="65"/>
      <c r="AH799" s="64"/>
      <c r="AI799" s="64"/>
      <c r="AJ799" s="64"/>
      <c r="AK799" s="64"/>
      <c r="AL799" s="64"/>
      <c r="AM799" s="80" t="str">
        <f>IFERROR((Tablas!$C$1*VLOOKUP(AH799, tipo_control, 2, 0)+Tablas!$E$1*VLOOKUP(AI799, nat_control, 2, 0)+Tablas!$G$1*VLOOKUP(AJ799, ev_control, 2, 0)+Tablas!$I$1*VLOOKUP(AK799, frec_control, 2, 0)+Tablas!$K$1*VLOOKUP(AL799, doc_control, 2, 0))*0.1*peso_dis, "")</f>
        <v/>
      </c>
      <c r="AN799" s="64"/>
      <c r="AO799" s="64"/>
      <c r="AP799" s="64"/>
      <c r="AQ799" s="80" t="str">
        <f>IFERROR((Tablas!$C$9*VLOOKUP(AN799, amb_control, 2, 0)+Tablas!$E$9*VLOOKUP(AO799, ejec_control, 2, 0)+Tablas!$G$9*VLOOKUP(AP799, cub_control, 2, 0))*0.1*peso_ejec, "")</f>
        <v/>
      </c>
      <c r="AR799" s="91" t="str">
        <f t="shared" si="1319"/>
        <v/>
      </c>
      <c r="AS799" s="85" t="str">
        <f t="shared" si="1362"/>
        <v/>
      </c>
      <c r="AT799" s="85" t="str">
        <f t="shared" si="1363"/>
        <v/>
      </c>
      <c r="AU799" s="85" t="str">
        <f>IF(AR799&lt;Tablas!$G$19, 0, IF(AND(AR799&gt;=Tablas!$G$19, AR799&lt;Tablas!$G$20), 1,  IF(AND(AR799&gt;=Tablas!$G$20, AR799&lt;Tablas!$G$21), 2,  IF(AND(AR799&gt;=Tablas!$G$21, AR799&lt;=Tablas!$G$22), 3,  ""))))</f>
        <v/>
      </c>
      <c r="AV799" s="85" t="str">
        <f t="shared" si="1320"/>
        <v/>
      </c>
      <c r="AW799" s="101" t="str">
        <f t="shared" si="1321"/>
        <v/>
      </c>
      <c r="AX799" s="177"/>
      <c r="AY799" s="169"/>
      <c r="AZ799" s="158"/>
      <c r="BA799" s="169"/>
      <c r="BB799" s="182"/>
      <c r="BC799" s="182"/>
      <c r="BD799" s="185"/>
      <c r="BE799" s="185"/>
      <c r="BF799" s="158" t="str">
        <f t="shared" si="1394"/>
        <v/>
      </c>
      <c r="BG799" s="191"/>
    </row>
    <row r="800" spans="1:59" x14ac:dyDescent="0.25">
      <c r="A800" s="167"/>
      <c r="B800" s="167"/>
      <c r="C800" s="161"/>
      <c r="D800" s="160"/>
      <c r="E800" s="162"/>
      <c r="F800" s="164"/>
      <c r="G800" s="161"/>
      <c r="H800" s="161"/>
      <c r="I800" s="161"/>
      <c r="J800" s="161"/>
      <c r="K800" s="161"/>
      <c r="L800" s="166"/>
      <c r="M800" s="166"/>
      <c r="N800" s="166"/>
      <c r="O800" s="166"/>
      <c r="P800" s="166"/>
      <c r="Q800" s="166"/>
      <c r="R800" s="166"/>
      <c r="S800" s="167"/>
      <c r="T800" s="167"/>
      <c r="U800" s="167"/>
      <c r="V800" s="167"/>
      <c r="W800" s="167"/>
      <c r="X800" s="164"/>
      <c r="Y800" s="164"/>
      <c r="Z800" s="172"/>
      <c r="AA800" s="188"/>
      <c r="AB800" s="172"/>
      <c r="AC800" s="172"/>
      <c r="AD800" s="175"/>
      <c r="AE800" s="62" t="s">
        <v>153</v>
      </c>
      <c r="AF800" s="133"/>
      <c r="AG800" s="65"/>
      <c r="AH800" s="64"/>
      <c r="AI800" s="64"/>
      <c r="AJ800" s="64"/>
      <c r="AK800" s="64"/>
      <c r="AL800" s="64"/>
      <c r="AM800" s="80" t="str">
        <f>IFERROR((Tablas!$C$1*VLOOKUP(AH800, tipo_control, 2, 0)+Tablas!$E$1*VLOOKUP(AI800, nat_control, 2, 0)+Tablas!$G$1*VLOOKUP(AJ800, ev_control, 2, 0)+Tablas!$I$1*VLOOKUP(AK800, frec_control, 2, 0)+Tablas!$K$1*VLOOKUP(AL800, doc_control, 2, 0))*0.1*peso_dis, "")</f>
        <v/>
      </c>
      <c r="AN800" s="64"/>
      <c r="AO800" s="64"/>
      <c r="AP800" s="64"/>
      <c r="AQ800" s="80" t="str">
        <f>IFERROR((Tablas!$C$9*VLOOKUP(AN800, amb_control, 2, 0)+Tablas!$E$9*VLOOKUP(AO800, ejec_control, 2, 0)+Tablas!$G$9*VLOOKUP(AP800, cub_control, 2, 0))*0.1*peso_ejec, "")</f>
        <v/>
      </c>
      <c r="AR800" s="91" t="str">
        <f t="shared" si="1319"/>
        <v/>
      </c>
      <c r="AS800" s="85" t="str">
        <f t="shared" si="1362"/>
        <v/>
      </c>
      <c r="AT800" s="85" t="str">
        <f t="shared" si="1363"/>
        <v/>
      </c>
      <c r="AU800" s="85" t="str">
        <f>IF(AR800&lt;Tablas!$G$19, 0, IF(AND(AR800&gt;=Tablas!$G$19, AR800&lt;Tablas!$G$20), 1,  IF(AND(AR800&gt;=Tablas!$G$20, AR800&lt;Tablas!$G$21), 2,  IF(AND(AR800&gt;=Tablas!$G$21, AR800&lt;=Tablas!$G$22), 3,  ""))))</f>
        <v/>
      </c>
      <c r="AV800" s="85" t="str">
        <f t="shared" si="1320"/>
        <v/>
      </c>
      <c r="AW800" s="101" t="str">
        <f t="shared" si="1321"/>
        <v/>
      </c>
      <c r="AX800" s="177"/>
      <c r="AY800" s="169"/>
      <c r="AZ800" s="158"/>
      <c r="BA800" s="169"/>
      <c r="BB800" s="182"/>
      <c r="BC800" s="182"/>
      <c r="BD800" s="185"/>
      <c r="BE800" s="185"/>
      <c r="BF800" s="158"/>
      <c r="BG800" s="191"/>
    </row>
    <row r="801" spans="1:59" ht="15.75" thickBot="1" x14ac:dyDescent="0.3">
      <c r="A801" s="167"/>
      <c r="B801" s="167"/>
      <c r="C801" s="161"/>
      <c r="D801" s="160"/>
      <c r="E801" s="162"/>
      <c r="F801" s="165"/>
      <c r="G801" s="161"/>
      <c r="H801" s="161"/>
      <c r="I801" s="161"/>
      <c r="J801" s="161"/>
      <c r="K801" s="161"/>
      <c r="L801" s="166"/>
      <c r="M801" s="166"/>
      <c r="N801" s="166"/>
      <c r="O801" s="166"/>
      <c r="P801" s="166"/>
      <c r="Q801" s="166"/>
      <c r="R801" s="166"/>
      <c r="S801" s="149"/>
      <c r="T801" s="149"/>
      <c r="U801" s="149"/>
      <c r="V801" s="149"/>
      <c r="W801" s="149"/>
      <c r="X801" s="165"/>
      <c r="Y801" s="165"/>
      <c r="Z801" s="172"/>
      <c r="AA801" s="188"/>
      <c r="AB801" s="172"/>
      <c r="AC801" s="172"/>
      <c r="AD801" s="175"/>
      <c r="AE801" s="66" t="s">
        <v>154</v>
      </c>
      <c r="AF801" s="134"/>
      <c r="AG801" s="67"/>
      <c r="AH801" s="69"/>
      <c r="AI801" s="69"/>
      <c r="AJ801" s="69"/>
      <c r="AK801" s="69"/>
      <c r="AL801" s="69"/>
      <c r="AM801" s="81" t="str">
        <f>IFERROR((Tablas!$C$1*VLOOKUP(AH801, tipo_control, 2, 0)+Tablas!$E$1*VLOOKUP(AI801, nat_control, 2, 0)+Tablas!$G$1*VLOOKUP(AJ801, ev_control, 2, 0)+Tablas!$I$1*VLOOKUP(AK801, frec_control, 2, 0)+Tablas!$K$1*VLOOKUP(AL801, doc_control, 2, 0))*0.1*peso_dis, "")</f>
        <v/>
      </c>
      <c r="AN801" s="69"/>
      <c r="AO801" s="69"/>
      <c r="AP801" s="69"/>
      <c r="AQ801" s="81" t="str">
        <f>IFERROR((Tablas!$C$9*VLOOKUP(AN801, amb_control, 2, 0)+Tablas!$E$9*VLOOKUP(AO801, ejec_control, 2, 0)+Tablas!$G$9*VLOOKUP(AP801, cub_control, 2, 0))*0.1*peso_ejec, "")</f>
        <v/>
      </c>
      <c r="AR801" s="93" t="str">
        <f t="shared" si="1319"/>
        <v/>
      </c>
      <c r="AS801" s="94" t="str">
        <f t="shared" si="1362"/>
        <v/>
      </c>
      <c r="AT801" s="94" t="str">
        <f t="shared" si="1363"/>
        <v/>
      </c>
      <c r="AU801" s="94" t="str">
        <f>IF(AR801&lt;Tablas!$G$19, 0, IF(AND(AR801&gt;=Tablas!$G$19, AR801&lt;Tablas!$G$20), 1,  IF(AND(AR801&gt;=Tablas!$G$20, AR801&lt;Tablas!$G$21), 2,  IF(AND(AR801&gt;=Tablas!$G$21, AR801&lt;=Tablas!$G$22), 3,  ""))))</f>
        <v/>
      </c>
      <c r="AV801" s="94" t="str">
        <f t="shared" si="1320"/>
        <v/>
      </c>
      <c r="AW801" s="102" t="str">
        <f t="shared" si="1321"/>
        <v/>
      </c>
      <c r="AX801" s="157"/>
      <c r="AY801" s="170"/>
      <c r="AZ801" s="179"/>
      <c r="BA801" s="170"/>
      <c r="BB801" s="182"/>
      <c r="BC801" s="182"/>
      <c r="BD801" s="185"/>
      <c r="BE801" s="185"/>
      <c r="BF801" s="159"/>
      <c r="BG801" s="191"/>
    </row>
    <row r="802" spans="1:59" x14ac:dyDescent="0.25">
      <c r="A802" s="167"/>
      <c r="B802" s="167"/>
      <c r="C802" s="161" t="s">
        <v>183</v>
      </c>
      <c r="D802" s="160" t="s">
        <v>158</v>
      </c>
      <c r="E802" s="162"/>
      <c r="F802" s="163" t="str">
        <f t="shared" si="1364"/>
        <v/>
      </c>
      <c r="G802" s="149"/>
      <c r="H802" s="149"/>
      <c r="I802" s="149"/>
      <c r="J802" s="149"/>
      <c r="K802" s="149"/>
      <c r="L802" s="165" t="str">
        <f t="shared" ref="L802" si="1395">IFERROR(VLOOKUP(G802, tabla02, 2, 0), "")</f>
        <v/>
      </c>
      <c r="M802" s="165" t="str">
        <f t="shared" ref="M802" si="1396">IFERROR(VLOOKUP(H802, tabla02, 2, 0), "")</f>
        <v/>
      </c>
      <c r="N802" s="165" t="str">
        <f t="shared" ref="N802" si="1397">IFERROR(VLOOKUP(I802, tabla02, 2, 0), "")</f>
        <v/>
      </c>
      <c r="O802" s="165" t="str">
        <f t="shared" ref="O802" si="1398">IFERROR(VLOOKUP(J802, tabla02, 2, 0), "")</f>
        <v/>
      </c>
      <c r="P802" s="165" t="str">
        <f t="shared" ref="P802" si="1399">IFERROR(VLOOKUP(K802, tabla02, 2, 0), "")</f>
        <v/>
      </c>
      <c r="Q802" s="165" t="str">
        <f t="shared" ref="Q802" si="1400">IF(SUM(L802:O806)=0, "", MAX(L802:P802))</f>
        <v/>
      </c>
      <c r="R802" s="165" t="str">
        <f>IFERROR(VLOOKUP(Q802, tabla04, 3, 0), "")</f>
        <v/>
      </c>
      <c r="S802" s="148"/>
      <c r="T802" s="148"/>
      <c r="U802" s="148"/>
      <c r="V802" s="148"/>
      <c r="W802" s="148"/>
      <c r="X802" s="163" t="str">
        <f>IFERROR(VLOOKUP(CONCATENATE(F802, "-", Q802), cuadrante_sev, 3, 0), "")</f>
        <v/>
      </c>
      <c r="Y802" s="163" t="str">
        <f t="shared" ref="Y802" si="1401">IFERROR(IF(X802="Baja", 1, IF(X802="Moderada", 2, IF(X802="Alta", 3, IF(X802="Extrema", 4, "")))), "")</f>
        <v/>
      </c>
      <c r="Z802" s="172"/>
      <c r="AA802" s="188"/>
      <c r="AB802" s="172"/>
      <c r="AC802" s="172"/>
      <c r="AD802" s="175"/>
      <c r="AE802" s="70" t="s">
        <v>113</v>
      </c>
      <c r="AF802" s="135"/>
      <c r="AG802" s="74"/>
      <c r="AH802" s="72"/>
      <c r="AI802" s="72"/>
      <c r="AJ802" s="72"/>
      <c r="AK802" s="72"/>
      <c r="AL802" s="72"/>
      <c r="AM802" s="82" t="str">
        <f>IFERROR((Tablas!$C$1*VLOOKUP(AH802, tipo_control, 2, 0)+Tablas!$E$1*VLOOKUP(AI802, nat_control, 2, 0)+Tablas!$G$1*VLOOKUP(AJ802, ev_control, 2, 0)+Tablas!$I$1*VLOOKUP(AK802, frec_control, 2, 0)+Tablas!$K$1*VLOOKUP(AL802, doc_control, 2, 0))*0.1*peso_dis, "")</f>
        <v/>
      </c>
      <c r="AN802" s="72"/>
      <c r="AO802" s="72"/>
      <c r="AP802" s="72"/>
      <c r="AQ802" s="82" t="str">
        <f>IFERROR((Tablas!$C$9*VLOOKUP(AN802, amb_control, 2, 0)+Tablas!$E$9*VLOOKUP(AO802, ejec_control, 2, 0)+Tablas!$G$9*VLOOKUP(AP802, cub_control, 2, 0))*0.1*peso_ejec, "")</f>
        <v/>
      </c>
      <c r="AR802" s="96" t="str">
        <f t="shared" si="1319"/>
        <v/>
      </c>
      <c r="AS802" s="97" t="str">
        <f t="shared" si="1362"/>
        <v/>
      </c>
      <c r="AT802" s="87" t="str">
        <f t="shared" si="1363"/>
        <v/>
      </c>
      <c r="AU802" s="97" t="str">
        <f>IF(AR802&lt;Tablas!$G$19, 0, IF(AND(AR802&gt;=Tablas!$G$19, AR802&lt;Tablas!$G$20), 1,  IF(AND(AR802&gt;=Tablas!$G$20, AR802&lt;Tablas!$G$21), 2,  IF(AND(AR802&gt;=Tablas!$G$21, AR802&lt;=Tablas!$G$22), 3,  ""))))</f>
        <v/>
      </c>
      <c r="AV802" s="97" t="str">
        <f t="shared" si="1320"/>
        <v/>
      </c>
      <c r="AW802" s="103" t="str">
        <f t="shared" si="1321"/>
        <v/>
      </c>
      <c r="AX802" s="176" t="str">
        <f t="shared" ref="AX802" si="1402">IFERROR(VLOOKUP(AY802, tabla04, 2, 0), "")</f>
        <v/>
      </c>
      <c r="AY802" s="168" t="str">
        <f>IF(F802="", "", IF((F802-MAX(AV802:AV806))&lt;=0, 1, F802-MAX(AV802:AV806)))</f>
        <v/>
      </c>
      <c r="AZ802" s="178" t="str">
        <f t="shared" ref="AZ802" si="1403">IFERROR(VLOOKUP(BA802, tabla04, 3, 0), "")</f>
        <v/>
      </c>
      <c r="BA802" s="168" t="str">
        <f>IF(Q802="", "", IF((Q802-MAX(AW802:AW806))&lt;=0, 1, Q802-MAX(AW802:AW806)))</f>
        <v/>
      </c>
      <c r="BB802" s="182"/>
      <c r="BC802" s="182"/>
      <c r="BD802" s="185"/>
      <c r="BE802" s="185"/>
      <c r="BF802" s="158" t="str">
        <f t="shared" ref="BF802:BF804" si="1404">IFERROR(VLOOKUP(CONCATENATE(AY802, "-", BA802), cuadrante_sev, 3, 0), "")</f>
        <v/>
      </c>
      <c r="BG802" s="191"/>
    </row>
    <row r="803" spans="1:59" x14ac:dyDescent="0.25">
      <c r="A803" s="167"/>
      <c r="B803" s="167"/>
      <c r="C803" s="161"/>
      <c r="D803" s="160"/>
      <c r="E803" s="162"/>
      <c r="F803" s="164"/>
      <c r="G803" s="161"/>
      <c r="H803" s="161"/>
      <c r="I803" s="161"/>
      <c r="J803" s="161"/>
      <c r="K803" s="161"/>
      <c r="L803" s="166"/>
      <c r="M803" s="166"/>
      <c r="N803" s="166"/>
      <c r="O803" s="166"/>
      <c r="P803" s="166"/>
      <c r="Q803" s="166"/>
      <c r="R803" s="166"/>
      <c r="S803" s="167"/>
      <c r="T803" s="167"/>
      <c r="U803" s="167"/>
      <c r="V803" s="167"/>
      <c r="W803" s="167"/>
      <c r="X803" s="164"/>
      <c r="Y803" s="164"/>
      <c r="Z803" s="172"/>
      <c r="AA803" s="188"/>
      <c r="AB803" s="172"/>
      <c r="AC803" s="172"/>
      <c r="AD803" s="175"/>
      <c r="AE803" s="62" t="s">
        <v>114</v>
      </c>
      <c r="AF803" s="133"/>
      <c r="AG803" s="65"/>
      <c r="AH803" s="64"/>
      <c r="AI803" s="64"/>
      <c r="AJ803" s="64"/>
      <c r="AK803" s="64"/>
      <c r="AL803" s="64"/>
      <c r="AM803" s="80" t="str">
        <f>IFERROR((Tablas!$C$1*VLOOKUP(AH803, tipo_control, 2, 0)+Tablas!$E$1*VLOOKUP(AI803, nat_control, 2, 0)+Tablas!$G$1*VLOOKUP(AJ803, ev_control, 2, 0)+Tablas!$I$1*VLOOKUP(AK803, frec_control, 2, 0)+Tablas!$K$1*VLOOKUP(AL803, doc_control, 2, 0))*0.1*peso_dis, "")</f>
        <v/>
      </c>
      <c r="AN803" s="64"/>
      <c r="AO803" s="64"/>
      <c r="AP803" s="64"/>
      <c r="AQ803" s="80" t="str">
        <f>IFERROR((Tablas!$C$9*VLOOKUP(AN803, amb_control, 2, 0)+Tablas!$E$9*VLOOKUP(AO803, ejec_control, 2, 0)+Tablas!$G$9*VLOOKUP(AP803, cub_control, 2, 0))*0.1*peso_ejec, "")</f>
        <v/>
      </c>
      <c r="AR803" s="91" t="str">
        <f t="shared" si="1319"/>
        <v/>
      </c>
      <c r="AS803" s="85" t="str">
        <f t="shared" si="1362"/>
        <v/>
      </c>
      <c r="AT803" s="85" t="str">
        <f t="shared" si="1363"/>
        <v/>
      </c>
      <c r="AU803" s="85" t="str">
        <f>IF(AR803&lt;Tablas!$G$19, 0, IF(AND(AR803&gt;=Tablas!$G$19, AR803&lt;Tablas!$G$20), 1,  IF(AND(AR803&gt;=Tablas!$G$20, AR803&lt;Tablas!$G$21), 2,  IF(AND(AR803&gt;=Tablas!$G$21, AR803&lt;=Tablas!$G$22), 3,  ""))))</f>
        <v/>
      </c>
      <c r="AV803" s="85" t="str">
        <f t="shared" si="1320"/>
        <v/>
      </c>
      <c r="AW803" s="101" t="str">
        <f t="shared" si="1321"/>
        <v/>
      </c>
      <c r="AX803" s="177"/>
      <c r="AY803" s="169"/>
      <c r="AZ803" s="158"/>
      <c r="BA803" s="169"/>
      <c r="BB803" s="182"/>
      <c r="BC803" s="182"/>
      <c r="BD803" s="185"/>
      <c r="BE803" s="185"/>
      <c r="BF803" s="158" t="str">
        <f t="shared" si="1404"/>
        <v/>
      </c>
      <c r="BG803" s="191"/>
    </row>
    <row r="804" spans="1:59" x14ac:dyDescent="0.25">
      <c r="A804" s="167"/>
      <c r="B804" s="167"/>
      <c r="C804" s="161"/>
      <c r="D804" s="160"/>
      <c r="E804" s="162"/>
      <c r="F804" s="164"/>
      <c r="G804" s="161"/>
      <c r="H804" s="161"/>
      <c r="I804" s="161"/>
      <c r="J804" s="161"/>
      <c r="K804" s="161"/>
      <c r="L804" s="166"/>
      <c r="M804" s="166"/>
      <c r="N804" s="166"/>
      <c r="O804" s="166"/>
      <c r="P804" s="166"/>
      <c r="Q804" s="166"/>
      <c r="R804" s="166"/>
      <c r="S804" s="167"/>
      <c r="T804" s="167"/>
      <c r="U804" s="167"/>
      <c r="V804" s="167"/>
      <c r="W804" s="167"/>
      <c r="X804" s="164"/>
      <c r="Y804" s="164"/>
      <c r="Z804" s="172"/>
      <c r="AA804" s="188"/>
      <c r="AB804" s="172"/>
      <c r="AC804" s="172"/>
      <c r="AD804" s="175"/>
      <c r="AE804" s="62" t="s">
        <v>115</v>
      </c>
      <c r="AF804" s="133"/>
      <c r="AG804" s="65"/>
      <c r="AH804" s="64"/>
      <c r="AI804" s="64"/>
      <c r="AJ804" s="64"/>
      <c r="AK804" s="64"/>
      <c r="AL804" s="64"/>
      <c r="AM804" s="80" t="str">
        <f>IFERROR((Tablas!$C$1*VLOOKUP(AH804, tipo_control, 2, 0)+Tablas!$E$1*VLOOKUP(AI804, nat_control, 2, 0)+Tablas!$G$1*VLOOKUP(AJ804, ev_control, 2, 0)+Tablas!$I$1*VLOOKUP(AK804, frec_control, 2, 0)+Tablas!$K$1*VLOOKUP(AL804, doc_control, 2, 0))*0.1*peso_dis, "")</f>
        <v/>
      </c>
      <c r="AN804" s="64"/>
      <c r="AO804" s="64"/>
      <c r="AP804" s="64"/>
      <c r="AQ804" s="80" t="str">
        <f>IFERROR((Tablas!$C$9*VLOOKUP(AN804, amb_control, 2, 0)+Tablas!$E$9*VLOOKUP(AO804, ejec_control, 2, 0)+Tablas!$G$9*VLOOKUP(AP804, cub_control, 2, 0))*0.1*peso_ejec, "")</f>
        <v/>
      </c>
      <c r="AR804" s="91" t="str">
        <f t="shared" si="1319"/>
        <v/>
      </c>
      <c r="AS804" s="85" t="str">
        <f t="shared" si="1362"/>
        <v/>
      </c>
      <c r="AT804" s="85" t="str">
        <f t="shared" si="1363"/>
        <v/>
      </c>
      <c r="AU804" s="85" t="str">
        <f>IF(AR804&lt;Tablas!$G$19, 0, IF(AND(AR804&gt;=Tablas!$G$19, AR804&lt;Tablas!$G$20), 1,  IF(AND(AR804&gt;=Tablas!$G$20, AR804&lt;Tablas!$G$21), 2,  IF(AND(AR804&gt;=Tablas!$G$21, AR804&lt;=Tablas!$G$22), 3,  ""))))</f>
        <v/>
      </c>
      <c r="AV804" s="85" t="str">
        <f t="shared" si="1320"/>
        <v/>
      </c>
      <c r="AW804" s="101" t="str">
        <f t="shared" si="1321"/>
        <v/>
      </c>
      <c r="AX804" s="177"/>
      <c r="AY804" s="169"/>
      <c r="AZ804" s="158"/>
      <c r="BA804" s="169"/>
      <c r="BB804" s="182"/>
      <c r="BC804" s="182"/>
      <c r="BD804" s="185"/>
      <c r="BE804" s="185"/>
      <c r="BF804" s="158" t="str">
        <f t="shared" si="1404"/>
        <v/>
      </c>
      <c r="BG804" s="191"/>
    </row>
    <row r="805" spans="1:59" x14ac:dyDescent="0.25">
      <c r="A805" s="167"/>
      <c r="B805" s="167"/>
      <c r="C805" s="161"/>
      <c r="D805" s="160"/>
      <c r="E805" s="162"/>
      <c r="F805" s="164"/>
      <c r="G805" s="161"/>
      <c r="H805" s="161"/>
      <c r="I805" s="161"/>
      <c r="J805" s="161"/>
      <c r="K805" s="161"/>
      <c r="L805" s="166"/>
      <c r="M805" s="166"/>
      <c r="N805" s="166"/>
      <c r="O805" s="166"/>
      <c r="P805" s="166"/>
      <c r="Q805" s="166"/>
      <c r="R805" s="166"/>
      <c r="S805" s="167"/>
      <c r="T805" s="167"/>
      <c r="U805" s="167"/>
      <c r="V805" s="167"/>
      <c r="W805" s="167"/>
      <c r="X805" s="164"/>
      <c r="Y805" s="164"/>
      <c r="Z805" s="172"/>
      <c r="AA805" s="188"/>
      <c r="AB805" s="172"/>
      <c r="AC805" s="172"/>
      <c r="AD805" s="175"/>
      <c r="AE805" s="62" t="s">
        <v>153</v>
      </c>
      <c r="AF805" s="133"/>
      <c r="AG805" s="65"/>
      <c r="AH805" s="64"/>
      <c r="AI805" s="64"/>
      <c r="AJ805" s="64"/>
      <c r="AK805" s="64"/>
      <c r="AL805" s="64"/>
      <c r="AM805" s="80" t="str">
        <f>IFERROR((Tablas!$C$1*VLOOKUP(AH805, tipo_control, 2, 0)+Tablas!$E$1*VLOOKUP(AI805, nat_control, 2, 0)+Tablas!$G$1*VLOOKUP(AJ805, ev_control, 2, 0)+Tablas!$I$1*VLOOKUP(AK805, frec_control, 2, 0)+Tablas!$K$1*VLOOKUP(AL805, doc_control, 2, 0))*0.1*peso_dis, "")</f>
        <v/>
      </c>
      <c r="AN805" s="64"/>
      <c r="AO805" s="64"/>
      <c r="AP805" s="64"/>
      <c r="AQ805" s="80" t="str">
        <f>IFERROR((Tablas!$C$9*VLOOKUP(AN805, amb_control, 2, 0)+Tablas!$E$9*VLOOKUP(AO805, ejec_control, 2, 0)+Tablas!$G$9*VLOOKUP(AP805, cub_control, 2, 0))*0.1*peso_ejec, "")</f>
        <v/>
      </c>
      <c r="AR805" s="91" t="str">
        <f t="shared" si="1319"/>
        <v/>
      </c>
      <c r="AS805" s="85" t="str">
        <f t="shared" si="1362"/>
        <v/>
      </c>
      <c r="AT805" s="85" t="str">
        <f t="shared" si="1363"/>
        <v/>
      </c>
      <c r="AU805" s="85" t="str">
        <f>IF(AR805&lt;Tablas!$G$19, 0, IF(AND(AR805&gt;=Tablas!$G$19, AR805&lt;Tablas!$G$20), 1,  IF(AND(AR805&gt;=Tablas!$G$20, AR805&lt;Tablas!$G$21), 2,  IF(AND(AR805&gt;=Tablas!$G$21, AR805&lt;=Tablas!$G$22), 3,  ""))))</f>
        <v/>
      </c>
      <c r="AV805" s="85" t="str">
        <f t="shared" si="1320"/>
        <v/>
      </c>
      <c r="AW805" s="101" t="str">
        <f t="shared" si="1321"/>
        <v/>
      </c>
      <c r="AX805" s="177"/>
      <c r="AY805" s="169"/>
      <c r="AZ805" s="158"/>
      <c r="BA805" s="169"/>
      <c r="BB805" s="182"/>
      <c r="BC805" s="182"/>
      <c r="BD805" s="185"/>
      <c r="BE805" s="185"/>
      <c r="BF805" s="158"/>
      <c r="BG805" s="191"/>
    </row>
    <row r="806" spans="1:59" ht="15.75" thickBot="1" x14ac:dyDescent="0.3">
      <c r="A806" s="149"/>
      <c r="B806" s="149"/>
      <c r="C806" s="161"/>
      <c r="D806" s="160"/>
      <c r="E806" s="162"/>
      <c r="F806" s="165"/>
      <c r="G806" s="161"/>
      <c r="H806" s="161"/>
      <c r="I806" s="161"/>
      <c r="J806" s="161"/>
      <c r="K806" s="161"/>
      <c r="L806" s="166"/>
      <c r="M806" s="166"/>
      <c r="N806" s="166"/>
      <c r="O806" s="166"/>
      <c r="P806" s="166"/>
      <c r="Q806" s="166"/>
      <c r="R806" s="166"/>
      <c r="S806" s="149"/>
      <c r="T806" s="149"/>
      <c r="U806" s="149"/>
      <c r="V806" s="149"/>
      <c r="W806" s="149"/>
      <c r="X806" s="165"/>
      <c r="Y806" s="165"/>
      <c r="Z806" s="173"/>
      <c r="AA806" s="189"/>
      <c r="AB806" s="173"/>
      <c r="AC806" s="173"/>
      <c r="AD806" s="175"/>
      <c r="AE806" s="75" t="s">
        <v>154</v>
      </c>
      <c r="AF806" s="136"/>
      <c r="AG806" s="68"/>
      <c r="AH806" s="76"/>
      <c r="AI806" s="76"/>
      <c r="AJ806" s="76"/>
      <c r="AK806" s="76"/>
      <c r="AL806" s="76"/>
      <c r="AM806" s="83" t="str">
        <f>IFERROR((Tablas!$C$1*VLOOKUP(AH806, tipo_control, 2, 0)+Tablas!$E$1*VLOOKUP(AI806, nat_control, 2, 0)+Tablas!$G$1*VLOOKUP(AJ806, ev_control, 2, 0)+Tablas!$I$1*VLOOKUP(AK806, frec_control, 2, 0)+Tablas!$K$1*VLOOKUP(AL806, doc_control, 2, 0))*0.1*peso_dis, "")</f>
        <v/>
      </c>
      <c r="AN806" s="76"/>
      <c r="AO806" s="76"/>
      <c r="AP806" s="76"/>
      <c r="AQ806" s="83" t="str">
        <f>IFERROR((Tablas!$C$9*VLOOKUP(AN806, amb_control, 2, 0)+Tablas!$E$9*VLOOKUP(AO806, ejec_control, 2, 0)+Tablas!$G$9*VLOOKUP(AP806, cub_control, 2, 0))*0.1*peso_ejec, "")</f>
        <v/>
      </c>
      <c r="AR806" s="99" t="str">
        <f t="shared" si="1319"/>
        <v/>
      </c>
      <c r="AS806" s="86" t="str">
        <f t="shared" si="1362"/>
        <v/>
      </c>
      <c r="AT806" s="86" t="str">
        <f t="shared" si="1363"/>
        <v/>
      </c>
      <c r="AU806" s="86" t="str">
        <f>IF(AR806&lt;Tablas!$G$19, 0, IF(AND(AR806&gt;=Tablas!$G$19, AR806&lt;Tablas!$G$20), 1,  IF(AND(AR806&gt;=Tablas!$G$20, AR806&lt;Tablas!$G$21), 2,  IF(AND(AR806&gt;=Tablas!$G$21, AR806&lt;=Tablas!$G$22), 3,  ""))))</f>
        <v/>
      </c>
      <c r="AV806" s="86" t="str">
        <f t="shared" si="1320"/>
        <v/>
      </c>
      <c r="AW806" s="84" t="str">
        <f t="shared" si="1321"/>
        <v/>
      </c>
      <c r="AX806" s="157"/>
      <c r="AY806" s="170"/>
      <c r="AZ806" s="179"/>
      <c r="BA806" s="170"/>
      <c r="BB806" s="183"/>
      <c r="BC806" s="183"/>
      <c r="BD806" s="186"/>
      <c r="BE806" s="186"/>
      <c r="BF806" s="159"/>
      <c r="BG806" s="191"/>
    </row>
    <row r="807" spans="1:59" x14ac:dyDescent="0.25">
      <c r="A807" s="148" t="s">
        <v>207</v>
      </c>
      <c r="B807" s="148" t="s">
        <v>208</v>
      </c>
      <c r="C807" s="161" t="s">
        <v>14</v>
      </c>
      <c r="D807" s="160" t="s">
        <v>158</v>
      </c>
      <c r="E807" s="193"/>
      <c r="F807" s="163" t="str">
        <f t="shared" si="1364"/>
        <v/>
      </c>
      <c r="G807" s="149"/>
      <c r="H807" s="149"/>
      <c r="I807" s="149"/>
      <c r="J807" s="149"/>
      <c r="K807" s="149"/>
      <c r="L807" s="165" t="str">
        <f>IFERROR(VLOOKUP(G807, tabla02, 2, 0), "")</f>
        <v/>
      </c>
      <c r="M807" s="165" t="str">
        <f>IFERROR(VLOOKUP(H807, tabla02, 2, 0), "")</f>
        <v/>
      </c>
      <c r="N807" s="165" t="str">
        <f>IFERROR(VLOOKUP(I807, tabla02, 2, 0), "")</f>
        <v/>
      </c>
      <c r="O807" s="165" t="str">
        <f>IFERROR(VLOOKUP(J807, tabla02, 2, 0), "")</f>
        <v/>
      </c>
      <c r="P807" s="165" t="str">
        <f>IFERROR(VLOOKUP(K807, tabla02, 2, 0), "")</f>
        <v/>
      </c>
      <c r="Q807" s="165" t="str">
        <f t="shared" ref="Q807" si="1405">IF(SUM(L807:O811)=0, "", MAX(L807:P807))</f>
        <v/>
      </c>
      <c r="R807" s="165" t="str">
        <f>IFERROR(VLOOKUP(Q807, tabla04, 3, 0), "")</f>
        <v/>
      </c>
      <c r="S807" s="148"/>
      <c r="T807" s="148"/>
      <c r="U807" s="148"/>
      <c r="V807" s="148"/>
      <c r="W807" s="148"/>
      <c r="X807" s="164" t="str">
        <f>IFERROR(VLOOKUP(CONCATENATE(F807, "-", Q807), cuadrante_sev, 3, 0), "")</f>
        <v/>
      </c>
      <c r="Y807" s="163" t="str">
        <f>IFERROR(IF(X807="Baja", 1, IF(X807="Moderada", 2, IF(X807="Alta", 3, IF(X807="Extrema", 4, "")))), "")</f>
        <v/>
      </c>
      <c r="Z807" s="171">
        <f t="shared" ref="Z807" si="1406">MAX(F807:F856)</f>
        <v>0</v>
      </c>
      <c r="AA807" s="187">
        <f t="shared" ref="AA807" si="1407">MAX(Q807:Q856)</f>
        <v>0</v>
      </c>
      <c r="AB807" s="171" t="str">
        <f>IFERROR(VLOOKUP(Z807, tabla04, 2, 0), "")</f>
        <v/>
      </c>
      <c r="AC807" s="171" t="str">
        <f>IFERROR(VLOOKUP(AA807, tabla04, 3, 0), "")</f>
        <v/>
      </c>
      <c r="AD807" s="174" t="str">
        <f>IFERROR(VLOOKUP(CONCATENATE(Z807, "-", AA807), cuadrante_sev, 3, 0), "")</f>
        <v/>
      </c>
      <c r="AE807" s="59" t="s">
        <v>113</v>
      </c>
      <c r="AF807" s="132"/>
      <c r="AG807" s="77"/>
      <c r="AH807" s="61"/>
      <c r="AI807" s="61"/>
      <c r="AJ807" s="61"/>
      <c r="AK807" s="61"/>
      <c r="AL807" s="61"/>
      <c r="AM807" s="79" t="str">
        <f>IFERROR((Tablas!$C$1*VLOOKUP(AH807, tipo_control, 2, 0)+Tablas!$E$1*VLOOKUP(AI807, nat_control, 2, 0)+Tablas!$G$1*VLOOKUP(AJ807, ev_control, 2, 0)+Tablas!$I$1*VLOOKUP(AK807, frec_control, 2, 0)+Tablas!$K$1*VLOOKUP(AL807, doc_control, 2, 0))*0.1*peso_dis, "")</f>
        <v/>
      </c>
      <c r="AN807" s="61"/>
      <c r="AO807" s="61"/>
      <c r="AP807" s="61"/>
      <c r="AQ807" s="79" t="str">
        <f>IFERROR((Tablas!$C$9*VLOOKUP(AN807, amb_control, 2, 0)+Tablas!$E$9*VLOOKUP(AO807, ejec_control, 2, 0)+Tablas!$G$9*VLOOKUP(AP807, cub_control, 2, 0))*0.1*peso_ejec, "")</f>
        <v/>
      </c>
      <c r="AR807" s="89" t="str">
        <f>IFERROR(AM807+AQ807, "")</f>
        <v/>
      </c>
      <c r="AS807" s="87" t="str">
        <f t="shared" si="1362"/>
        <v/>
      </c>
      <c r="AT807" s="87" t="str">
        <f t="shared" si="1363"/>
        <v/>
      </c>
      <c r="AU807" s="87" t="str">
        <f>IF(AR807&lt;Tablas!$G$19, 0, IF(AND(AR807&gt;=Tablas!$G$19, AR807&lt;Tablas!$G$20), 1,  IF(AND(AR807&gt;=Tablas!$G$20, AR807&lt;Tablas!$G$21), 2,  IF(AND(AR807&gt;=Tablas!$G$21, AR807&lt;=Tablas!$G$22), 3,  ""))))</f>
        <v/>
      </c>
      <c r="AV807" s="87" t="str">
        <f>IF(AS807="Sí",AU807,"")</f>
        <v/>
      </c>
      <c r="AW807" s="100" t="str">
        <f>IF(AT807="Sí",AU807,"")</f>
        <v/>
      </c>
      <c r="AX807" s="176" t="str">
        <f>IFERROR(VLOOKUP(AY807, tabla04, 2, 0), "")</f>
        <v/>
      </c>
      <c r="AY807" s="168" t="str">
        <f>IF(F807="", "", IF((F807-MAX(AV807:AV811))&lt;=0, 1, F807-MAX(AV807:AV811)))</f>
        <v/>
      </c>
      <c r="AZ807" s="178" t="str">
        <f>IFERROR(VLOOKUP(BA807, tabla04, 3, 0), "")</f>
        <v/>
      </c>
      <c r="BA807" s="168" t="str">
        <f>IF(Q807="", "", IF((Q807-MAX(AW807:AW811))&lt;=0, 1, Q807-MAX(AW807:AW811)))</f>
        <v/>
      </c>
      <c r="BB807" s="170">
        <f>IFERROR(MAX(AY807:AY856), "")</f>
        <v>0</v>
      </c>
      <c r="BC807" s="170">
        <f>IFERROR(MAX(BA807:BA856), "")</f>
        <v>0</v>
      </c>
      <c r="BD807" s="184" t="str">
        <f>IFERROR(VLOOKUP(BB807, tabla04, 2, 0), "")</f>
        <v/>
      </c>
      <c r="BE807" s="184" t="str">
        <f>IFERROR(VLOOKUP(BC807, tabla04, 3, 0), "")</f>
        <v/>
      </c>
      <c r="BF807" s="158" t="str">
        <f>IFERROR(VLOOKUP(CONCATENATE(AY807, "-", BA807), cuadrante_sev, 3, 0), "")</f>
        <v/>
      </c>
      <c r="BG807" s="190" t="str">
        <f>IFERROR(VLOOKUP(CONCATENATE(BB807, "-", BC807), cuadrante_sev, 3, 0), "")</f>
        <v/>
      </c>
    </row>
    <row r="808" spans="1:59" x14ac:dyDescent="0.25">
      <c r="A808" s="167"/>
      <c r="B808" s="167"/>
      <c r="C808" s="161"/>
      <c r="D808" s="160"/>
      <c r="E808" s="162"/>
      <c r="F808" s="164"/>
      <c r="G808" s="161"/>
      <c r="H808" s="161"/>
      <c r="I808" s="161"/>
      <c r="J808" s="161"/>
      <c r="K808" s="161"/>
      <c r="L808" s="166"/>
      <c r="M808" s="166"/>
      <c r="N808" s="166"/>
      <c r="O808" s="166"/>
      <c r="P808" s="166"/>
      <c r="Q808" s="166"/>
      <c r="R808" s="166"/>
      <c r="S808" s="167"/>
      <c r="T808" s="167"/>
      <c r="U808" s="167"/>
      <c r="V808" s="167"/>
      <c r="W808" s="167"/>
      <c r="X808" s="164"/>
      <c r="Y808" s="164"/>
      <c r="Z808" s="172"/>
      <c r="AA808" s="188"/>
      <c r="AB808" s="172"/>
      <c r="AC808" s="172"/>
      <c r="AD808" s="175"/>
      <c r="AE808" s="62" t="s">
        <v>114</v>
      </c>
      <c r="AF808" s="133"/>
      <c r="AG808" s="65"/>
      <c r="AH808" s="64"/>
      <c r="AI808" s="64"/>
      <c r="AJ808" s="64"/>
      <c r="AK808" s="64"/>
      <c r="AL808" s="64"/>
      <c r="AM808" s="80" t="str">
        <f>IFERROR((Tablas!$C$1*VLOOKUP(AH808, tipo_control, 2, 0)+Tablas!$E$1*VLOOKUP(AI808, nat_control, 2, 0)+Tablas!$G$1*VLOOKUP(AJ808, ev_control, 2, 0)+Tablas!$I$1*VLOOKUP(AK808, frec_control, 2, 0)+Tablas!$K$1*VLOOKUP(AL808, doc_control, 2, 0))*0.1*peso_dis, "")</f>
        <v/>
      </c>
      <c r="AN808" s="64"/>
      <c r="AO808" s="64"/>
      <c r="AP808" s="64"/>
      <c r="AQ808" s="80" t="str">
        <f>IFERROR((Tablas!$C$9*VLOOKUP(AN808, amb_control, 2, 0)+Tablas!$E$9*VLOOKUP(AO808, ejec_control, 2, 0)+Tablas!$G$9*VLOOKUP(AP808, cub_control, 2, 0))*0.1*peso_ejec, "")</f>
        <v/>
      </c>
      <c r="AR808" s="91" t="str">
        <f t="shared" ref="AR808:AR856" si="1408">IFERROR(AM808+AQ808, "")</f>
        <v/>
      </c>
      <c r="AS808" s="87" t="str">
        <f t="shared" si="1362"/>
        <v/>
      </c>
      <c r="AT808" s="85" t="str">
        <f t="shared" si="1363"/>
        <v/>
      </c>
      <c r="AU808" s="85" t="str">
        <f>IF(AR808&lt;Tablas!$G$19, 0, IF(AND(AR808&gt;=Tablas!$G$19, AR808&lt;Tablas!$G$20), 1,  IF(AND(AR808&gt;=Tablas!$G$20, AR808&lt;Tablas!$G$21), 2,  IF(AND(AR808&gt;=Tablas!$G$21, AR808&lt;=Tablas!$G$22), 3,  ""))))</f>
        <v/>
      </c>
      <c r="AV808" s="85" t="str">
        <f t="shared" ref="AV808:AV856" si="1409">IF(AS808="Sí",AU808,"")</f>
        <v/>
      </c>
      <c r="AW808" s="101" t="str">
        <f t="shared" ref="AW808:AW856" si="1410">IF(AT808="Sí",AU808,"")</f>
        <v/>
      </c>
      <c r="AX808" s="177"/>
      <c r="AY808" s="169"/>
      <c r="AZ808" s="158"/>
      <c r="BA808" s="169"/>
      <c r="BB808" s="182"/>
      <c r="BC808" s="182"/>
      <c r="BD808" s="185"/>
      <c r="BE808" s="185"/>
      <c r="BF808" s="158"/>
      <c r="BG808" s="191"/>
    </row>
    <row r="809" spans="1:59" x14ac:dyDescent="0.25">
      <c r="A809" s="167"/>
      <c r="B809" s="167"/>
      <c r="C809" s="161"/>
      <c r="D809" s="160"/>
      <c r="E809" s="162"/>
      <c r="F809" s="164"/>
      <c r="G809" s="161"/>
      <c r="H809" s="161"/>
      <c r="I809" s="161"/>
      <c r="J809" s="161"/>
      <c r="K809" s="161"/>
      <c r="L809" s="166"/>
      <c r="M809" s="166"/>
      <c r="N809" s="166"/>
      <c r="O809" s="166"/>
      <c r="P809" s="166"/>
      <c r="Q809" s="166"/>
      <c r="R809" s="166"/>
      <c r="S809" s="167"/>
      <c r="T809" s="167"/>
      <c r="U809" s="167"/>
      <c r="V809" s="167"/>
      <c r="W809" s="167"/>
      <c r="X809" s="164"/>
      <c r="Y809" s="164"/>
      <c r="Z809" s="172"/>
      <c r="AA809" s="188"/>
      <c r="AB809" s="172"/>
      <c r="AC809" s="172"/>
      <c r="AD809" s="175"/>
      <c r="AE809" s="62" t="s">
        <v>115</v>
      </c>
      <c r="AF809" s="133"/>
      <c r="AG809" s="65"/>
      <c r="AH809" s="64"/>
      <c r="AI809" s="64"/>
      <c r="AJ809" s="64"/>
      <c r="AK809" s="64"/>
      <c r="AL809" s="64"/>
      <c r="AM809" s="80" t="str">
        <f>IFERROR((Tablas!$C$1*VLOOKUP(AH809, tipo_control, 2, 0)+Tablas!$E$1*VLOOKUP(AI809, nat_control, 2, 0)+Tablas!$G$1*VLOOKUP(AJ809, ev_control, 2, 0)+Tablas!$I$1*VLOOKUP(AK809, frec_control, 2, 0)+Tablas!$K$1*VLOOKUP(AL809, doc_control, 2, 0))*0.1*peso_dis, "")</f>
        <v/>
      </c>
      <c r="AN809" s="64"/>
      <c r="AO809" s="64"/>
      <c r="AP809" s="64"/>
      <c r="AQ809" s="80" t="str">
        <f>IFERROR((Tablas!$C$9*VLOOKUP(AN809, amb_control, 2, 0)+Tablas!$E$9*VLOOKUP(AO809, ejec_control, 2, 0)+Tablas!$G$9*VLOOKUP(AP809, cub_control, 2, 0))*0.1*peso_ejec, "")</f>
        <v/>
      </c>
      <c r="AR809" s="91" t="str">
        <f t="shared" si="1408"/>
        <v/>
      </c>
      <c r="AS809" s="87" t="str">
        <f t="shared" si="1362"/>
        <v/>
      </c>
      <c r="AT809" s="85" t="str">
        <f t="shared" si="1363"/>
        <v/>
      </c>
      <c r="AU809" s="85" t="str">
        <f>IF(AR809&lt;Tablas!$G$19, 0, IF(AND(AR809&gt;=Tablas!$G$19, AR809&lt;Tablas!$G$20), 1,  IF(AND(AR809&gt;=Tablas!$G$20, AR809&lt;Tablas!$G$21), 2,  IF(AND(AR809&gt;=Tablas!$G$21, AR809&lt;=Tablas!$G$22), 3,  ""))))</f>
        <v/>
      </c>
      <c r="AV809" s="85" t="str">
        <f t="shared" si="1409"/>
        <v/>
      </c>
      <c r="AW809" s="101" t="str">
        <f t="shared" si="1410"/>
        <v/>
      </c>
      <c r="AX809" s="177"/>
      <c r="AY809" s="169"/>
      <c r="AZ809" s="158"/>
      <c r="BA809" s="169"/>
      <c r="BB809" s="182"/>
      <c r="BC809" s="182"/>
      <c r="BD809" s="185"/>
      <c r="BE809" s="185"/>
      <c r="BF809" s="158"/>
      <c r="BG809" s="191"/>
    </row>
    <row r="810" spans="1:59" x14ac:dyDescent="0.25">
      <c r="A810" s="167"/>
      <c r="B810" s="167"/>
      <c r="C810" s="161"/>
      <c r="D810" s="160"/>
      <c r="E810" s="162"/>
      <c r="F810" s="164"/>
      <c r="G810" s="161"/>
      <c r="H810" s="161"/>
      <c r="I810" s="161"/>
      <c r="J810" s="161"/>
      <c r="K810" s="161"/>
      <c r="L810" s="166"/>
      <c r="M810" s="166"/>
      <c r="N810" s="166"/>
      <c r="O810" s="166"/>
      <c r="P810" s="166"/>
      <c r="Q810" s="166"/>
      <c r="R810" s="166"/>
      <c r="S810" s="167"/>
      <c r="T810" s="167"/>
      <c r="U810" s="167"/>
      <c r="V810" s="167"/>
      <c r="W810" s="167"/>
      <c r="X810" s="164"/>
      <c r="Y810" s="164"/>
      <c r="Z810" s="172"/>
      <c r="AA810" s="188"/>
      <c r="AB810" s="172"/>
      <c r="AC810" s="172"/>
      <c r="AD810" s="175"/>
      <c r="AE810" s="62" t="s">
        <v>153</v>
      </c>
      <c r="AF810" s="133"/>
      <c r="AG810" s="65"/>
      <c r="AH810" s="64"/>
      <c r="AI810" s="64"/>
      <c r="AJ810" s="64"/>
      <c r="AK810" s="64"/>
      <c r="AL810" s="64"/>
      <c r="AM810" s="80" t="str">
        <f>IFERROR((Tablas!$C$1*VLOOKUP(AH810, tipo_control, 2, 0)+Tablas!$E$1*VLOOKUP(AI810, nat_control, 2, 0)+Tablas!$G$1*VLOOKUP(AJ810, ev_control, 2, 0)+Tablas!$I$1*VLOOKUP(AK810, frec_control, 2, 0)+Tablas!$K$1*VLOOKUP(AL810, doc_control, 2, 0))*0.1*peso_dis, "")</f>
        <v/>
      </c>
      <c r="AN810" s="64"/>
      <c r="AO810" s="64"/>
      <c r="AP810" s="64"/>
      <c r="AQ810" s="80" t="str">
        <f>IFERROR((Tablas!$C$9*VLOOKUP(AN810, amb_control, 2, 0)+Tablas!$E$9*VLOOKUP(AO810, ejec_control, 2, 0)+Tablas!$G$9*VLOOKUP(AP810, cub_control, 2, 0))*0.1*peso_ejec, "")</f>
        <v/>
      </c>
      <c r="AR810" s="91" t="str">
        <f t="shared" si="1408"/>
        <v/>
      </c>
      <c r="AS810" s="87" t="str">
        <f t="shared" si="1362"/>
        <v/>
      </c>
      <c r="AT810" s="85" t="str">
        <f t="shared" si="1363"/>
        <v/>
      </c>
      <c r="AU810" s="85" t="str">
        <f>IF(AR810&lt;Tablas!$G$19, 0, IF(AND(AR810&gt;=Tablas!$G$19, AR810&lt;Tablas!$G$20), 1,  IF(AND(AR810&gt;=Tablas!$G$20, AR810&lt;Tablas!$G$21), 2,  IF(AND(AR810&gt;=Tablas!$G$21, AR810&lt;=Tablas!$G$22), 3,  ""))))</f>
        <v/>
      </c>
      <c r="AV810" s="85" t="str">
        <f t="shared" si="1409"/>
        <v/>
      </c>
      <c r="AW810" s="101" t="str">
        <f t="shared" si="1410"/>
        <v/>
      </c>
      <c r="AX810" s="177"/>
      <c r="AY810" s="169"/>
      <c r="AZ810" s="158"/>
      <c r="BA810" s="169"/>
      <c r="BB810" s="182"/>
      <c r="BC810" s="182"/>
      <c r="BD810" s="185"/>
      <c r="BE810" s="185"/>
      <c r="BF810" s="158"/>
      <c r="BG810" s="191"/>
    </row>
    <row r="811" spans="1:59" ht="15.75" thickBot="1" x14ac:dyDescent="0.3">
      <c r="A811" s="167"/>
      <c r="B811" s="167"/>
      <c r="C811" s="161"/>
      <c r="D811" s="160"/>
      <c r="E811" s="162"/>
      <c r="F811" s="165"/>
      <c r="G811" s="161"/>
      <c r="H811" s="161"/>
      <c r="I811" s="161"/>
      <c r="J811" s="161"/>
      <c r="K811" s="161"/>
      <c r="L811" s="166"/>
      <c r="M811" s="166"/>
      <c r="N811" s="166"/>
      <c r="O811" s="166"/>
      <c r="P811" s="166"/>
      <c r="Q811" s="166"/>
      <c r="R811" s="166"/>
      <c r="S811" s="149"/>
      <c r="T811" s="149"/>
      <c r="U811" s="149"/>
      <c r="V811" s="149"/>
      <c r="W811" s="149"/>
      <c r="X811" s="165"/>
      <c r="Y811" s="165"/>
      <c r="Z811" s="172"/>
      <c r="AA811" s="188"/>
      <c r="AB811" s="172"/>
      <c r="AC811" s="172"/>
      <c r="AD811" s="175"/>
      <c r="AE811" s="66" t="s">
        <v>154</v>
      </c>
      <c r="AF811" s="134"/>
      <c r="AG811" s="67"/>
      <c r="AH811" s="69"/>
      <c r="AI811" s="69"/>
      <c r="AJ811" s="69"/>
      <c r="AK811" s="69"/>
      <c r="AL811" s="69"/>
      <c r="AM811" s="81" t="str">
        <f>IFERROR((Tablas!$C$1*VLOOKUP(AH811, tipo_control, 2, 0)+Tablas!$E$1*VLOOKUP(AI811, nat_control, 2, 0)+Tablas!$G$1*VLOOKUP(AJ811, ev_control, 2, 0)+Tablas!$I$1*VLOOKUP(AK811, frec_control, 2, 0)+Tablas!$K$1*VLOOKUP(AL811, doc_control, 2, 0))*0.1*peso_dis, "")</f>
        <v/>
      </c>
      <c r="AN811" s="69"/>
      <c r="AO811" s="69"/>
      <c r="AP811" s="69"/>
      <c r="AQ811" s="81" t="str">
        <f>IFERROR((Tablas!$C$9*VLOOKUP(AN811, amb_control, 2, 0)+Tablas!$E$9*VLOOKUP(AO811, ejec_control, 2, 0)+Tablas!$G$9*VLOOKUP(AP811, cub_control, 2, 0))*0.1*peso_ejec, "")</f>
        <v/>
      </c>
      <c r="AR811" s="93" t="str">
        <f t="shared" si="1408"/>
        <v/>
      </c>
      <c r="AS811" s="87" t="str">
        <f t="shared" si="1362"/>
        <v/>
      </c>
      <c r="AT811" s="94" t="str">
        <f t="shared" si="1363"/>
        <v/>
      </c>
      <c r="AU811" s="94" t="str">
        <f>IF(AR811&lt;Tablas!$G$19, 0, IF(AND(AR811&gt;=Tablas!$G$19, AR811&lt;Tablas!$G$20), 1,  IF(AND(AR811&gt;=Tablas!$G$20, AR811&lt;Tablas!$G$21), 2,  IF(AND(AR811&gt;=Tablas!$G$21, AR811&lt;=Tablas!$G$22), 3,  ""))))</f>
        <v/>
      </c>
      <c r="AV811" s="94" t="str">
        <f t="shared" si="1409"/>
        <v/>
      </c>
      <c r="AW811" s="102" t="str">
        <f t="shared" si="1410"/>
        <v/>
      </c>
      <c r="AX811" s="157"/>
      <c r="AY811" s="170"/>
      <c r="AZ811" s="179"/>
      <c r="BA811" s="170"/>
      <c r="BB811" s="182"/>
      <c r="BC811" s="182"/>
      <c r="BD811" s="185"/>
      <c r="BE811" s="185"/>
      <c r="BF811" s="159"/>
      <c r="BG811" s="191"/>
    </row>
    <row r="812" spans="1:59" x14ac:dyDescent="0.25">
      <c r="A812" s="167"/>
      <c r="B812" s="167"/>
      <c r="C812" s="161" t="s">
        <v>15</v>
      </c>
      <c r="D812" s="160" t="s">
        <v>158</v>
      </c>
      <c r="E812" s="162"/>
      <c r="F812" s="163" t="str">
        <f t="shared" si="1364"/>
        <v/>
      </c>
      <c r="G812" s="149"/>
      <c r="H812" s="149"/>
      <c r="I812" s="149"/>
      <c r="J812" s="149"/>
      <c r="K812" s="149"/>
      <c r="L812" s="165" t="str">
        <f>IFERROR(VLOOKUP(G812, tabla02, 2, 0), "")</f>
        <v/>
      </c>
      <c r="M812" s="165" t="str">
        <f>IFERROR(VLOOKUP(H812, tabla02, 2, 0), "")</f>
        <v/>
      </c>
      <c r="N812" s="165" t="str">
        <f>IFERROR(VLOOKUP(I812, tabla02, 2, 0), "")</f>
        <v/>
      </c>
      <c r="O812" s="165" t="str">
        <f>IFERROR(VLOOKUP(J812, tabla02, 2, 0), "")</f>
        <v/>
      </c>
      <c r="P812" s="165" t="str">
        <f>IFERROR(VLOOKUP(K812, tabla02, 2, 0), "")</f>
        <v/>
      </c>
      <c r="Q812" s="165" t="str">
        <f t="shared" ref="Q812" si="1411">IF(SUM(L812:O816)=0, "", MAX(L812:P812))</f>
        <v/>
      </c>
      <c r="R812" s="165" t="str">
        <f>IFERROR(VLOOKUP(Q812, tabla04, 3, 0), "")</f>
        <v/>
      </c>
      <c r="S812" s="148"/>
      <c r="T812" s="148"/>
      <c r="U812" s="148"/>
      <c r="V812" s="148"/>
      <c r="W812" s="148"/>
      <c r="X812" s="163" t="str">
        <f>IFERROR(VLOOKUP(CONCATENATE(F812, "-", Q812), cuadrante_sev, 3, 0), "")</f>
        <v/>
      </c>
      <c r="Y812" s="163" t="str">
        <f t="shared" ref="Y812" si="1412">IFERROR(IF(X812="Baja", 1, IF(X812="Moderada", 2, IF(X812="Alta", 3, IF(X812="Extrema", 4, "")))), "")</f>
        <v/>
      </c>
      <c r="Z812" s="172"/>
      <c r="AA812" s="188"/>
      <c r="AB812" s="172"/>
      <c r="AC812" s="172"/>
      <c r="AD812" s="175"/>
      <c r="AE812" s="70" t="s">
        <v>113</v>
      </c>
      <c r="AF812" s="135"/>
      <c r="AG812" s="74"/>
      <c r="AH812" s="72"/>
      <c r="AI812" s="72"/>
      <c r="AJ812" s="72"/>
      <c r="AK812" s="72"/>
      <c r="AL812" s="72"/>
      <c r="AM812" s="82" t="str">
        <f>IFERROR((Tablas!$C$1*VLOOKUP(AH812, tipo_control, 2, 0)+Tablas!$E$1*VLOOKUP(AI812, nat_control, 2, 0)+Tablas!$G$1*VLOOKUP(AJ812, ev_control, 2, 0)+Tablas!$I$1*VLOOKUP(AK812, frec_control, 2, 0)+Tablas!$K$1*VLOOKUP(AL812, doc_control, 2, 0))*0.1*peso_dis, "")</f>
        <v/>
      </c>
      <c r="AN812" s="72"/>
      <c r="AO812" s="72"/>
      <c r="AP812" s="72"/>
      <c r="AQ812" s="82" t="str">
        <f>IFERROR((Tablas!$C$9*VLOOKUP(AN812, amb_control, 2, 0)+Tablas!$E$9*VLOOKUP(AO812, ejec_control, 2, 0)+Tablas!$G$9*VLOOKUP(AP812, cub_control, 2, 0))*0.1*peso_ejec, "")</f>
        <v/>
      </c>
      <c r="AR812" s="96" t="str">
        <f t="shared" si="1408"/>
        <v/>
      </c>
      <c r="AS812" s="97" t="str">
        <f t="shared" si="1362"/>
        <v/>
      </c>
      <c r="AT812" s="87" t="str">
        <f t="shared" si="1363"/>
        <v/>
      </c>
      <c r="AU812" s="97" t="str">
        <f>IF(AR812&lt;Tablas!$G$19, 0, IF(AND(AR812&gt;=Tablas!$G$19, AR812&lt;Tablas!$G$20), 1,  IF(AND(AR812&gt;=Tablas!$G$20, AR812&lt;Tablas!$G$21), 2,  IF(AND(AR812&gt;=Tablas!$G$21, AR812&lt;=Tablas!$G$22), 3,  ""))))</f>
        <v/>
      </c>
      <c r="AV812" s="97" t="str">
        <f t="shared" si="1409"/>
        <v/>
      </c>
      <c r="AW812" s="103" t="str">
        <f t="shared" si="1410"/>
        <v/>
      </c>
      <c r="AX812" s="176" t="str">
        <f t="shared" ref="AX812" si="1413">IFERROR(VLOOKUP(AY812, tabla04, 2, 0), "")</f>
        <v/>
      </c>
      <c r="AY812" s="168" t="str">
        <f>IF(F812="", "", IF((F812-MAX(AV812:AV816))&lt;=0, 1, F812-MAX(AV812:AV816)))</f>
        <v/>
      </c>
      <c r="AZ812" s="178" t="str">
        <f t="shared" ref="AZ812" si="1414">IFERROR(VLOOKUP(BA812, tabla04, 3, 0), "")</f>
        <v/>
      </c>
      <c r="BA812" s="168" t="str">
        <f>IF(Q812="", "", IF((Q812-MAX(AW812:AW816))&lt;=0, 1, Q812-MAX(AW812:AW816)))</f>
        <v/>
      </c>
      <c r="BB812" s="182"/>
      <c r="BC812" s="182"/>
      <c r="BD812" s="185"/>
      <c r="BE812" s="185"/>
      <c r="BF812" s="158" t="str">
        <f t="shared" ref="BF812:BF814" si="1415">IFERROR(VLOOKUP(CONCATENATE(AY812, "-", BA812), cuadrante_sev, 3, 0), "")</f>
        <v/>
      </c>
      <c r="BG812" s="191"/>
    </row>
    <row r="813" spans="1:59" x14ac:dyDescent="0.25">
      <c r="A813" s="167"/>
      <c r="B813" s="167"/>
      <c r="C813" s="161"/>
      <c r="D813" s="160"/>
      <c r="E813" s="162"/>
      <c r="F813" s="164"/>
      <c r="G813" s="161"/>
      <c r="H813" s="161"/>
      <c r="I813" s="161"/>
      <c r="J813" s="161"/>
      <c r="K813" s="161"/>
      <c r="L813" s="166"/>
      <c r="M813" s="166"/>
      <c r="N813" s="166"/>
      <c r="O813" s="166"/>
      <c r="P813" s="166"/>
      <c r="Q813" s="166"/>
      <c r="R813" s="166"/>
      <c r="S813" s="167"/>
      <c r="T813" s="167"/>
      <c r="U813" s="167"/>
      <c r="V813" s="167"/>
      <c r="W813" s="167"/>
      <c r="X813" s="164"/>
      <c r="Y813" s="164"/>
      <c r="Z813" s="172"/>
      <c r="AA813" s="188"/>
      <c r="AB813" s="172"/>
      <c r="AC813" s="172"/>
      <c r="AD813" s="175"/>
      <c r="AE813" s="62" t="s">
        <v>114</v>
      </c>
      <c r="AF813" s="133"/>
      <c r="AG813" s="65"/>
      <c r="AH813" s="64"/>
      <c r="AI813" s="64"/>
      <c r="AJ813" s="64"/>
      <c r="AK813" s="64"/>
      <c r="AL813" s="64"/>
      <c r="AM813" s="80" t="str">
        <f>IFERROR((Tablas!$C$1*VLOOKUP(AH813, tipo_control, 2, 0)+Tablas!$E$1*VLOOKUP(AI813, nat_control, 2, 0)+Tablas!$G$1*VLOOKUP(AJ813, ev_control, 2, 0)+Tablas!$I$1*VLOOKUP(AK813, frec_control, 2, 0)+Tablas!$K$1*VLOOKUP(AL813, doc_control, 2, 0))*0.1*peso_dis, "")</f>
        <v/>
      </c>
      <c r="AN813" s="64"/>
      <c r="AO813" s="64"/>
      <c r="AP813" s="64"/>
      <c r="AQ813" s="80" t="str">
        <f>IFERROR((Tablas!$C$9*VLOOKUP(AN813, amb_control, 2, 0)+Tablas!$E$9*VLOOKUP(AO813, ejec_control, 2, 0)+Tablas!$G$9*VLOOKUP(AP813, cub_control, 2, 0))*0.1*peso_ejec, "")</f>
        <v/>
      </c>
      <c r="AR813" s="91" t="str">
        <f t="shared" si="1408"/>
        <v/>
      </c>
      <c r="AS813" s="85" t="str">
        <f t="shared" si="1362"/>
        <v/>
      </c>
      <c r="AT813" s="85" t="str">
        <f t="shared" si="1363"/>
        <v/>
      </c>
      <c r="AU813" s="85" t="str">
        <f>IF(AR813&lt;Tablas!$G$19, 0, IF(AND(AR813&gt;=Tablas!$G$19, AR813&lt;Tablas!$G$20), 1,  IF(AND(AR813&gt;=Tablas!$G$20, AR813&lt;Tablas!$G$21), 2,  IF(AND(AR813&gt;=Tablas!$G$21, AR813&lt;=Tablas!$G$22), 3,  ""))))</f>
        <v/>
      </c>
      <c r="AV813" s="85" t="str">
        <f t="shared" si="1409"/>
        <v/>
      </c>
      <c r="AW813" s="101" t="str">
        <f t="shared" si="1410"/>
        <v/>
      </c>
      <c r="AX813" s="177"/>
      <c r="AY813" s="169"/>
      <c r="AZ813" s="158"/>
      <c r="BA813" s="169"/>
      <c r="BB813" s="182"/>
      <c r="BC813" s="182"/>
      <c r="BD813" s="185"/>
      <c r="BE813" s="185"/>
      <c r="BF813" s="158" t="str">
        <f t="shared" si="1415"/>
        <v/>
      </c>
      <c r="BG813" s="191"/>
    </row>
    <row r="814" spans="1:59" x14ac:dyDescent="0.25">
      <c r="A814" s="167"/>
      <c r="B814" s="167"/>
      <c r="C814" s="161"/>
      <c r="D814" s="160"/>
      <c r="E814" s="162"/>
      <c r="F814" s="164"/>
      <c r="G814" s="161"/>
      <c r="H814" s="161"/>
      <c r="I814" s="161"/>
      <c r="J814" s="161"/>
      <c r="K814" s="161"/>
      <c r="L814" s="166"/>
      <c r="M814" s="166"/>
      <c r="N814" s="166"/>
      <c r="O814" s="166"/>
      <c r="P814" s="166"/>
      <c r="Q814" s="166"/>
      <c r="R814" s="166"/>
      <c r="S814" s="167"/>
      <c r="T814" s="167"/>
      <c r="U814" s="167"/>
      <c r="V814" s="167"/>
      <c r="W814" s="167"/>
      <c r="X814" s="164"/>
      <c r="Y814" s="164"/>
      <c r="Z814" s="172"/>
      <c r="AA814" s="188"/>
      <c r="AB814" s="172"/>
      <c r="AC814" s="172"/>
      <c r="AD814" s="175"/>
      <c r="AE814" s="62" t="s">
        <v>115</v>
      </c>
      <c r="AF814" s="133"/>
      <c r="AG814" s="65"/>
      <c r="AH814" s="64"/>
      <c r="AI814" s="64"/>
      <c r="AJ814" s="64"/>
      <c r="AK814" s="64"/>
      <c r="AL814" s="64"/>
      <c r="AM814" s="80" t="str">
        <f>IFERROR((Tablas!$C$1*VLOOKUP(AH814, tipo_control, 2, 0)+Tablas!$E$1*VLOOKUP(AI814, nat_control, 2, 0)+Tablas!$G$1*VLOOKUP(AJ814, ev_control, 2, 0)+Tablas!$I$1*VLOOKUP(AK814, frec_control, 2, 0)+Tablas!$K$1*VLOOKUP(AL814, doc_control, 2, 0))*0.1*peso_dis, "")</f>
        <v/>
      </c>
      <c r="AN814" s="64"/>
      <c r="AO814" s="64"/>
      <c r="AP814" s="64"/>
      <c r="AQ814" s="80" t="str">
        <f>IFERROR((Tablas!$C$9*VLOOKUP(AN814, amb_control, 2, 0)+Tablas!$E$9*VLOOKUP(AO814, ejec_control, 2, 0)+Tablas!$G$9*VLOOKUP(AP814, cub_control, 2, 0))*0.1*peso_ejec, "")</f>
        <v/>
      </c>
      <c r="AR814" s="91" t="str">
        <f t="shared" si="1408"/>
        <v/>
      </c>
      <c r="AS814" s="85" t="str">
        <f t="shared" si="1362"/>
        <v/>
      </c>
      <c r="AT814" s="85" t="str">
        <f t="shared" si="1363"/>
        <v/>
      </c>
      <c r="AU814" s="85" t="str">
        <f>IF(AR814&lt;Tablas!$G$19, 0, IF(AND(AR814&gt;=Tablas!$G$19, AR814&lt;Tablas!$G$20), 1,  IF(AND(AR814&gt;=Tablas!$G$20, AR814&lt;Tablas!$G$21), 2,  IF(AND(AR814&gt;=Tablas!$G$21, AR814&lt;=Tablas!$G$22), 3,  ""))))</f>
        <v/>
      </c>
      <c r="AV814" s="85" t="str">
        <f t="shared" si="1409"/>
        <v/>
      </c>
      <c r="AW814" s="101" t="str">
        <f t="shared" si="1410"/>
        <v/>
      </c>
      <c r="AX814" s="177"/>
      <c r="AY814" s="169"/>
      <c r="AZ814" s="158"/>
      <c r="BA814" s="169"/>
      <c r="BB814" s="182"/>
      <c r="BC814" s="182"/>
      <c r="BD814" s="185"/>
      <c r="BE814" s="185"/>
      <c r="BF814" s="158" t="str">
        <f t="shared" si="1415"/>
        <v/>
      </c>
      <c r="BG814" s="191"/>
    </row>
    <row r="815" spans="1:59" x14ac:dyDescent="0.25">
      <c r="A815" s="167"/>
      <c r="B815" s="167"/>
      <c r="C815" s="161"/>
      <c r="D815" s="160"/>
      <c r="E815" s="162"/>
      <c r="F815" s="164"/>
      <c r="G815" s="161"/>
      <c r="H815" s="161"/>
      <c r="I815" s="161"/>
      <c r="J815" s="161"/>
      <c r="K815" s="161"/>
      <c r="L815" s="166"/>
      <c r="M815" s="166"/>
      <c r="N815" s="166"/>
      <c r="O815" s="166"/>
      <c r="P815" s="166"/>
      <c r="Q815" s="166"/>
      <c r="R815" s="166"/>
      <c r="S815" s="167"/>
      <c r="T815" s="167"/>
      <c r="U815" s="167"/>
      <c r="V815" s="167"/>
      <c r="W815" s="167"/>
      <c r="X815" s="164"/>
      <c r="Y815" s="164"/>
      <c r="Z815" s="172"/>
      <c r="AA815" s="188"/>
      <c r="AB815" s="172"/>
      <c r="AC815" s="172"/>
      <c r="AD815" s="175"/>
      <c r="AE815" s="62" t="s">
        <v>153</v>
      </c>
      <c r="AF815" s="133"/>
      <c r="AG815" s="65"/>
      <c r="AH815" s="64"/>
      <c r="AI815" s="64"/>
      <c r="AJ815" s="64"/>
      <c r="AK815" s="64"/>
      <c r="AL815" s="64"/>
      <c r="AM815" s="80" t="str">
        <f>IFERROR((Tablas!$C$1*VLOOKUP(AH815, tipo_control, 2, 0)+Tablas!$E$1*VLOOKUP(AI815, nat_control, 2, 0)+Tablas!$G$1*VLOOKUP(AJ815, ev_control, 2, 0)+Tablas!$I$1*VLOOKUP(AK815, frec_control, 2, 0)+Tablas!$K$1*VLOOKUP(AL815, doc_control, 2, 0))*0.1*peso_dis, "")</f>
        <v/>
      </c>
      <c r="AN815" s="64"/>
      <c r="AO815" s="64"/>
      <c r="AP815" s="64"/>
      <c r="AQ815" s="80" t="str">
        <f>IFERROR((Tablas!$C$9*VLOOKUP(AN815, amb_control, 2, 0)+Tablas!$E$9*VLOOKUP(AO815, ejec_control, 2, 0)+Tablas!$G$9*VLOOKUP(AP815, cub_control, 2, 0))*0.1*peso_ejec, "")</f>
        <v/>
      </c>
      <c r="AR815" s="91" t="str">
        <f t="shared" si="1408"/>
        <v/>
      </c>
      <c r="AS815" s="85" t="str">
        <f t="shared" si="1362"/>
        <v/>
      </c>
      <c r="AT815" s="85" t="str">
        <f t="shared" si="1363"/>
        <v/>
      </c>
      <c r="AU815" s="85" t="str">
        <f>IF(AR815&lt;Tablas!$G$19, 0, IF(AND(AR815&gt;=Tablas!$G$19, AR815&lt;Tablas!$G$20), 1,  IF(AND(AR815&gt;=Tablas!$G$20, AR815&lt;Tablas!$G$21), 2,  IF(AND(AR815&gt;=Tablas!$G$21, AR815&lt;=Tablas!$G$22), 3,  ""))))</f>
        <v/>
      </c>
      <c r="AV815" s="85" t="str">
        <f t="shared" si="1409"/>
        <v/>
      </c>
      <c r="AW815" s="101" t="str">
        <f t="shared" si="1410"/>
        <v/>
      </c>
      <c r="AX815" s="177"/>
      <c r="AY815" s="169"/>
      <c r="AZ815" s="158"/>
      <c r="BA815" s="169"/>
      <c r="BB815" s="182"/>
      <c r="BC815" s="182"/>
      <c r="BD815" s="185"/>
      <c r="BE815" s="185"/>
      <c r="BF815" s="158"/>
      <c r="BG815" s="191"/>
    </row>
    <row r="816" spans="1:59" ht="15.75" thickBot="1" x14ac:dyDescent="0.3">
      <c r="A816" s="167"/>
      <c r="B816" s="167"/>
      <c r="C816" s="161"/>
      <c r="D816" s="160"/>
      <c r="E816" s="162"/>
      <c r="F816" s="165"/>
      <c r="G816" s="161"/>
      <c r="H816" s="161"/>
      <c r="I816" s="161"/>
      <c r="J816" s="161"/>
      <c r="K816" s="161"/>
      <c r="L816" s="166"/>
      <c r="M816" s="166"/>
      <c r="N816" s="166"/>
      <c r="O816" s="166"/>
      <c r="P816" s="166"/>
      <c r="Q816" s="166"/>
      <c r="R816" s="166"/>
      <c r="S816" s="149"/>
      <c r="T816" s="149"/>
      <c r="U816" s="149"/>
      <c r="V816" s="149"/>
      <c r="W816" s="149"/>
      <c r="X816" s="165"/>
      <c r="Y816" s="165"/>
      <c r="Z816" s="172"/>
      <c r="AA816" s="188"/>
      <c r="AB816" s="172"/>
      <c r="AC816" s="172"/>
      <c r="AD816" s="175"/>
      <c r="AE816" s="66" t="s">
        <v>154</v>
      </c>
      <c r="AF816" s="134"/>
      <c r="AG816" s="67"/>
      <c r="AH816" s="69"/>
      <c r="AI816" s="69"/>
      <c r="AJ816" s="69"/>
      <c r="AK816" s="69"/>
      <c r="AL816" s="69"/>
      <c r="AM816" s="81" t="str">
        <f>IFERROR((Tablas!$C$1*VLOOKUP(AH816, tipo_control, 2, 0)+Tablas!$E$1*VLOOKUP(AI816, nat_control, 2, 0)+Tablas!$G$1*VLOOKUP(AJ816, ev_control, 2, 0)+Tablas!$I$1*VLOOKUP(AK816, frec_control, 2, 0)+Tablas!$K$1*VLOOKUP(AL816, doc_control, 2, 0))*0.1*peso_dis, "")</f>
        <v/>
      </c>
      <c r="AN816" s="69"/>
      <c r="AO816" s="69"/>
      <c r="AP816" s="69"/>
      <c r="AQ816" s="81" t="str">
        <f>IFERROR((Tablas!$C$9*VLOOKUP(AN816, amb_control, 2, 0)+Tablas!$E$9*VLOOKUP(AO816, ejec_control, 2, 0)+Tablas!$G$9*VLOOKUP(AP816, cub_control, 2, 0))*0.1*peso_ejec, "")</f>
        <v/>
      </c>
      <c r="AR816" s="93" t="str">
        <f t="shared" si="1408"/>
        <v/>
      </c>
      <c r="AS816" s="94" t="str">
        <f t="shared" si="1362"/>
        <v/>
      </c>
      <c r="AT816" s="94" t="str">
        <f t="shared" si="1363"/>
        <v/>
      </c>
      <c r="AU816" s="94" t="str">
        <f>IF(AR816&lt;Tablas!$G$19, 0, IF(AND(AR816&gt;=Tablas!$G$19, AR816&lt;Tablas!$G$20), 1,  IF(AND(AR816&gt;=Tablas!$G$20, AR816&lt;Tablas!$G$21), 2,  IF(AND(AR816&gt;=Tablas!$G$21, AR816&lt;=Tablas!$G$22), 3,  ""))))</f>
        <v/>
      </c>
      <c r="AV816" s="94" t="str">
        <f t="shared" si="1409"/>
        <v/>
      </c>
      <c r="AW816" s="102" t="str">
        <f t="shared" si="1410"/>
        <v/>
      </c>
      <c r="AX816" s="157"/>
      <c r="AY816" s="170"/>
      <c r="AZ816" s="179"/>
      <c r="BA816" s="170"/>
      <c r="BB816" s="182"/>
      <c r="BC816" s="182"/>
      <c r="BD816" s="185"/>
      <c r="BE816" s="185"/>
      <c r="BF816" s="159"/>
      <c r="BG816" s="191"/>
    </row>
    <row r="817" spans="1:59" x14ac:dyDescent="0.25">
      <c r="A817" s="167"/>
      <c r="B817" s="167"/>
      <c r="C817" s="161" t="s">
        <v>16</v>
      </c>
      <c r="D817" s="160" t="s">
        <v>158</v>
      </c>
      <c r="E817" s="162"/>
      <c r="F817" s="163" t="str">
        <f t="shared" si="1364"/>
        <v/>
      </c>
      <c r="G817" s="149"/>
      <c r="H817" s="149"/>
      <c r="I817" s="149"/>
      <c r="J817" s="149"/>
      <c r="K817" s="149"/>
      <c r="L817" s="165" t="str">
        <f>IFERROR(VLOOKUP(G817, tabla02, 2, 0), "")</f>
        <v/>
      </c>
      <c r="M817" s="165" t="str">
        <f>IFERROR(VLOOKUP(H817, tabla02, 2, 0), "")</f>
        <v/>
      </c>
      <c r="N817" s="165" t="str">
        <f>IFERROR(VLOOKUP(I817, tabla02, 2, 0), "")</f>
        <v/>
      </c>
      <c r="O817" s="165" t="str">
        <f>IFERROR(VLOOKUP(J817, tabla02, 2, 0), "")</f>
        <v/>
      </c>
      <c r="P817" s="165" t="str">
        <f>IFERROR(VLOOKUP(K817, tabla02, 2, 0), "")</f>
        <v/>
      </c>
      <c r="Q817" s="165" t="str">
        <f t="shared" ref="Q817" si="1416">IF(SUM(L817:O821)=0, "", MAX(L817:P817))</f>
        <v/>
      </c>
      <c r="R817" s="165" t="str">
        <f>IFERROR(VLOOKUP(Q817, tabla04, 3, 0), "")</f>
        <v/>
      </c>
      <c r="S817" s="148"/>
      <c r="T817" s="148"/>
      <c r="U817" s="148"/>
      <c r="V817" s="148"/>
      <c r="W817" s="148"/>
      <c r="X817" s="163" t="str">
        <f>IFERROR(VLOOKUP(CONCATENATE(F817, "-", Q817), cuadrante_sev, 3, 0), "")</f>
        <v/>
      </c>
      <c r="Y817" s="163" t="str">
        <f t="shared" ref="Y817" si="1417">IFERROR(IF(X817="Baja", 1, IF(X817="Moderada", 2, IF(X817="Alta", 3, IF(X817="Extrema", 4, "")))), "")</f>
        <v/>
      </c>
      <c r="Z817" s="172"/>
      <c r="AA817" s="188"/>
      <c r="AB817" s="172"/>
      <c r="AC817" s="172"/>
      <c r="AD817" s="175"/>
      <c r="AE817" s="70" t="s">
        <v>113</v>
      </c>
      <c r="AF817" s="135"/>
      <c r="AG817" s="77"/>
      <c r="AH817" s="61"/>
      <c r="AI817" s="61"/>
      <c r="AJ817" s="61"/>
      <c r="AK817" s="61"/>
      <c r="AL817" s="61"/>
      <c r="AM817" s="82" t="str">
        <f>IFERROR((Tablas!$C$1*VLOOKUP(AH817, tipo_control, 2, 0)+Tablas!$E$1*VLOOKUP(AI817, nat_control, 2, 0)+Tablas!$G$1*VLOOKUP(AJ817, ev_control, 2, 0)+Tablas!$I$1*VLOOKUP(AK817, frec_control, 2, 0)+Tablas!$K$1*VLOOKUP(AL817, doc_control, 2, 0))*0.1*peso_dis, "")</f>
        <v/>
      </c>
      <c r="AN817" s="61"/>
      <c r="AO817" s="61"/>
      <c r="AP817" s="61"/>
      <c r="AQ817" s="82" t="str">
        <f>IFERROR((Tablas!$C$9*VLOOKUP(AN817, amb_control, 2, 0)+Tablas!$E$9*VLOOKUP(AO817, ejec_control, 2, 0)+Tablas!$G$9*VLOOKUP(AP817, cub_control, 2, 0))*0.1*peso_ejec, "")</f>
        <v/>
      </c>
      <c r="AR817" s="96" t="str">
        <f t="shared" si="1408"/>
        <v/>
      </c>
      <c r="AS817" s="97" t="str">
        <f t="shared" si="1362"/>
        <v/>
      </c>
      <c r="AT817" s="87" t="str">
        <f t="shared" si="1363"/>
        <v/>
      </c>
      <c r="AU817" s="97" t="str">
        <f>IF(AR817&lt;Tablas!$G$19, 0, IF(AND(AR817&gt;=Tablas!$G$19, AR817&lt;Tablas!$G$20), 1,  IF(AND(AR817&gt;=Tablas!$G$20, AR817&lt;Tablas!$G$21), 2,  IF(AND(AR817&gt;=Tablas!$G$21, AR817&lt;=Tablas!$G$22), 3,  ""))))</f>
        <v/>
      </c>
      <c r="AV817" s="97" t="str">
        <f t="shared" si="1409"/>
        <v/>
      </c>
      <c r="AW817" s="103" t="str">
        <f t="shared" si="1410"/>
        <v/>
      </c>
      <c r="AX817" s="176" t="str">
        <f t="shared" ref="AX817" si="1418">IFERROR(VLOOKUP(AY817, tabla04, 2, 0), "")</f>
        <v/>
      </c>
      <c r="AY817" s="168" t="str">
        <f>IF(F817="", "", IF((F817-MAX(AV817:AV821))&lt;=0, 1, F817-MAX(AV817:AV821)))</f>
        <v/>
      </c>
      <c r="AZ817" s="178" t="str">
        <f t="shared" ref="AZ817" si="1419">IFERROR(VLOOKUP(BA817, tabla04, 3, 0), "")</f>
        <v/>
      </c>
      <c r="BA817" s="168" t="str">
        <f>IF(Q817="", "", IF((Q817-MAX(AW817:AW821))&lt;=0, 1, Q817-MAX(AW817:AW821)))</f>
        <v/>
      </c>
      <c r="BB817" s="182"/>
      <c r="BC817" s="182"/>
      <c r="BD817" s="185"/>
      <c r="BE817" s="185"/>
      <c r="BF817" s="158" t="str">
        <f t="shared" ref="BF817:BF819" si="1420">IFERROR(VLOOKUP(CONCATENATE(AY817, "-", BA817), cuadrante_sev, 3, 0), "")</f>
        <v/>
      </c>
      <c r="BG817" s="191"/>
    </row>
    <row r="818" spans="1:59" x14ac:dyDescent="0.25">
      <c r="A818" s="167"/>
      <c r="B818" s="167"/>
      <c r="C818" s="161"/>
      <c r="D818" s="160"/>
      <c r="E818" s="162"/>
      <c r="F818" s="164"/>
      <c r="G818" s="161"/>
      <c r="H818" s="161"/>
      <c r="I818" s="161"/>
      <c r="J818" s="161"/>
      <c r="K818" s="161"/>
      <c r="L818" s="166"/>
      <c r="M818" s="166"/>
      <c r="N818" s="166"/>
      <c r="O818" s="166"/>
      <c r="P818" s="166"/>
      <c r="Q818" s="166"/>
      <c r="R818" s="166"/>
      <c r="S818" s="167"/>
      <c r="T818" s="167"/>
      <c r="U818" s="167"/>
      <c r="V818" s="167"/>
      <c r="W818" s="167"/>
      <c r="X818" s="164"/>
      <c r="Y818" s="164"/>
      <c r="Z818" s="172"/>
      <c r="AA818" s="188"/>
      <c r="AB818" s="172"/>
      <c r="AC818" s="172"/>
      <c r="AD818" s="175"/>
      <c r="AE818" s="62" t="s">
        <v>114</v>
      </c>
      <c r="AF818" s="133"/>
      <c r="AG818" s="65"/>
      <c r="AH818" s="64"/>
      <c r="AI818" s="64"/>
      <c r="AJ818" s="64"/>
      <c r="AK818" s="64"/>
      <c r="AL818" s="64"/>
      <c r="AM818" s="80" t="str">
        <f>IFERROR((Tablas!$C$1*VLOOKUP(AH818, tipo_control, 2, 0)+Tablas!$E$1*VLOOKUP(AI818, nat_control, 2, 0)+Tablas!$G$1*VLOOKUP(AJ818, ev_control, 2, 0)+Tablas!$I$1*VLOOKUP(AK818, frec_control, 2, 0)+Tablas!$K$1*VLOOKUP(AL818, doc_control, 2, 0))*0.1*peso_dis, "")</f>
        <v/>
      </c>
      <c r="AN818" s="64"/>
      <c r="AO818" s="64"/>
      <c r="AP818" s="64"/>
      <c r="AQ818" s="80" t="str">
        <f>IFERROR((Tablas!$C$9*VLOOKUP(AN818, amb_control, 2, 0)+Tablas!$E$9*VLOOKUP(AO818, ejec_control, 2, 0)+Tablas!$G$9*VLOOKUP(AP818, cub_control, 2, 0))*0.1*peso_ejec, "")</f>
        <v/>
      </c>
      <c r="AR818" s="91" t="str">
        <f t="shared" si="1408"/>
        <v/>
      </c>
      <c r="AS818" s="85" t="str">
        <f t="shared" si="1362"/>
        <v/>
      </c>
      <c r="AT818" s="85" t="str">
        <f t="shared" si="1363"/>
        <v/>
      </c>
      <c r="AU818" s="85" t="str">
        <f>IF(AR818&lt;Tablas!$G$19, 0, IF(AND(AR818&gt;=Tablas!$G$19, AR818&lt;Tablas!$G$20), 1,  IF(AND(AR818&gt;=Tablas!$G$20, AR818&lt;Tablas!$G$21), 2,  IF(AND(AR818&gt;=Tablas!$G$21, AR818&lt;=Tablas!$G$22), 3,  ""))))</f>
        <v/>
      </c>
      <c r="AV818" s="85" t="str">
        <f t="shared" si="1409"/>
        <v/>
      </c>
      <c r="AW818" s="101" t="str">
        <f t="shared" si="1410"/>
        <v/>
      </c>
      <c r="AX818" s="177"/>
      <c r="AY818" s="169"/>
      <c r="AZ818" s="158"/>
      <c r="BA818" s="169"/>
      <c r="BB818" s="182"/>
      <c r="BC818" s="182"/>
      <c r="BD818" s="185"/>
      <c r="BE818" s="185"/>
      <c r="BF818" s="158" t="str">
        <f t="shared" si="1420"/>
        <v/>
      </c>
      <c r="BG818" s="191"/>
    </row>
    <row r="819" spans="1:59" x14ac:dyDescent="0.25">
      <c r="A819" s="167"/>
      <c r="B819" s="167"/>
      <c r="C819" s="161"/>
      <c r="D819" s="160"/>
      <c r="E819" s="162"/>
      <c r="F819" s="164"/>
      <c r="G819" s="161"/>
      <c r="H819" s="161"/>
      <c r="I819" s="161"/>
      <c r="J819" s="161"/>
      <c r="K819" s="161"/>
      <c r="L819" s="166"/>
      <c r="M819" s="166"/>
      <c r="N819" s="166"/>
      <c r="O819" s="166"/>
      <c r="P819" s="166"/>
      <c r="Q819" s="166"/>
      <c r="R819" s="166"/>
      <c r="S819" s="167"/>
      <c r="T819" s="167"/>
      <c r="U819" s="167"/>
      <c r="V819" s="167"/>
      <c r="W819" s="167"/>
      <c r="X819" s="164"/>
      <c r="Y819" s="164"/>
      <c r="Z819" s="172"/>
      <c r="AA819" s="188"/>
      <c r="AB819" s="172"/>
      <c r="AC819" s="172"/>
      <c r="AD819" s="175"/>
      <c r="AE819" s="62" t="s">
        <v>115</v>
      </c>
      <c r="AF819" s="133"/>
      <c r="AG819" s="65"/>
      <c r="AH819" s="64"/>
      <c r="AI819" s="64"/>
      <c r="AJ819" s="64"/>
      <c r="AK819" s="64"/>
      <c r="AL819" s="64"/>
      <c r="AM819" s="80" t="str">
        <f>IFERROR((Tablas!$C$1*VLOOKUP(AH819, tipo_control, 2, 0)+Tablas!$E$1*VLOOKUP(AI819, nat_control, 2, 0)+Tablas!$G$1*VLOOKUP(AJ819, ev_control, 2, 0)+Tablas!$I$1*VLOOKUP(AK819, frec_control, 2, 0)+Tablas!$K$1*VLOOKUP(AL819, doc_control, 2, 0))*0.1*peso_dis, "")</f>
        <v/>
      </c>
      <c r="AN819" s="64"/>
      <c r="AO819" s="64"/>
      <c r="AP819" s="64"/>
      <c r="AQ819" s="80" t="str">
        <f>IFERROR((Tablas!$C$9*VLOOKUP(AN819, amb_control, 2, 0)+Tablas!$E$9*VLOOKUP(AO819, ejec_control, 2, 0)+Tablas!$G$9*VLOOKUP(AP819, cub_control, 2, 0))*0.1*peso_ejec, "")</f>
        <v/>
      </c>
      <c r="AR819" s="91" t="str">
        <f t="shared" si="1408"/>
        <v/>
      </c>
      <c r="AS819" s="85" t="str">
        <f t="shared" si="1362"/>
        <v/>
      </c>
      <c r="AT819" s="85" t="str">
        <f t="shared" si="1363"/>
        <v/>
      </c>
      <c r="AU819" s="85" t="str">
        <f>IF(AR819&lt;Tablas!$G$19, 0, IF(AND(AR819&gt;=Tablas!$G$19, AR819&lt;Tablas!$G$20), 1,  IF(AND(AR819&gt;=Tablas!$G$20, AR819&lt;Tablas!$G$21), 2,  IF(AND(AR819&gt;=Tablas!$G$21, AR819&lt;=Tablas!$G$22), 3,  ""))))</f>
        <v/>
      </c>
      <c r="AV819" s="85" t="str">
        <f t="shared" si="1409"/>
        <v/>
      </c>
      <c r="AW819" s="101" t="str">
        <f t="shared" si="1410"/>
        <v/>
      </c>
      <c r="AX819" s="177"/>
      <c r="AY819" s="169"/>
      <c r="AZ819" s="158"/>
      <c r="BA819" s="169"/>
      <c r="BB819" s="182"/>
      <c r="BC819" s="182"/>
      <c r="BD819" s="185"/>
      <c r="BE819" s="185"/>
      <c r="BF819" s="158" t="str">
        <f t="shared" si="1420"/>
        <v/>
      </c>
      <c r="BG819" s="191"/>
    </row>
    <row r="820" spans="1:59" x14ac:dyDescent="0.25">
      <c r="A820" s="167"/>
      <c r="B820" s="167"/>
      <c r="C820" s="161"/>
      <c r="D820" s="160"/>
      <c r="E820" s="162"/>
      <c r="F820" s="164"/>
      <c r="G820" s="161"/>
      <c r="H820" s="161"/>
      <c r="I820" s="161"/>
      <c r="J820" s="161"/>
      <c r="K820" s="161"/>
      <c r="L820" s="166"/>
      <c r="M820" s="166"/>
      <c r="N820" s="166"/>
      <c r="O820" s="166"/>
      <c r="P820" s="166"/>
      <c r="Q820" s="166"/>
      <c r="R820" s="166"/>
      <c r="S820" s="167"/>
      <c r="T820" s="167"/>
      <c r="U820" s="167"/>
      <c r="V820" s="167"/>
      <c r="W820" s="167"/>
      <c r="X820" s="164"/>
      <c r="Y820" s="164"/>
      <c r="Z820" s="172"/>
      <c r="AA820" s="188"/>
      <c r="AB820" s="172"/>
      <c r="AC820" s="172"/>
      <c r="AD820" s="175"/>
      <c r="AE820" s="62" t="s">
        <v>153</v>
      </c>
      <c r="AF820" s="133"/>
      <c r="AG820" s="65"/>
      <c r="AH820" s="64"/>
      <c r="AI820" s="64"/>
      <c r="AJ820" s="64"/>
      <c r="AK820" s="64"/>
      <c r="AL820" s="64"/>
      <c r="AM820" s="80" t="str">
        <f>IFERROR((Tablas!$C$1*VLOOKUP(AH820, tipo_control, 2, 0)+Tablas!$E$1*VLOOKUP(AI820, nat_control, 2, 0)+Tablas!$G$1*VLOOKUP(AJ820, ev_control, 2, 0)+Tablas!$I$1*VLOOKUP(AK820, frec_control, 2, 0)+Tablas!$K$1*VLOOKUP(AL820, doc_control, 2, 0))*0.1*peso_dis, "")</f>
        <v/>
      </c>
      <c r="AN820" s="64"/>
      <c r="AO820" s="64"/>
      <c r="AP820" s="64"/>
      <c r="AQ820" s="80" t="str">
        <f>IFERROR((Tablas!$C$9*VLOOKUP(AN820, amb_control, 2, 0)+Tablas!$E$9*VLOOKUP(AO820, ejec_control, 2, 0)+Tablas!$G$9*VLOOKUP(AP820, cub_control, 2, 0))*0.1*peso_ejec, "")</f>
        <v/>
      </c>
      <c r="AR820" s="91" t="str">
        <f t="shared" si="1408"/>
        <v/>
      </c>
      <c r="AS820" s="85" t="str">
        <f t="shared" si="1362"/>
        <v/>
      </c>
      <c r="AT820" s="85" t="str">
        <f t="shared" si="1363"/>
        <v/>
      </c>
      <c r="AU820" s="85" t="str">
        <f>IF(AR820&lt;Tablas!$G$19, 0, IF(AND(AR820&gt;=Tablas!$G$19, AR820&lt;Tablas!$G$20), 1,  IF(AND(AR820&gt;=Tablas!$G$20, AR820&lt;Tablas!$G$21), 2,  IF(AND(AR820&gt;=Tablas!$G$21, AR820&lt;=Tablas!$G$22), 3,  ""))))</f>
        <v/>
      </c>
      <c r="AV820" s="85" t="str">
        <f t="shared" si="1409"/>
        <v/>
      </c>
      <c r="AW820" s="101" t="str">
        <f t="shared" si="1410"/>
        <v/>
      </c>
      <c r="AX820" s="177"/>
      <c r="AY820" s="169"/>
      <c r="AZ820" s="158"/>
      <c r="BA820" s="169"/>
      <c r="BB820" s="182"/>
      <c r="BC820" s="182"/>
      <c r="BD820" s="185"/>
      <c r="BE820" s="185"/>
      <c r="BF820" s="158"/>
      <c r="BG820" s="191"/>
    </row>
    <row r="821" spans="1:59" ht="15.75" thickBot="1" x14ac:dyDescent="0.3">
      <c r="A821" s="167"/>
      <c r="B821" s="167"/>
      <c r="C821" s="161"/>
      <c r="D821" s="160"/>
      <c r="E821" s="162"/>
      <c r="F821" s="165"/>
      <c r="G821" s="161"/>
      <c r="H821" s="161"/>
      <c r="I821" s="161"/>
      <c r="J821" s="161"/>
      <c r="K821" s="161"/>
      <c r="L821" s="166"/>
      <c r="M821" s="166"/>
      <c r="N821" s="166"/>
      <c r="O821" s="166"/>
      <c r="P821" s="166"/>
      <c r="Q821" s="166"/>
      <c r="R821" s="166"/>
      <c r="S821" s="149"/>
      <c r="T821" s="149"/>
      <c r="U821" s="149"/>
      <c r="V821" s="149"/>
      <c r="W821" s="149"/>
      <c r="X821" s="165"/>
      <c r="Y821" s="165"/>
      <c r="Z821" s="172"/>
      <c r="AA821" s="188"/>
      <c r="AB821" s="172"/>
      <c r="AC821" s="172"/>
      <c r="AD821" s="175"/>
      <c r="AE821" s="66" t="s">
        <v>154</v>
      </c>
      <c r="AF821" s="134"/>
      <c r="AG821" s="67"/>
      <c r="AH821" s="69"/>
      <c r="AI821" s="69"/>
      <c r="AJ821" s="69"/>
      <c r="AK821" s="69"/>
      <c r="AL821" s="69"/>
      <c r="AM821" s="81" t="str">
        <f>IFERROR((Tablas!$C$1*VLOOKUP(AH821, tipo_control, 2, 0)+Tablas!$E$1*VLOOKUP(AI821, nat_control, 2, 0)+Tablas!$G$1*VLOOKUP(AJ821, ev_control, 2, 0)+Tablas!$I$1*VLOOKUP(AK821, frec_control, 2, 0)+Tablas!$K$1*VLOOKUP(AL821, doc_control, 2, 0))*0.1*peso_dis, "")</f>
        <v/>
      </c>
      <c r="AN821" s="69"/>
      <c r="AO821" s="69"/>
      <c r="AP821" s="69"/>
      <c r="AQ821" s="81" t="str">
        <f>IFERROR((Tablas!$C$9*VLOOKUP(AN821, amb_control, 2, 0)+Tablas!$E$9*VLOOKUP(AO821, ejec_control, 2, 0)+Tablas!$G$9*VLOOKUP(AP821, cub_control, 2, 0))*0.1*peso_ejec, "")</f>
        <v/>
      </c>
      <c r="AR821" s="93" t="str">
        <f t="shared" si="1408"/>
        <v/>
      </c>
      <c r="AS821" s="94" t="str">
        <f t="shared" si="1362"/>
        <v/>
      </c>
      <c r="AT821" s="94" t="str">
        <f t="shared" si="1363"/>
        <v/>
      </c>
      <c r="AU821" s="94" t="str">
        <f>IF(AR821&lt;Tablas!$G$19, 0, IF(AND(AR821&gt;=Tablas!$G$19, AR821&lt;Tablas!$G$20), 1,  IF(AND(AR821&gt;=Tablas!$G$20, AR821&lt;Tablas!$G$21), 2,  IF(AND(AR821&gt;=Tablas!$G$21, AR821&lt;=Tablas!$G$22), 3,  ""))))</f>
        <v/>
      </c>
      <c r="AV821" s="94" t="str">
        <f t="shared" si="1409"/>
        <v/>
      </c>
      <c r="AW821" s="102" t="str">
        <f t="shared" si="1410"/>
        <v/>
      </c>
      <c r="AX821" s="157"/>
      <c r="AY821" s="170"/>
      <c r="AZ821" s="179"/>
      <c r="BA821" s="170"/>
      <c r="BB821" s="182"/>
      <c r="BC821" s="182"/>
      <c r="BD821" s="185"/>
      <c r="BE821" s="185"/>
      <c r="BF821" s="159"/>
      <c r="BG821" s="191"/>
    </row>
    <row r="822" spans="1:59" x14ac:dyDescent="0.25">
      <c r="A822" s="167"/>
      <c r="B822" s="167"/>
      <c r="C822" s="161" t="s">
        <v>18</v>
      </c>
      <c r="D822" s="160" t="s">
        <v>158</v>
      </c>
      <c r="E822" s="162"/>
      <c r="F822" s="163" t="str">
        <f t="shared" si="1364"/>
        <v/>
      </c>
      <c r="G822" s="149"/>
      <c r="H822" s="149"/>
      <c r="I822" s="149"/>
      <c r="J822" s="149"/>
      <c r="K822" s="149"/>
      <c r="L822" s="165" t="str">
        <f t="shared" ref="L822" si="1421">IFERROR(VLOOKUP(G822, tabla02, 2, 0), "")</f>
        <v/>
      </c>
      <c r="M822" s="165" t="str">
        <f t="shared" ref="M822" si="1422">IFERROR(VLOOKUP(H822, tabla02, 2, 0), "")</f>
        <v/>
      </c>
      <c r="N822" s="165" t="str">
        <f t="shared" ref="N822" si="1423">IFERROR(VLOOKUP(I822, tabla02, 2, 0), "")</f>
        <v/>
      </c>
      <c r="O822" s="165" t="str">
        <f t="shared" ref="O822" si="1424">IFERROR(VLOOKUP(J822, tabla02, 2, 0), "")</f>
        <v/>
      </c>
      <c r="P822" s="165" t="str">
        <f t="shared" ref="P822" si="1425">IFERROR(VLOOKUP(K822, tabla02, 2, 0), "")</f>
        <v/>
      </c>
      <c r="Q822" s="165" t="str">
        <f t="shared" ref="Q822" si="1426">IF(SUM(L822:O826)=0, "", MAX(L822:P822))</f>
        <v/>
      </c>
      <c r="R822" s="165" t="str">
        <f>IFERROR(VLOOKUP(Q822, tabla04, 3, 0), "")</f>
        <v/>
      </c>
      <c r="S822" s="148"/>
      <c r="T822" s="148"/>
      <c r="U822" s="148"/>
      <c r="V822" s="148"/>
      <c r="W822" s="148"/>
      <c r="X822" s="163" t="str">
        <f>IFERROR(VLOOKUP(CONCATENATE(F822, "-", Q822), cuadrante_sev, 3, 0), "")</f>
        <v/>
      </c>
      <c r="Y822" s="163" t="str">
        <f t="shared" ref="Y822" si="1427">IFERROR(IF(X822="Baja", 1, IF(X822="Moderada", 2, IF(X822="Alta", 3, IF(X822="Extrema", 4, "")))), "")</f>
        <v/>
      </c>
      <c r="Z822" s="172"/>
      <c r="AA822" s="188"/>
      <c r="AB822" s="172"/>
      <c r="AC822" s="172"/>
      <c r="AD822" s="175"/>
      <c r="AE822" s="70" t="s">
        <v>113</v>
      </c>
      <c r="AF822" s="135"/>
      <c r="AG822" s="77"/>
      <c r="AH822" s="61"/>
      <c r="AI822" s="61"/>
      <c r="AJ822" s="61"/>
      <c r="AK822" s="61"/>
      <c r="AL822" s="61"/>
      <c r="AM822" s="82" t="str">
        <f>IFERROR((Tablas!$C$1*VLOOKUP(AH822, tipo_control, 2, 0)+Tablas!$E$1*VLOOKUP(AI822, nat_control, 2, 0)+Tablas!$G$1*VLOOKUP(AJ822, ev_control, 2, 0)+Tablas!$I$1*VLOOKUP(AK822, frec_control, 2, 0)+Tablas!$K$1*VLOOKUP(AL822, doc_control, 2, 0))*0.1*peso_dis, "")</f>
        <v/>
      </c>
      <c r="AN822" s="61"/>
      <c r="AO822" s="61"/>
      <c r="AP822" s="61"/>
      <c r="AQ822" s="82" t="str">
        <f>IFERROR((Tablas!$C$9*VLOOKUP(AN822, amb_control, 2, 0)+Tablas!$E$9*VLOOKUP(AO822, ejec_control, 2, 0)+Tablas!$G$9*VLOOKUP(AP822, cub_control, 2, 0))*0.1*peso_ejec, "")</f>
        <v/>
      </c>
      <c r="AR822" s="96" t="str">
        <f t="shared" si="1408"/>
        <v/>
      </c>
      <c r="AS822" s="97" t="str">
        <f t="shared" si="1362"/>
        <v/>
      </c>
      <c r="AT822" s="87" t="str">
        <f t="shared" si="1363"/>
        <v/>
      </c>
      <c r="AU822" s="97" t="str">
        <f>IF(AR822&lt;Tablas!$G$19, 0, IF(AND(AR822&gt;=Tablas!$G$19, AR822&lt;Tablas!$G$20), 1,  IF(AND(AR822&gt;=Tablas!$G$20, AR822&lt;Tablas!$G$21), 2,  IF(AND(AR822&gt;=Tablas!$G$21, AR822&lt;=Tablas!$G$22), 3,  ""))))</f>
        <v/>
      </c>
      <c r="AV822" s="97" t="str">
        <f t="shared" si="1409"/>
        <v/>
      </c>
      <c r="AW822" s="103" t="str">
        <f t="shared" si="1410"/>
        <v/>
      </c>
      <c r="AX822" s="176" t="str">
        <f t="shared" ref="AX822" si="1428">IFERROR(VLOOKUP(AY822, tabla04, 2, 0), "")</f>
        <v/>
      </c>
      <c r="AY822" s="168" t="str">
        <f>IF(F822="", "", IF((F822-MAX(AV822:AV826))&lt;=0, 1, F822-MAX(AV822:AV826)))</f>
        <v/>
      </c>
      <c r="AZ822" s="178" t="str">
        <f t="shared" ref="AZ822" si="1429">IFERROR(VLOOKUP(BA822, tabla04, 3, 0), "")</f>
        <v/>
      </c>
      <c r="BA822" s="168" t="str">
        <f>IF(Q822="", "", IF((Q822-MAX(AW822:AW826))&lt;=0, 1, Q822-MAX(AW822:AW826)))</f>
        <v/>
      </c>
      <c r="BB822" s="182"/>
      <c r="BC822" s="182"/>
      <c r="BD822" s="185"/>
      <c r="BE822" s="185"/>
      <c r="BF822" s="158" t="str">
        <f t="shared" ref="BF822:BF824" si="1430">IFERROR(VLOOKUP(CONCATENATE(AY822, "-", BA822), cuadrante_sev, 3, 0), "")</f>
        <v/>
      </c>
      <c r="BG822" s="191"/>
    </row>
    <row r="823" spans="1:59" x14ac:dyDescent="0.25">
      <c r="A823" s="167"/>
      <c r="B823" s="167"/>
      <c r="C823" s="161"/>
      <c r="D823" s="160"/>
      <c r="E823" s="162"/>
      <c r="F823" s="164"/>
      <c r="G823" s="161"/>
      <c r="H823" s="161"/>
      <c r="I823" s="161"/>
      <c r="J823" s="161"/>
      <c r="K823" s="161"/>
      <c r="L823" s="166"/>
      <c r="M823" s="166"/>
      <c r="N823" s="166"/>
      <c r="O823" s="166"/>
      <c r="P823" s="166"/>
      <c r="Q823" s="166"/>
      <c r="R823" s="166"/>
      <c r="S823" s="167"/>
      <c r="T823" s="167"/>
      <c r="U823" s="167"/>
      <c r="V823" s="167"/>
      <c r="W823" s="167"/>
      <c r="X823" s="164"/>
      <c r="Y823" s="164"/>
      <c r="Z823" s="172"/>
      <c r="AA823" s="188"/>
      <c r="AB823" s="172"/>
      <c r="AC823" s="172"/>
      <c r="AD823" s="175"/>
      <c r="AE823" s="62" t="s">
        <v>114</v>
      </c>
      <c r="AF823" s="133"/>
      <c r="AG823" s="65"/>
      <c r="AH823" s="64"/>
      <c r="AI823" s="64"/>
      <c r="AJ823" s="64"/>
      <c r="AK823" s="64"/>
      <c r="AL823" s="64"/>
      <c r="AM823" s="80" t="str">
        <f>IFERROR((Tablas!$C$1*VLOOKUP(AH823, tipo_control, 2, 0)+Tablas!$E$1*VLOOKUP(AI823, nat_control, 2, 0)+Tablas!$G$1*VLOOKUP(AJ823, ev_control, 2, 0)+Tablas!$I$1*VLOOKUP(AK823, frec_control, 2, 0)+Tablas!$K$1*VLOOKUP(AL823, doc_control, 2, 0))*0.1*peso_dis, "")</f>
        <v/>
      </c>
      <c r="AN823" s="64"/>
      <c r="AO823" s="64"/>
      <c r="AP823" s="64"/>
      <c r="AQ823" s="80" t="str">
        <f>IFERROR((Tablas!$C$9*VLOOKUP(AN823, amb_control, 2, 0)+Tablas!$E$9*VLOOKUP(AO823, ejec_control, 2, 0)+Tablas!$G$9*VLOOKUP(AP823, cub_control, 2, 0))*0.1*peso_ejec, "")</f>
        <v/>
      </c>
      <c r="AR823" s="91" t="str">
        <f t="shared" si="1408"/>
        <v/>
      </c>
      <c r="AS823" s="85" t="str">
        <f t="shared" si="1362"/>
        <v/>
      </c>
      <c r="AT823" s="85" t="str">
        <f t="shared" si="1363"/>
        <v/>
      </c>
      <c r="AU823" s="85" t="str">
        <f>IF(AR823&lt;Tablas!$G$19, 0, IF(AND(AR823&gt;=Tablas!$G$19, AR823&lt;Tablas!$G$20), 1,  IF(AND(AR823&gt;=Tablas!$G$20, AR823&lt;Tablas!$G$21), 2,  IF(AND(AR823&gt;=Tablas!$G$21, AR823&lt;=Tablas!$G$22), 3,  ""))))</f>
        <v/>
      </c>
      <c r="AV823" s="85" t="str">
        <f t="shared" si="1409"/>
        <v/>
      </c>
      <c r="AW823" s="101" t="str">
        <f t="shared" si="1410"/>
        <v/>
      </c>
      <c r="AX823" s="177"/>
      <c r="AY823" s="169"/>
      <c r="AZ823" s="158"/>
      <c r="BA823" s="169"/>
      <c r="BB823" s="182"/>
      <c r="BC823" s="182"/>
      <c r="BD823" s="185"/>
      <c r="BE823" s="185"/>
      <c r="BF823" s="158" t="str">
        <f t="shared" si="1430"/>
        <v/>
      </c>
      <c r="BG823" s="191"/>
    </row>
    <row r="824" spans="1:59" x14ac:dyDescent="0.25">
      <c r="A824" s="167"/>
      <c r="B824" s="167"/>
      <c r="C824" s="161"/>
      <c r="D824" s="160"/>
      <c r="E824" s="162"/>
      <c r="F824" s="164"/>
      <c r="G824" s="161"/>
      <c r="H824" s="161"/>
      <c r="I824" s="161"/>
      <c r="J824" s="161"/>
      <c r="K824" s="161"/>
      <c r="L824" s="166"/>
      <c r="M824" s="166"/>
      <c r="N824" s="166"/>
      <c r="O824" s="166"/>
      <c r="P824" s="166"/>
      <c r="Q824" s="166"/>
      <c r="R824" s="166"/>
      <c r="S824" s="167"/>
      <c r="T824" s="167"/>
      <c r="U824" s="167"/>
      <c r="V824" s="167"/>
      <c r="W824" s="167"/>
      <c r="X824" s="164"/>
      <c r="Y824" s="164"/>
      <c r="Z824" s="172"/>
      <c r="AA824" s="188"/>
      <c r="AB824" s="172"/>
      <c r="AC824" s="172"/>
      <c r="AD824" s="175"/>
      <c r="AE824" s="62" t="s">
        <v>115</v>
      </c>
      <c r="AF824" s="133"/>
      <c r="AG824" s="65"/>
      <c r="AH824" s="64"/>
      <c r="AI824" s="64"/>
      <c r="AJ824" s="64"/>
      <c r="AK824" s="64"/>
      <c r="AL824" s="64"/>
      <c r="AM824" s="80" t="str">
        <f>IFERROR((Tablas!$C$1*VLOOKUP(AH824, tipo_control, 2, 0)+Tablas!$E$1*VLOOKUP(AI824, nat_control, 2, 0)+Tablas!$G$1*VLOOKUP(AJ824, ev_control, 2, 0)+Tablas!$I$1*VLOOKUP(AK824, frec_control, 2, 0)+Tablas!$K$1*VLOOKUP(AL824, doc_control, 2, 0))*0.1*peso_dis, "")</f>
        <v/>
      </c>
      <c r="AN824" s="64"/>
      <c r="AO824" s="64"/>
      <c r="AP824" s="64"/>
      <c r="AQ824" s="80" t="str">
        <f>IFERROR((Tablas!$C$9*VLOOKUP(AN824, amb_control, 2, 0)+Tablas!$E$9*VLOOKUP(AO824, ejec_control, 2, 0)+Tablas!$G$9*VLOOKUP(AP824, cub_control, 2, 0))*0.1*peso_ejec, "")</f>
        <v/>
      </c>
      <c r="AR824" s="91" t="str">
        <f t="shared" si="1408"/>
        <v/>
      </c>
      <c r="AS824" s="85" t="str">
        <f t="shared" si="1362"/>
        <v/>
      </c>
      <c r="AT824" s="85" t="str">
        <f t="shared" si="1363"/>
        <v/>
      </c>
      <c r="AU824" s="85" t="str">
        <f>IF(AR824&lt;Tablas!$G$19, 0, IF(AND(AR824&gt;=Tablas!$G$19, AR824&lt;Tablas!$G$20), 1,  IF(AND(AR824&gt;=Tablas!$G$20, AR824&lt;Tablas!$G$21), 2,  IF(AND(AR824&gt;=Tablas!$G$21, AR824&lt;=Tablas!$G$22), 3,  ""))))</f>
        <v/>
      </c>
      <c r="AV824" s="85" t="str">
        <f t="shared" si="1409"/>
        <v/>
      </c>
      <c r="AW824" s="101" t="str">
        <f t="shared" si="1410"/>
        <v/>
      </c>
      <c r="AX824" s="177"/>
      <c r="AY824" s="169"/>
      <c r="AZ824" s="158"/>
      <c r="BA824" s="169"/>
      <c r="BB824" s="182"/>
      <c r="BC824" s="182"/>
      <c r="BD824" s="185"/>
      <c r="BE824" s="185"/>
      <c r="BF824" s="158" t="str">
        <f t="shared" si="1430"/>
        <v/>
      </c>
      <c r="BG824" s="191"/>
    </row>
    <row r="825" spans="1:59" x14ac:dyDescent="0.25">
      <c r="A825" s="167"/>
      <c r="B825" s="167"/>
      <c r="C825" s="161"/>
      <c r="D825" s="160"/>
      <c r="E825" s="162"/>
      <c r="F825" s="164"/>
      <c r="G825" s="161"/>
      <c r="H825" s="161"/>
      <c r="I825" s="161"/>
      <c r="J825" s="161"/>
      <c r="K825" s="161"/>
      <c r="L825" s="166"/>
      <c r="M825" s="166"/>
      <c r="N825" s="166"/>
      <c r="O825" s="166"/>
      <c r="P825" s="166"/>
      <c r="Q825" s="166"/>
      <c r="R825" s="166"/>
      <c r="S825" s="167"/>
      <c r="T825" s="167"/>
      <c r="U825" s="167"/>
      <c r="V825" s="167"/>
      <c r="W825" s="167"/>
      <c r="X825" s="164"/>
      <c r="Y825" s="164"/>
      <c r="Z825" s="172"/>
      <c r="AA825" s="188"/>
      <c r="AB825" s="172"/>
      <c r="AC825" s="172"/>
      <c r="AD825" s="175"/>
      <c r="AE825" s="62" t="s">
        <v>153</v>
      </c>
      <c r="AF825" s="133"/>
      <c r="AG825" s="65"/>
      <c r="AH825" s="64"/>
      <c r="AI825" s="64"/>
      <c r="AJ825" s="64"/>
      <c r="AK825" s="64"/>
      <c r="AL825" s="64"/>
      <c r="AM825" s="80" t="str">
        <f>IFERROR((Tablas!$C$1*VLOOKUP(AH825, tipo_control, 2, 0)+Tablas!$E$1*VLOOKUP(AI825, nat_control, 2, 0)+Tablas!$G$1*VLOOKUP(AJ825, ev_control, 2, 0)+Tablas!$I$1*VLOOKUP(AK825, frec_control, 2, 0)+Tablas!$K$1*VLOOKUP(AL825, doc_control, 2, 0))*0.1*peso_dis, "")</f>
        <v/>
      </c>
      <c r="AN825" s="64"/>
      <c r="AO825" s="64"/>
      <c r="AP825" s="64"/>
      <c r="AQ825" s="80" t="str">
        <f>IFERROR((Tablas!$C$9*VLOOKUP(AN825, amb_control, 2, 0)+Tablas!$E$9*VLOOKUP(AO825, ejec_control, 2, 0)+Tablas!$G$9*VLOOKUP(AP825, cub_control, 2, 0))*0.1*peso_ejec, "")</f>
        <v/>
      </c>
      <c r="AR825" s="91" t="str">
        <f t="shared" si="1408"/>
        <v/>
      </c>
      <c r="AS825" s="85" t="str">
        <f t="shared" si="1362"/>
        <v/>
      </c>
      <c r="AT825" s="85" t="str">
        <f t="shared" si="1363"/>
        <v/>
      </c>
      <c r="AU825" s="85" t="str">
        <f>IF(AR825&lt;Tablas!$G$19, 0, IF(AND(AR825&gt;=Tablas!$G$19, AR825&lt;Tablas!$G$20), 1,  IF(AND(AR825&gt;=Tablas!$G$20, AR825&lt;Tablas!$G$21), 2,  IF(AND(AR825&gt;=Tablas!$G$21, AR825&lt;=Tablas!$G$22), 3,  ""))))</f>
        <v/>
      </c>
      <c r="AV825" s="85" t="str">
        <f t="shared" si="1409"/>
        <v/>
      </c>
      <c r="AW825" s="101" t="str">
        <f t="shared" si="1410"/>
        <v/>
      </c>
      <c r="AX825" s="177"/>
      <c r="AY825" s="169"/>
      <c r="AZ825" s="158"/>
      <c r="BA825" s="169"/>
      <c r="BB825" s="182"/>
      <c r="BC825" s="182"/>
      <c r="BD825" s="185"/>
      <c r="BE825" s="185"/>
      <c r="BF825" s="158"/>
      <c r="BG825" s="191"/>
    </row>
    <row r="826" spans="1:59" ht="15.75" thickBot="1" x14ac:dyDescent="0.3">
      <c r="A826" s="167"/>
      <c r="B826" s="167"/>
      <c r="C826" s="161"/>
      <c r="D826" s="160"/>
      <c r="E826" s="162"/>
      <c r="F826" s="165"/>
      <c r="G826" s="161"/>
      <c r="H826" s="161"/>
      <c r="I826" s="161"/>
      <c r="J826" s="161"/>
      <c r="K826" s="161"/>
      <c r="L826" s="166"/>
      <c r="M826" s="166"/>
      <c r="N826" s="166"/>
      <c r="O826" s="166"/>
      <c r="P826" s="166"/>
      <c r="Q826" s="166"/>
      <c r="R826" s="166"/>
      <c r="S826" s="149"/>
      <c r="T826" s="149"/>
      <c r="U826" s="149"/>
      <c r="V826" s="149"/>
      <c r="W826" s="149"/>
      <c r="X826" s="165"/>
      <c r="Y826" s="165"/>
      <c r="Z826" s="172"/>
      <c r="AA826" s="188"/>
      <c r="AB826" s="172"/>
      <c r="AC826" s="172"/>
      <c r="AD826" s="175"/>
      <c r="AE826" s="66" t="s">
        <v>154</v>
      </c>
      <c r="AF826" s="134"/>
      <c r="AG826" s="67"/>
      <c r="AH826" s="69"/>
      <c r="AI826" s="69"/>
      <c r="AJ826" s="69"/>
      <c r="AK826" s="69"/>
      <c r="AL826" s="69"/>
      <c r="AM826" s="81" t="str">
        <f>IFERROR((Tablas!$C$1*VLOOKUP(AH826, tipo_control, 2, 0)+Tablas!$E$1*VLOOKUP(AI826, nat_control, 2, 0)+Tablas!$G$1*VLOOKUP(AJ826, ev_control, 2, 0)+Tablas!$I$1*VLOOKUP(AK826, frec_control, 2, 0)+Tablas!$K$1*VLOOKUP(AL826, doc_control, 2, 0))*0.1*peso_dis, "")</f>
        <v/>
      </c>
      <c r="AN826" s="69"/>
      <c r="AO826" s="69"/>
      <c r="AP826" s="69"/>
      <c r="AQ826" s="81" t="str">
        <f>IFERROR((Tablas!$C$9*VLOOKUP(AN826, amb_control, 2, 0)+Tablas!$E$9*VLOOKUP(AO826, ejec_control, 2, 0)+Tablas!$G$9*VLOOKUP(AP826, cub_control, 2, 0))*0.1*peso_ejec, "")</f>
        <v/>
      </c>
      <c r="AR826" s="93" t="str">
        <f t="shared" si="1408"/>
        <v/>
      </c>
      <c r="AS826" s="94" t="str">
        <f t="shared" si="1362"/>
        <v/>
      </c>
      <c r="AT826" s="94" t="str">
        <f t="shared" si="1363"/>
        <v/>
      </c>
      <c r="AU826" s="94" t="str">
        <f>IF(AR826&lt;Tablas!$G$19, 0, IF(AND(AR826&gt;=Tablas!$G$19, AR826&lt;Tablas!$G$20), 1,  IF(AND(AR826&gt;=Tablas!$G$20, AR826&lt;Tablas!$G$21), 2,  IF(AND(AR826&gt;=Tablas!$G$21, AR826&lt;=Tablas!$G$22), 3,  ""))))</f>
        <v/>
      </c>
      <c r="AV826" s="94" t="str">
        <f t="shared" si="1409"/>
        <v/>
      </c>
      <c r="AW826" s="102" t="str">
        <f t="shared" si="1410"/>
        <v/>
      </c>
      <c r="AX826" s="157"/>
      <c r="AY826" s="170"/>
      <c r="AZ826" s="179"/>
      <c r="BA826" s="170"/>
      <c r="BB826" s="182"/>
      <c r="BC826" s="182"/>
      <c r="BD826" s="185"/>
      <c r="BE826" s="185"/>
      <c r="BF826" s="159"/>
      <c r="BG826" s="191"/>
    </row>
    <row r="827" spans="1:59" x14ac:dyDescent="0.25">
      <c r="A827" s="167"/>
      <c r="B827" s="167"/>
      <c r="C827" s="161" t="s">
        <v>19</v>
      </c>
      <c r="D827" s="160" t="s">
        <v>158</v>
      </c>
      <c r="E827" s="162"/>
      <c r="F827" s="163" t="str">
        <f t="shared" si="1364"/>
        <v/>
      </c>
      <c r="G827" s="149"/>
      <c r="H827" s="149"/>
      <c r="I827" s="149"/>
      <c r="J827" s="149"/>
      <c r="K827" s="149"/>
      <c r="L827" s="165" t="str">
        <f t="shared" ref="L827" si="1431">IFERROR(VLOOKUP(G827, tabla02, 2, 0), "")</f>
        <v/>
      </c>
      <c r="M827" s="165" t="str">
        <f t="shared" ref="M827" si="1432">IFERROR(VLOOKUP(H827, tabla02, 2, 0), "")</f>
        <v/>
      </c>
      <c r="N827" s="165" t="str">
        <f t="shared" ref="N827" si="1433">IFERROR(VLOOKUP(I827, tabla02, 2, 0), "")</f>
        <v/>
      </c>
      <c r="O827" s="165" t="str">
        <f t="shared" ref="O827" si="1434">IFERROR(VLOOKUP(J827, tabla02, 2, 0), "")</f>
        <v/>
      </c>
      <c r="P827" s="165" t="str">
        <f t="shared" ref="P827" si="1435">IFERROR(VLOOKUP(K827, tabla02, 2, 0), "")</f>
        <v/>
      </c>
      <c r="Q827" s="165" t="str">
        <f t="shared" ref="Q827" si="1436">IF(SUM(L827:O831)=0, "", MAX(L827:P827))</f>
        <v/>
      </c>
      <c r="R827" s="165" t="str">
        <f>IFERROR(VLOOKUP(Q827, tabla04, 3, 0), "")</f>
        <v/>
      </c>
      <c r="S827" s="148"/>
      <c r="T827" s="148"/>
      <c r="U827" s="148"/>
      <c r="V827" s="148"/>
      <c r="W827" s="148"/>
      <c r="X827" s="163" t="str">
        <f>IFERROR(VLOOKUP(CONCATENATE(F827, "-", Q827), cuadrante_sev, 3, 0), "")</f>
        <v/>
      </c>
      <c r="Y827" s="163" t="str">
        <f t="shared" ref="Y827" si="1437">IFERROR(IF(X827="Baja", 1, IF(X827="Moderada", 2, IF(X827="Alta", 3, IF(X827="Extrema", 4, "")))), "")</f>
        <v/>
      </c>
      <c r="Z827" s="172"/>
      <c r="AA827" s="188"/>
      <c r="AB827" s="172"/>
      <c r="AC827" s="172"/>
      <c r="AD827" s="175"/>
      <c r="AE827" s="70" t="s">
        <v>113</v>
      </c>
      <c r="AF827" s="135"/>
      <c r="AG827" s="74"/>
      <c r="AH827" s="72"/>
      <c r="AI827" s="72"/>
      <c r="AJ827" s="72"/>
      <c r="AK827" s="72"/>
      <c r="AL827" s="72"/>
      <c r="AM827" s="82" t="str">
        <f>IFERROR((Tablas!$C$1*VLOOKUP(AH827, tipo_control, 2, 0)+Tablas!$E$1*VLOOKUP(AI827, nat_control, 2, 0)+Tablas!$G$1*VLOOKUP(AJ827, ev_control, 2, 0)+Tablas!$I$1*VLOOKUP(AK827, frec_control, 2, 0)+Tablas!$K$1*VLOOKUP(AL827, doc_control, 2, 0))*0.1*peso_dis, "")</f>
        <v/>
      </c>
      <c r="AN827" s="72"/>
      <c r="AO827" s="72"/>
      <c r="AP827" s="72"/>
      <c r="AQ827" s="82" t="str">
        <f>IFERROR((Tablas!$C$9*VLOOKUP(AN827, amb_control, 2, 0)+Tablas!$E$9*VLOOKUP(AO827, ejec_control, 2, 0)+Tablas!$G$9*VLOOKUP(AP827, cub_control, 2, 0))*0.1*peso_ejec, "")</f>
        <v/>
      </c>
      <c r="AR827" s="96" t="str">
        <f t="shared" si="1408"/>
        <v/>
      </c>
      <c r="AS827" s="97" t="str">
        <f t="shared" si="1362"/>
        <v/>
      </c>
      <c r="AT827" s="87" t="str">
        <f t="shared" si="1363"/>
        <v/>
      </c>
      <c r="AU827" s="97" t="str">
        <f>IF(AR827&lt;Tablas!$G$19, 0, IF(AND(AR827&gt;=Tablas!$G$19, AR827&lt;Tablas!$G$20), 1,  IF(AND(AR827&gt;=Tablas!$G$20, AR827&lt;Tablas!$G$21), 2,  IF(AND(AR827&gt;=Tablas!$G$21, AR827&lt;=Tablas!$G$22), 3,  ""))))</f>
        <v/>
      </c>
      <c r="AV827" s="97" t="str">
        <f t="shared" si="1409"/>
        <v/>
      </c>
      <c r="AW827" s="103" t="str">
        <f t="shared" si="1410"/>
        <v/>
      </c>
      <c r="AX827" s="176" t="str">
        <f t="shared" ref="AX827" si="1438">IFERROR(VLOOKUP(AY827, tabla04, 2, 0), "")</f>
        <v/>
      </c>
      <c r="AY827" s="168" t="str">
        <f>IF(F827="", "", IF((F827-MAX(AV827:AV831))&lt;=0, 1, F827-MAX(AV827:AV831)))</f>
        <v/>
      </c>
      <c r="AZ827" s="178" t="str">
        <f t="shared" ref="AZ827" si="1439">IFERROR(VLOOKUP(BA827, tabla04, 3, 0), "")</f>
        <v/>
      </c>
      <c r="BA827" s="168" t="str">
        <f>IF(Q827="", "", IF((Q827-MAX(AW827:AW831))&lt;=0, 1, Q827-MAX(AW827:AW831)))</f>
        <v/>
      </c>
      <c r="BB827" s="182"/>
      <c r="BC827" s="182"/>
      <c r="BD827" s="185"/>
      <c r="BE827" s="185"/>
      <c r="BF827" s="158" t="str">
        <f t="shared" ref="BF827:BF829" si="1440">IFERROR(VLOOKUP(CONCATENATE(AY827, "-", BA827), cuadrante_sev, 3, 0), "")</f>
        <v/>
      </c>
      <c r="BG827" s="191"/>
    </row>
    <row r="828" spans="1:59" x14ac:dyDescent="0.25">
      <c r="A828" s="167"/>
      <c r="B828" s="167"/>
      <c r="C828" s="161"/>
      <c r="D828" s="160"/>
      <c r="E828" s="162"/>
      <c r="F828" s="164"/>
      <c r="G828" s="161"/>
      <c r="H828" s="161"/>
      <c r="I828" s="161"/>
      <c r="J828" s="161"/>
      <c r="K828" s="161"/>
      <c r="L828" s="166"/>
      <c r="M828" s="166"/>
      <c r="N828" s="166"/>
      <c r="O828" s="166"/>
      <c r="P828" s="166"/>
      <c r="Q828" s="166"/>
      <c r="R828" s="166"/>
      <c r="S828" s="167"/>
      <c r="T828" s="167"/>
      <c r="U828" s="167"/>
      <c r="V828" s="167"/>
      <c r="W828" s="167"/>
      <c r="X828" s="164"/>
      <c r="Y828" s="164"/>
      <c r="Z828" s="172"/>
      <c r="AA828" s="188"/>
      <c r="AB828" s="172"/>
      <c r="AC828" s="172"/>
      <c r="AD828" s="175"/>
      <c r="AE828" s="62" t="s">
        <v>114</v>
      </c>
      <c r="AF828" s="133"/>
      <c r="AG828" s="65"/>
      <c r="AH828" s="64"/>
      <c r="AI828" s="64"/>
      <c r="AJ828" s="64"/>
      <c r="AK828" s="64"/>
      <c r="AL828" s="64"/>
      <c r="AM828" s="80" t="str">
        <f>IFERROR((Tablas!$C$1*VLOOKUP(AH828, tipo_control, 2, 0)+Tablas!$E$1*VLOOKUP(AI828, nat_control, 2, 0)+Tablas!$G$1*VLOOKUP(AJ828, ev_control, 2, 0)+Tablas!$I$1*VLOOKUP(AK828, frec_control, 2, 0)+Tablas!$K$1*VLOOKUP(AL828, doc_control, 2, 0))*0.1*peso_dis, "")</f>
        <v/>
      </c>
      <c r="AN828" s="64"/>
      <c r="AO828" s="64"/>
      <c r="AP828" s="64"/>
      <c r="AQ828" s="80" t="str">
        <f>IFERROR((Tablas!$C$9*VLOOKUP(AN828, amb_control, 2, 0)+Tablas!$E$9*VLOOKUP(AO828, ejec_control, 2, 0)+Tablas!$G$9*VLOOKUP(AP828, cub_control, 2, 0))*0.1*peso_ejec, "")</f>
        <v/>
      </c>
      <c r="AR828" s="91" t="str">
        <f t="shared" si="1408"/>
        <v/>
      </c>
      <c r="AS828" s="85" t="str">
        <f t="shared" si="1362"/>
        <v/>
      </c>
      <c r="AT828" s="85" t="str">
        <f t="shared" si="1363"/>
        <v/>
      </c>
      <c r="AU828" s="85" t="str">
        <f>IF(AR828&lt;Tablas!$G$19, 0, IF(AND(AR828&gt;=Tablas!$G$19, AR828&lt;Tablas!$G$20), 1,  IF(AND(AR828&gt;=Tablas!$G$20, AR828&lt;Tablas!$G$21), 2,  IF(AND(AR828&gt;=Tablas!$G$21, AR828&lt;=Tablas!$G$22), 3,  ""))))</f>
        <v/>
      </c>
      <c r="AV828" s="85" t="str">
        <f t="shared" si="1409"/>
        <v/>
      </c>
      <c r="AW828" s="101" t="str">
        <f t="shared" si="1410"/>
        <v/>
      </c>
      <c r="AX828" s="177"/>
      <c r="AY828" s="169"/>
      <c r="AZ828" s="158"/>
      <c r="BA828" s="169"/>
      <c r="BB828" s="182"/>
      <c r="BC828" s="182"/>
      <c r="BD828" s="185"/>
      <c r="BE828" s="185"/>
      <c r="BF828" s="158" t="str">
        <f t="shared" si="1440"/>
        <v/>
      </c>
      <c r="BG828" s="191"/>
    </row>
    <row r="829" spans="1:59" x14ac:dyDescent="0.25">
      <c r="A829" s="167"/>
      <c r="B829" s="167"/>
      <c r="C829" s="161"/>
      <c r="D829" s="160"/>
      <c r="E829" s="162"/>
      <c r="F829" s="164"/>
      <c r="G829" s="161"/>
      <c r="H829" s="161"/>
      <c r="I829" s="161"/>
      <c r="J829" s="161"/>
      <c r="K829" s="161"/>
      <c r="L829" s="166"/>
      <c r="M829" s="166"/>
      <c r="N829" s="166"/>
      <c r="O829" s="166"/>
      <c r="P829" s="166"/>
      <c r="Q829" s="166"/>
      <c r="R829" s="166"/>
      <c r="S829" s="167"/>
      <c r="T829" s="167"/>
      <c r="U829" s="167"/>
      <c r="V829" s="167"/>
      <c r="W829" s="167"/>
      <c r="X829" s="164"/>
      <c r="Y829" s="164"/>
      <c r="Z829" s="172"/>
      <c r="AA829" s="188"/>
      <c r="AB829" s="172"/>
      <c r="AC829" s="172"/>
      <c r="AD829" s="175"/>
      <c r="AE829" s="62" t="s">
        <v>115</v>
      </c>
      <c r="AF829" s="133"/>
      <c r="AG829" s="65"/>
      <c r="AH829" s="64"/>
      <c r="AI829" s="64"/>
      <c r="AJ829" s="64"/>
      <c r="AK829" s="64"/>
      <c r="AL829" s="64"/>
      <c r="AM829" s="80" t="str">
        <f>IFERROR((Tablas!$C$1*VLOOKUP(AH829, tipo_control, 2, 0)+Tablas!$E$1*VLOOKUP(AI829, nat_control, 2, 0)+Tablas!$G$1*VLOOKUP(AJ829, ev_control, 2, 0)+Tablas!$I$1*VLOOKUP(AK829, frec_control, 2, 0)+Tablas!$K$1*VLOOKUP(AL829, doc_control, 2, 0))*0.1*peso_dis, "")</f>
        <v/>
      </c>
      <c r="AN829" s="64"/>
      <c r="AO829" s="64"/>
      <c r="AP829" s="64"/>
      <c r="AQ829" s="80" t="str">
        <f>IFERROR((Tablas!$C$9*VLOOKUP(AN829, amb_control, 2, 0)+Tablas!$E$9*VLOOKUP(AO829, ejec_control, 2, 0)+Tablas!$G$9*VLOOKUP(AP829, cub_control, 2, 0))*0.1*peso_ejec, "")</f>
        <v/>
      </c>
      <c r="AR829" s="91" t="str">
        <f t="shared" si="1408"/>
        <v/>
      </c>
      <c r="AS829" s="85" t="str">
        <f t="shared" si="1362"/>
        <v/>
      </c>
      <c r="AT829" s="85" t="str">
        <f t="shared" si="1363"/>
        <v/>
      </c>
      <c r="AU829" s="85" t="str">
        <f>IF(AR829&lt;Tablas!$G$19, 0, IF(AND(AR829&gt;=Tablas!$G$19, AR829&lt;Tablas!$G$20), 1,  IF(AND(AR829&gt;=Tablas!$G$20, AR829&lt;Tablas!$G$21), 2,  IF(AND(AR829&gt;=Tablas!$G$21, AR829&lt;=Tablas!$G$22), 3,  ""))))</f>
        <v/>
      </c>
      <c r="AV829" s="85" t="str">
        <f t="shared" si="1409"/>
        <v/>
      </c>
      <c r="AW829" s="101" t="str">
        <f t="shared" si="1410"/>
        <v/>
      </c>
      <c r="AX829" s="177"/>
      <c r="AY829" s="169"/>
      <c r="AZ829" s="158"/>
      <c r="BA829" s="169"/>
      <c r="BB829" s="182"/>
      <c r="BC829" s="182"/>
      <c r="BD829" s="185"/>
      <c r="BE829" s="185"/>
      <c r="BF829" s="158" t="str">
        <f t="shared" si="1440"/>
        <v/>
      </c>
      <c r="BG829" s="191"/>
    </row>
    <row r="830" spans="1:59" x14ac:dyDescent="0.25">
      <c r="A830" s="167"/>
      <c r="B830" s="167"/>
      <c r="C830" s="161"/>
      <c r="D830" s="160"/>
      <c r="E830" s="162"/>
      <c r="F830" s="164"/>
      <c r="G830" s="161"/>
      <c r="H830" s="161"/>
      <c r="I830" s="161"/>
      <c r="J830" s="161"/>
      <c r="K830" s="161"/>
      <c r="L830" s="166"/>
      <c r="M830" s="166"/>
      <c r="N830" s="166"/>
      <c r="O830" s="166"/>
      <c r="P830" s="166"/>
      <c r="Q830" s="166"/>
      <c r="R830" s="166"/>
      <c r="S830" s="167"/>
      <c r="T830" s="167"/>
      <c r="U830" s="167"/>
      <c r="V830" s="167"/>
      <c r="W830" s="167"/>
      <c r="X830" s="164"/>
      <c r="Y830" s="164"/>
      <c r="Z830" s="172"/>
      <c r="AA830" s="188"/>
      <c r="AB830" s="172"/>
      <c r="AC830" s="172"/>
      <c r="AD830" s="175"/>
      <c r="AE830" s="62" t="s">
        <v>153</v>
      </c>
      <c r="AF830" s="133"/>
      <c r="AG830" s="65"/>
      <c r="AH830" s="64"/>
      <c r="AI830" s="64"/>
      <c r="AJ830" s="64"/>
      <c r="AK830" s="64"/>
      <c r="AL830" s="64"/>
      <c r="AM830" s="80" t="str">
        <f>IFERROR((Tablas!$C$1*VLOOKUP(AH830, tipo_control, 2, 0)+Tablas!$E$1*VLOOKUP(AI830, nat_control, 2, 0)+Tablas!$G$1*VLOOKUP(AJ830, ev_control, 2, 0)+Tablas!$I$1*VLOOKUP(AK830, frec_control, 2, 0)+Tablas!$K$1*VLOOKUP(AL830, doc_control, 2, 0))*0.1*peso_dis, "")</f>
        <v/>
      </c>
      <c r="AN830" s="64"/>
      <c r="AO830" s="64"/>
      <c r="AP830" s="64"/>
      <c r="AQ830" s="80" t="str">
        <f>IFERROR((Tablas!$C$9*VLOOKUP(AN830, amb_control, 2, 0)+Tablas!$E$9*VLOOKUP(AO830, ejec_control, 2, 0)+Tablas!$G$9*VLOOKUP(AP830, cub_control, 2, 0))*0.1*peso_ejec, "")</f>
        <v/>
      </c>
      <c r="AR830" s="91" t="str">
        <f t="shared" si="1408"/>
        <v/>
      </c>
      <c r="AS830" s="85" t="str">
        <f t="shared" si="1362"/>
        <v/>
      </c>
      <c r="AT830" s="85" t="str">
        <f t="shared" si="1363"/>
        <v/>
      </c>
      <c r="AU830" s="85" t="str">
        <f>IF(AR830&lt;Tablas!$G$19, 0, IF(AND(AR830&gt;=Tablas!$G$19, AR830&lt;Tablas!$G$20), 1,  IF(AND(AR830&gt;=Tablas!$G$20, AR830&lt;Tablas!$G$21), 2,  IF(AND(AR830&gt;=Tablas!$G$21, AR830&lt;=Tablas!$G$22), 3,  ""))))</f>
        <v/>
      </c>
      <c r="AV830" s="85" t="str">
        <f t="shared" si="1409"/>
        <v/>
      </c>
      <c r="AW830" s="101" t="str">
        <f t="shared" si="1410"/>
        <v/>
      </c>
      <c r="AX830" s="177"/>
      <c r="AY830" s="169"/>
      <c r="AZ830" s="158"/>
      <c r="BA830" s="169"/>
      <c r="BB830" s="182"/>
      <c r="BC830" s="182"/>
      <c r="BD830" s="185"/>
      <c r="BE830" s="185"/>
      <c r="BF830" s="158"/>
      <c r="BG830" s="191"/>
    </row>
    <row r="831" spans="1:59" ht="15.75" thickBot="1" x14ac:dyDescent="0.3">
      <c r="A831" s="167"/>
      <c r="B831" s="167"/>
      <c r="C831" s="161"/>
      <c r="D831" s="160"/>
      <c r="E831" s="162"/>
      <c r="F831" s="165"/>
      <c r="G831" s="161"/>
      <c r="H831" s="161"/>
      <c r="I831" s="161"/>
      <c r="J831" s="161"/>
      <c r="K831" s="161"/>
      <c r="L831" s="166"/>
      <c r="M831" s="166"/>
      <c r="N831" s="166"/>
      <c r="O831" s="166"/>
      <c r="P831" s="166"/>
      <c r="Q831" s="166"/>
      <c r="R831" s="166"/>
      <c r="S831" s="149"/>
      <c r="T831" s="149"/>
      <c r="U831" s="149"/>
      <c r="V831" s="149"/>
      <c r="W831" s="149"/>
      <c r="X831" s="165"/>
      <c r="Y831" s="165"/>
      <c r="Z831" s="172"/>
      <c r="AA831" s="188"/>
      <c r="AB831" s="172"/>
      <c r="AC831" s="172"/>
      <c r="AD831" s="175"/>
      <c r="AE831" s="66" t="s">
        <v>154</v>
      </c>
      <c r="AF831" s="134"/>
      <c r="AG831" s="67"/>
      <c r="AH831" s="69"/>
      <c r="AI831" s="69"/>
      <c r="AJ831" s="69"/>
      <c r="AK831" s="69"/>
      <c r="AL831" s="69"/>
      <c r="AM831" s="81" t="str">
        <f>IFERROR((Tablas!$C$1*VLOOKUP(AH831, tipo_control, 2, 0)+Tablas!$E$1*VLOOKUP(AI831, nat_control, 2, 0)+Tablas!$G$1*VLOOKUP(AJ831, ev_control, 2, 0)+Tablas!$I$1*VLOOKUP(AK831, frec_control, 2, 0)+Tablas!$K$1*VLOOKUP(AL831, doc_control, 2, 0))*0.1*peso_dis, "")</f>
        <v/>
      </c>
      <c r="AN831" s="69"/>
      <c r="AO831" s="69"/>
      <c r="AP831" s="69"/>
      <c r="AQ831" s="81" t="str">
        <f>IFERROR((Tablas!$C$9*VLOOKUP(AN831, amb_control, 2, 0)+Tablas!$E$9*VLOOKUP(AO831, ejec_control, 2, 0)+Tablas!$G$9*VLOOKUP(AP831, cub_control, 2, 0))*0.1*peso_ejec, "")</f>
        <v/>
      </c>
      <c r="AR831" s="93" t="str">
        <f t="shared" si="1408"/>
        <v/>
      </c>
      <c r="AS831" s="94" t="str">
        <f t="shared" si="1362"/>
        <v/>
      </c>
      <c r="AT831" s="94" t="str">
        <f t="shared" si="1363"/>
        <v/>
      </c>
      <c r="AU831" s="94" t="str">
        <f>IF(AR831&lt;Tablas!$G$19, 0, IF(AND(AR831&gt;=Tablas!$G$19, AR831&lt;Tablas!$G$20), 1,  IF(AND(AR831&gt;=Tablas!$G$20, AR831&lt;Tablas!$G$21), 2,  IF(AND(AR831&gt;=Tablas!$G$21, AR831&lt;=Tablas!$G$22), 3,  ""))))</f>
        <v/>
      </c>
      <c r="AV831" s="94" t="str">
        <f t="shared" si="1409"/>
        <v/>
      </c>
      <c r="AW831" s="102" t="str">
        <f t="shared" si="1410"/>
        <v/>
      </c>
      <c r="AX831" s="157"/>
      <c r="AY831" s="170"/>
      <c r="AZ831" s="179"/>
      <c r="BA831" s="170"/>
      <c r="BB831" s="182"/>
      <c r="BC831" s="182"/>
      <c r="BD831" s="185"/>
      <c r="BE831" s="185"/>
      <c r="BF831" s="159"/>
      <c r="BG831" s="191"/>
    </row>
    <row r="832" spans="1:59" x14ac:dyDescent="0.25">
      <c r="A832" s="167"/>
      <c r="B832" s="167"/>
      <c r="C832" s="161" t="s">
        <v>20</v>
      </c>
      <c r="D832" s="160" t="s">
        <v>158</v>
      </c>
      <c r="E832" s="162"/>
      <c r="F832" s="163" t="str">
        <f t="shared" si="1364"/>
        <v/>
      </c>
      <c r="G832" s="149"/>
      <c r="H832" s="149"/>
      <c r="I832" s="149"/>
      <c r="J832" s="149"/>
      <c r="K832" s="149"/>
      <c r="L832" s="165" t="str">
        <f t="shared" ref="L832" si="1441">IFERROR(VLOOKUP(G832, tabla02, 2, 0), "")</f>
        <v/>
      </c>
      <c r="M832" s="165" t="str">
        <f t="shared" ref="M832" si="1442">IFERROR(VLOOKUP(H832, tabla02, 2, 0), "")</f>
        <v/>
      </c>
      <c r="N832" s="165" t="str">
        <f t="shared" ref="N832" si="1443">IFERROR(VLOOKUP(I832, tabla02, 2, 0), "")</f>
        <v/>
      </c>
      <c r="O832" s="165" t="str">
        <f t="shared" ref="O832" si="1444">IFERROR(VLOOKUP(J832, tabla02, 2, 0), "")</f>
        <v/>
      </c>
      <c r="P832" s="165" t="str">
        <f t="shared" ref="P832" si="1445">IFERROR(VLOOKUP(K832, tabla02, 2, 0), "")</f>
        <v/>
      </c>
      <c r="Q832" s="165" t="str">
        <f t="shared" ref="Q832" si="1446">IF(SUM(L832:O836)=0, "", MAX(L832:P832))</f>
        <v/>
      </c>
      <c r="R832" s="165" t="str">
        <f>IFERROR(VLOOKUP(Q832, tabla04, 3, 0), "")</f>
        <v/>
      </c>
      <c r="S832" s="148"/>
      <c r="T832" s="148"/>
      <c r="U832" s="148"/>
      <c r="V832" s="148"/>
      <c r="W832" s="148"/>
      <c r="X832" s="163" t="str">
        <f>IFERROR(VLOOKUP(CONCATENATE(F832, "-", Q832), cuadrante_sev, 3, 0), "")</f>
        <v/>
      </c>
      <c r="Y832" s="163" t="str">
        <f t="shared" ref="Y832" si="1447">IFERROR(IF(X832="Baja", 1, IF(X832="Moderada", 2, IF(X832="Alta", 3, IF(X832="Extrema", 4, "")))), "")</f>
        <v/>
      </c>
      <c r="Z832" s="172"/>
      <c r="AA832" s="188"/>
      <c r="AB832" s="172"/>
      <c r="AC832" s="172"/>
      <c r="AD832" s="175"/>
      <c r="AE832" s="70" t="s">
        <v>113</v>
      </c>
      <c r="AF832" s="135"/>
      <c r="AG832" s="74"/>
      <c r="AH832" s="72"/>
      <c r="AI832" s="72"/>
      <c r="AJ832" s="72"/>
      <c r="AK832" s="72"/>
      <c r="AL832" s="72"/>
      <c r="AM832" s="82" t="str">
        <f>IFERROR((Tablas!$C$1*VLOOKUP(AH832, tipo_control, 2, 0)+Tablas!$E$1*VLOOKUP(AI832, nat_control, 2, 0)+Tablas!$G$1*VLOOKUP(AJ832, ev_control, 2, 0)+Tablas!$I$1*VLOOKUP(AK832, frec_control, 2, 0)+Tablas!$K$1*VLOOKUP(AL832, doc_control, 2, 0))*0.1*peso_dis, "")</f>
        <v/>
      </c>
      <c r="AN832" s="72"/>
      <c r="AO832" s="72"/>
      <c r="AP832" s="72"/>
      <c r="AQ832" s="82" t="str">
        <f>IFERROR((Tablas!$C$9*VLOOKUP(AN832, amb_control, 2, 0)+Tablas!$E$9*VLOOKUP(AO832, ejec_control, 2, 0)+Tablas!$G$9*VLOOKUP(AP832, cub_control, 2, 0))*0.1*peso_ejec, "")</f>
        <v/>
      </c>
      <c r="AR832" s="96" t="str">
        <f t="shared" si="1408"/>
        <v/>
      </c>
      <c r="AS832" s="97" t="str">
        <f t="shared" si="1362"/>
        <v/>
      </c>
      <c r="AT832" s="87" t="str">
        <f t="shared" si="1363"/>
        <v/>
      </c>
      <c r="AU832" s="97" t="str">
        <f>IF(AR832&lt;Tablas!$G$19, 0, IF(AND(AR832&gt;=Tablas!$G$19, AR832&lt;Tablas!$G$20), 1,  IF(AND(AR832&gt;=Tablas!$G$20, AR832&lt;Tablas!$G$21), 2,  IF(AND(AR832&gt;=Tablas!$G$21, AR832&lt;=Tablas!$G$22), 3,  ""))))</f>
        <v/>
      </c>
      <c r="AV832" s="97" t="str">
        <f t="shared" si="1409"/>
        <v/>
      </c>
      <c r="AW832" s="103" t="str">
        <f t="shared" si="1410"/>
        <v/>
      </c>
      <c r="AX832" s="176" t="str">
        <f t="shared" ref="AX832" si="1448">IFERROR(VLOOKUP(AY832, tabla04, 2, 0), "")</f>
        <v/>
      </c>
      <c r="AY832" s="168" t="str">
        <f>IF(F832="", "", IF((F832-MAX(AV832:AV836))&lt;=0, 1, F832-MAX(AV832:AV836)))</f>
        <v/>
      </c>
      <c r="AZ832" s="178" t="str">
        <f t="shared" ref="AZ832" si="1449">IFERROR(VLOOKUP(BA832, tabla04, 3, 0), "")</f>
        <v/>
      </c>
      <c r="BA832" s="168" t="str">
        <f>IF(Q832="", "", IF((Q832-MAX(AW832:AW836))&lt;=0, 1, Q832-MAX(AW832:AW836)))</f>
        <v/>
      </c>
      <c r="BB832" s="182"/>
      <c r="BC832" s="182"/>
      <c r="BD832" s="185"/>
      <c r="BE832" s="185"/>
      <c r="BF832" s="158" t="str">
        <f t="shared" ref="BF832:BF834" si="1450">IFERROR(VLOOKUP(CONCATENATE(AY832, "-", BA832), cuadrante_sev, 3, 0), "")</f>
        <v/>
      </c>
      <c r="BG832" s="191"/>
    </row>
    <row r="833" spans="1:59" x14ac:dyDescent="0.25">
      <c r="A833" s="167"/>
      <c r="B833" s="167"/>
      <c r="C833" s="161"/>
      <c r="D833" s="160"/>
      <c r="E833" s="162"/>
      <c r="F833" s="164"/>
      <c r="G833" s="161"/>
      <c r="H833" s="161"/>
      <c r="I833" s="161"/>
      <c r="J833" s="161"/>
      <c r="K833" s="161"/>
      <c r="L833" s="166"/>
      <c r="M833" s="166"/>
      <c r="N833" s="166"/>
      <c r="O833" s="166"/>
      <c r="P833" s="166"/>
      <c r="Q833" s="166"/>
      <c r="R833" s="166"/>
      <c r="S833" s="167"/>
      <c r="T833" s="167"/>
      <c r="U833" s="167"/>
      <c r="V833" s="167"/>
      <c r="W833" s="167"/>
      <c r="X833" s="164"/>
      <c r="Y833" s="164"/>
      <c r="Z833" s="172"/>
      <c r="AA833" s="188"/>
      <c r="AB833" s="172"/>
      <c r="AC833" s="172"/>
      <c r="AD833" s="175"/>
      <c r="AE833" s="62" t="s">
        <v>114</v>
      </c>
      <c r="AF833" s="133"/>
      <c r="AG833" s="65"/>
      <c r="AH833" s="64"/>
      <c r="AI833" s="64"/>
      <c r="AJ833" s="64"/>
      <c r="AK833" s="64"/>
      <c r="AL833" s="64"/>
      <c r="AM833" s="80" t="str">
        <f>IFERROR((Tablas!$C$1*VLOOKUP(AH833, tipo_control, 2, 0)+Tablas!$E$1*VLOOKUP(AI833, nat_control, 2, 0)+Tablas!$G$1*VLOOKUP(AJ833, ev_control, 2, 0)+Tablas!$I$1*VLOOKUP(AK833, frec_control, 2, 0)+Tablas!$K$1*VLOOKUP(AL833, doc_control, 2, 0))*0.1*peso_dis, "")</f>
        <v/>
      </c>
      <c r="AN833" s="64"/>
      <c r="AO833" s="64"/>
      <c r="AP833" s="64"/>
      <c r="AQ833" s="80" t="str">
        <f>IFERROR((Tablas!$C$9*VLOOKUP(AN833, amb_control, 2, 0)+Tablas!$E$9*VLOOKUP(AO833, ejec_control, 2, 0)+Tablas!$G$9*VLOOKUP(AP833, cub_control, 2, 0))*0.1*peso_ejec, "")</f>
        <v/>
      </c>
      <c r="AR833" s="91" t="str">
        <f t="shared" si="1408"/>
        <v/>
      </c>
      <c r="AS833" s="85" t="str">
        <f t="shared" si="1362"/>
        <v/>
      </c>
      <c r="AT833" s="85" t="str">
        <f t="shared" si="1363"/>
        <v/>
      </c>
      <c r="AU833" s="85" t="str">
        <f>IF(AR833&lt;Tablas!$G$19, 0, IF(AND(AR833&gt;=Tablas!$G$19, AR833&lt;Tablas!$G$20), 1,  IF(AND(AR833&gt;=Tablas!$G$20, AR833&lt;Tablas!$G$21), 2,  IF(AND(AR833&gt;=Tablas!$G$21, AR833&lt;=Tablas!$G$22), 3,  ""))))</f>
        <v/>
      </c>
      <c r="AV833" s="85" t="str">
        <f t="shared" si="1409"/>
        <v/>
      </c>
      <c r="AW833" s="101" t="str">
        <f t="shared" si="1410"/>
        <v/>
      </c>
      <c r="AX833" s="177"/>
      <c r="AY833" s="169"/>
      <c r="AZ833" s="158"/>
      <c r="BA833" s="169"/>
      <c r="BB833" s="182"/>
      <c r="BC833" s="182"/>
      <c r="BD833" s="185"/>
      <c r="BE833" s="185"/>
      <c r="BF833" s="158" t="str">
        <f t="shared" si="1450"/>
        <v/>
      </c>
      <c r="BG833" s="191"/>
    </row>
    <row r="834" spans="1:59" x14ac:dyDescent="0.25">
      <c r="A834" s="167"/>
      <c r="B834" s="167"/>
      <c r="C834" s="161"/>
      <c r="D834" s="160"/>
      <c r="E834" s="162"/>
      <c r="F834" s="164"/>
      <c r="G834" s="161"/>
      <c r="H834" s="161"/>
      <c r="I834" s="161"/>
      <c r="J834" s="161"/>
      <c r="K834" s="161"/>
      <c r="L834" s="166"/>
      <c r="M834" s="166"/>
      <c r="N834" s="166"/>
      <c r="O834" s="166"/>
      <c r="P834" s="166"/>
      <c r="Q834" s="166"/>
      <c r="R834" s="166"/>
      <c r="S834" s="167"/>
      <c r="T834" s="167"/>
      <c r="U834" s="167"/>
      <c r="V834" s="167"/>
      <c r="W834" s="167"/>
      <c r="X834" s="164"/>
      <c r="Y834" s="164"/>
      <c r="Z834" s="172"/>
      <c r="AA834" s="188"/>
      <c r="AB834" s="172"/>
      <c r="AC834" s="172"/>
      <c r="AD834" s="175"/>
      <c r="AE834" s="62" t="s">
        <v>115</v>
      </c>
      <c r="AF834" s="133"/>
      <c r="AG834" s="65"/>
      <c r="AH834" s="64"/>
      <c r="AI834" s="64"/>
      <c r="AJ834" s="64"/>
      <c r="AK834" s="64"/>
      <c r="AL834" s="64"/>
      <c r="AM834" s="80" t="str">
        <f>IFERROR((Tablas!$C$1*VLOOKUP(AH834, tipo_control, 2, 0)+Tablas!$E$1*VLOOKUP(AI834, nat_control, 2, 0)+Tablas!$G$1*VLOOKUP(AJ834, ev_control, 2, 0)+Tablas!$I$1*VLOOKUP(AK834, frec_control, 2, 0)+Tablas!$K$1*VLOOKUP(AL834, doc_control, 2, 0))*0.1*peso_dis, "")</f>
        <v/>
      </c>
      <c r="AN834" s="64"/>
      <c r="AO834" s="64"/>
      <c r="AP834" s="64"/>
      <c r="AQ834" s="80" t="str">
        <f>IFERROR((Tablas!$C$9*VLOOKUP(AN834, amb_control, 2, 0)+Tablas!$E$9*VLOOKUP(AO834, ejec_control, 2, 0)+Tablas!$G$9*VLOOKUP(AP834, cub_control, 2, 0))*0.1*peso_ejec, "")</f>
        <v/>
      </c>
      <c r="AR834" s="91" t="str">
        <f t="shared" si="1408"/>
        <v/>
      </c>
      <c r="AS834" s="85" t="str">
        <f t="shared" si="1362"/>
        <v/>
      </c>
      <c r="AT834" s="85" t="str">
        <f t="shared" si="1363"/>
        <v/>
      </c>
      <c r="AU834" s="85" t="str">
        <f>IF(AR834&lt;Tablas!$G$19, 0, IF(AND(AR834&gt;=Tablas!$G$19, AR834&lt;Tablas!$G$20), 1,  IF(AND(AR834&gt;=Tablas!$G$20, AR834&lt;Tablas!$G$21), 2,  IF(AND(AR834&gt;=Tablas!$G$21, AR834&lt;=Tablas!$G$22), 3,  ""))))</f>
        <v/>
      </c>
      <c r="AV834" s="85" t="str">
        <f t="shared" si="1409"/>
        <v/>
      </c>
      <c r="AW834" s="101" t="str">
        <f t="shared" si="1410"/>
        <v/>
      </c>
      <c r="AX834" s="177"/>
      <c r="AY834" s="169"/>
      <c r="AZ834" s="158"/>
      <c r="BA834" s="169"/>
      <c r="BB834" s="182"/>
      <c r="BC834" s="182"/>
      <c r="BD834" s="185"/>
      <c r="BE834" s="185"/>
      <c r="BF834" s="158" t="str">
        <f t="shared" si="1450"/>
        <v/>
      </c>
      <c r="BG834" s="191"/>
    </row>
    <row r="835" spans="1:59" x14ac:dyDescent="0.25">
      <c r="A835" s="167"/>
      <c r="B835" s="167"/>
      <c r="C835" s="161"/>
      <c r="D835" s="160"/>
      <c r="E835" s="162"/>
      <c r="F835" s="164"/>
      <c r="G835" s="161"/>
      <c r="H835" s="161"/>
      <c r="I835" s="161"/>
      <c r="J835" s="161"/>
      <c r="K835" s="161"/>
      <c r="L835" s="166"/>
      <c r="M835" s="166"/>
      <c r="N835" s="166"/>
      <c r="O835" s="166"/>
      <c r="P835" s="166"/>
      <c r="Q835" s="166"/>
      <c r="R835" s="166"/>
      <c r="S835" s="167"/>
      <c r="T835" s="167"/>
      <c r="U835" s="167"/>
      <c r="V835" s="167"/>
      <c r="W835" s="167"/>
      <c r="X835" s="164"/>
      <c r="Y835" s="164"/>
      <c r="Z835" s="172"/>
      <c r="AA835" s="188"/>
      <c r="AB835" s="172"/>
      <c r="AC835" s="172"/>
      <c r="AD835" s="175"/>
      <c r="AE835" s="62" t="s">
        <v>153</v>
      </c>
      <c r="AF835" s="133"/>
      <c r="AG835" s="65"/>
      <c r="AH835" s="64"/>
      <c r="AI835" s="64"/>
      <c r="AJ835" s="64"/>
      <c r="AK835" s="64"/>
      <c r="AL835" s="64"/>
      <c r="AM835" s="80" t="str">
        <f>IFERROR((Tablas!$C$1*VLOOKUP(AH835, tipo_control, 2, 0)+Tablas!$E$1*VLOOKUP(AI835, nat_control, 2, 0)+Tablas!$G$1*VLOOKUP(AJ835, ev_control, 2, 0)+Tablas!$I$1*VLOOKUP(AK835, frec_control, 2, 0)+Tablas!$K$1*VLOOKUP(AL835, doc_control, 2, 0))*0.1*peso_dis, "")</f>
        <v/>
      </c>
      <c r="AN835" s="64"/>
      <c r="AO835" s="64"/>
      <c r="AP835" s="64"/>
      <c r="AQ835" s="80" t="str">
        <f>IFERROR((Tablas!$C$9*VLOOKUP(AN835, amb_control, 2, 0)+Tablas!$E$9*VLOOKUP(AO835, ejec_control, 2, 0)+Tablas!$G$9*VLOOKUP(AP835, cub_control, 2, 0))*0.1*peso_ejec, "")</f>
        <v/>
      </c>
      <c r="AR835" s="91" t="str">
        <f t="shared" si="1408"/>
        <v/>
      </c>
      <c r="AS835" s="85" t="str">
        <f t="shared" si="1362"/>
        <v/>
      </c>
      <c r="AT835" s="85" t="str">
        <f t="shared" si="1363"/>
        <v/>
      </c>
      <c r="AU835" s="85" t="str">
        <f>IF(AR835&lt;Tablas!$G$19, 0, IF(AND(AR835&gt;=Tablas!$G$19, AR835&lt;Tablas!$G$20), 1,  IF(AND(AR835&gt;=Tablas!$G$20, AR835&lt;Tablas!$G$21), 2,  IF(AND(AR835&gt;=Tablas!$G$21, AR835&lt;=Tablas!$G$22), 3,  ""))))</f>
        <v/>
      </c>
      <c r="AV835" s="85" t="str">
        <f t="shared" si="1409"/>
        <v/>
      </c>
      <c r="AW835" s="101" t="str">
        <f t="shared" si="1410"/>
        <v/>
      </c>
      <c r="AX835" s="177"/>
      <c r="AY835" s="169"/>
      <c r="AZ835" s="158"/>
      <c r="BA835" s="169"/>
      <c r="BB835" s="182"/>
      <c r="BC835" s="182"/>
      <c r="BD835" s="185"/>
      <c r="BE835" s="185"/>
      <c r="BF835" s="158"/>
      <c r="BG835" s="191"/>
    </row>
    <row r="836" spans="1:59" ht="15.75" thickBot="1" x14ac:dyDescent="0.3">
      <c r="A836" s="167"/>
      <c r="B836" s="167"/>
      <c r="C836" s="161"/>
      <c r="D836" s="160"/>
      <c r="E836" s="162"/>
      <c r="F836" s="165"/>
      <c r="G836" s="161"/>
      <c r="H836" s="161"/>
      <c r="I836" s="161"/>
      <c r="J836" s="161"/>
      <c r="K836" s="161"/>
      <c r="L836" s="166"/>
      <c r="M836" s="166"/>
      <c r="N836" s="166"/>
      <c r="O836" s="166"/>
      <c r="P836" s="166"/>
      <c r="Q836" s="166"/>
      <c r="R836" s="166"/>
      <c r="S836" s="149"/>
      <c r="T836" s="149"/>
      <c r="U836" s="149"/>
      <c r="V836" s="149"/>
      <c r="W836" s="149"/>
      <c r="X836" s="165"/>
      <c r="Y836" s="165"/>
      <c r="Z836" s="172"/>
      <c r="AA836" s="188"/>
      <c r="AB836" s="172"/>
      <c r="AC836" s="172"/>
      <c r="AD836" s="175"/>
      <c r="AE836" s="66" t="s">
        <v>154</v>
      </c>
      <c r="AF836" s="134"/>
      <c r="AG836" s="67"/>
      <c r="AH836" s="69"/>
      <c r="AI836" s="69"/>
      <c r="AJ836" s="69"/>
      <c r="AK836" s="69"/>
      <c r="AL836" s="69"/>
      <c r="AM836" s="81" t="str">
        <f>IFERROR((Tablas!$C$1*VLOOKUP(AH836, tipo_control, 2, 0)+Tablas!$E$1*VLOOKUP(AI836, nat_control, 2, 0)+Tablas!$G$1*VLOOKUP(AJ836, ev_control, 2, 0)+Tablas!$I$1*VLOOKUP(AK836, frec_control, 2, 0)+Tablas!$K$1*VLOOKUP(AL836, doc_control, 2, 0))*0.1*peso_dis, "")</f>
        <v/>
      </c>
      <c r="AN836" s="69"/>
      <c r="AO836" s="69"/>
      <c r="AP836" s="69"/>
      <c r="AQ836" s="81" t="str">
        <f>IFERROR((Tablas!$C$9*VLOOKUP(AN836, amb_control, 2, 0)+Tablas!$E$9*VLOOKUP(AO836, ejec_control, 2, 0)+Tablas!$G$9*VLOOKUP(AP836, cub_control, 2, 0))*0.1*peso_ejec, "")</f>
        <v/>
      </c>
      <c r="AR836" s="93" t="str">
        <f t="shared" si="1408"/>
        <v/>
      </c>
      <c r="AS836" s="94" t="str">
        <f t="shared" si="1362"/>
        <v/>
      </c>
      <c r="AT836" s="94" t="str">
        <f t="shared" si="1363"/>
        <v/>
      </c>
      <c r="AU836" s="94" t="str">
        <f>IF(AR836&lt;Tablas!$G$19, 0, IF(AND(AR836&gt;=Tablas!$G$19, AR836&lt;Tablas!$G$20), 1,  IF(AND(AR836&gt;=Tablas!$G$20, AR836&lt;Tablas!$G$21), 2,  IF(AND(AR836&gt;=Tablas!$G$21, AR836&lt;=Tablas!$G$22), 3,  ""))))</f>
        <v/>
      </c>
      <c r="AV836" s="94" t="str">
        <f t="shared" si="1409"/>
        <v/>
      </c>
      <c r="AW836" s="102" t="str">
        <f t="shared" si="1410"/>
        <v/>
      </c>
      <c r="AX836" s="157"/>
      <c r="AY836" s="170"/>
      <c r="AZ836" s="179"/>
      <c r="BA836" s="170"/>
      <c r="BB836" s="182"/>
      <c r="BC836" s="182"/>
      <c r="BD836" s="185"/>
      <c r="BE836" s="185"/>
      <c r="BF836" s="159"/>
      <c r="BG836" s="191"/>
    </row>
    <row r="837" spans="1:59" x14ac:dyDescent="0.25">
      <c r="A837" s="167"/>
      <c r="B837" s="167"/>
      <c r="C837" s="161" t="s">
        <v>180</v>
      </c>
      <c r="D837" s="160" t="s">
        <v>158</v>
      </c>
      <c r="E837" s="162"/>
      <c r="F837" s="163" t="str">
        <f t="shared" si="1364"/>
        <v/>
      </c>
      <c r="G837" s="149"/>
      <c r="H837" s="149"/>
      <c r="I837" s="149"/>
      <c r="J837" s="149"/>
      <c r="K837" s="149"/>
      <c r="L837" s="165" t="str">
        <f t="shared" ref="L837" si="1451">IFERROR(VLOOKUP(G837, tabla02, 2, 0), "")</f>
        <v/>
      </c>
      <c r="M837" s="165" t="str">
        <f t="shared" ref="M837" si="1452">IFERROR(VLOOKUP(H837, tabla02, 2, 0), "")</f>
        <v/>
      </c>
      <c r="N837" s="165" t="str">
        <f t="shared" ref="N837" si="1453">IFERROR(VLOOKUP(I837, tabla02, 2, 0), "")</f>
        <v/>
      </c>
      <c r="O837" s="165" t="str">
        <f t="shared" ref="O837" si="1454">IFERROR(VLOOKUP(J837, tabla02, 2, 0), "")</f>
        <v/>
      </c>
      <c r="P837" s="165" t="str">
        <f t="shared" ref="P837" si="1455">IFERROR(VLOOKUP(K837, tabla02, 2, 0), "")</f>
        <v/>
      </c>
      <c r="Q837" s="165" t="str">
        <f t="shared" ref="Q837" si="1456">IF(SUM(L837:O841)=0, "", MAX(L837:P837))</f>
        <v/>
      </c>
      <c r="R837" s="165" t="str">
        <f>IFERROR(VLOOKUP(Q837, tabla04, 3, 0), "")</f>
        <v/>
      </c>
      <c r="S837" s="148"/>
      <c r="T837" s="148"/>
      <c r="U837" s="148"/>
      <c r="V837" s="148"/>
      <c r="W837" s="148"/>
      <c r="X837" s="163" t="str">
        <f>IFERROR(VLOOKUP(CONCATENATE(F837, "-", Q837), cuadrante_sev, 3, 0), "")</f>
        <v/>
      </c>
      <c r="Y837" s="163" t="str">
        <f t="shared" ref="Y837" si="1457">IFERROR(IF(X837="Baja", 1, IF(X837="Moderada", 2, IF(X837="Alta", 3, IF(X837="Extrema", 4, "")))), "")</f>
        <v/>
      </c>
      <c r="Z837" s="172"/>
      <c r="AA837" s="188"/>
      <c r="AB837" s="172"/>
      <c r="AC837" s="172"/>
      <c r="AD837" s="175"/>
      <c r="AE837" s="70" t="s">
        <v>113</v>
      </c>
      <c r="AF837" s="135"/>
      <c r="AG837" s="74"/>
      <c r="AH837" s="72"/>
      <c r="AI837" s="72"/>
      <c r="AJ837" s="72"/>
      <c r="AK837" s="72"/>
      <c r="AL837" s="72"/>
      <c r="AM837" s="82" t="str">
        <f>IFERROR((Tablas!$C$1*VLOOKUP(AH837, tipo_control, 2, 0)+Tablas!$E$1*VLOOKUP(AI837, nat_control, 2, 0)+Tablas!$G$1*VLOOKUP(AJ837, ev_control, 2, 0)+Tablas!$I$1*VLOOKUP(AK837, frec_control, 2, 0)+Tablas!$K$1*VLOOKUP(AL837, doc_control, 2, 0))*0.1*peso_dis, "")</f>
        <v/>
      </c>
      <c r="AN837" s="72"/>
      <c r="AO837" s="72"/>
      <c r="AP837" s="72"/>
      <c r="AQ837" s="82" t="str">
        <f>IFERROR((Tablas!$C$9*VLOOKUP(AN837, amb_control, 2, 0)+Tablas!$E$9*VLOOKUP(AO837, ejec_control, 2, 0)+Tablas!$G$9*VLOOKUP(AP837, cub_control, 2, 0))*0.1*peso_ejec, "")</f>
        <v/>
      </c>
      <c r="AR837" s="96" t="str">
        <f t="shared" si="1408"/>
        <v/>
      </c>
      <c r="AS837" s="97" t="str">
        <f t="shared" si="1362"/>
        <v/>
      </c>
      <c r="AT837" s="87" t="str">
        <f t="shared" si="1363"/>
        <v/>
      </c>
      <c r="AU837" s="97" t="str">
        <f>IF(AR837&lt;Tablas!$G$19, 0, IF(AND(AR837&gt;=Tablas!$G$19, AR837&lt;Tablas!$G$20), 1,  IF(AND(AR837&gt;=Tablas!$G$20, AR837&lt;Tablas!$G$21), 2,  IF(AND(AR837&gt;=Tablas!$G$21, AR837&lt;=Tablas!$G$22), 3,  ""))))</f>
        <v/>
      </c>
      <c r="AV837" s="97" t="str">
        <f t="shared" si="1409"/>
        <v/>
      </c>
      <c r="AW837" s="103" t="str">
        <f t="shared" si="1410"/>
        <v/>
      </c>
      <c r="AX837" s="176" t="str">
        <f t="shared" ref="AX837" si="1458">IFERROR(VLOOKUP(AY837, tabla04, 2, 0), "")</f>
        <v/>
      </c>
      <c r="AY837" s="168" t="str">
        <f>IF(F837="", "", IF((F837-MAX(AV837:AV841))&lt;=0, 1, F837-MAX(AV837:AV841)))</f>
        <v/>
      </c>
      <c r="AZ837" s="178" t="str">
        <f t="shared" ref="AZ837" si="1459">IFERROR(VLOOKUP(BA837, tabla04, 3, 0), "")</f>
        <v/>
      </c>
      <c r="BA837" s="168" t="str">
        <f>IF(Q837="", "", IF((Q837-MAX(AW837:AW841))&lt;=0, 1, Q837-MAX(AW837:AW841)))</f>
        <v/>
      </c>
      <c r="BB837" s="182"/>
      <c r="BC837" s="182"/>
      <c r="BD837" s="185"/>
      <c r="BE837" s="185"/>
      <c r="BF837" s="158" t="str">
        <f t="shared" ref="BF837:BF839" si="1460">IFERROR(VLOOKUP(CONCATENATE(AY837, "-", BA837), cuadrante_sev, 3, 0), "")</f>
        <v/>
      </c>
      <c r="BG837" s="191"/>
    </row>
    <row r="838" spans="1:59" x14ac:dyDescent="0.25">
      <c r="A838" s="167"/>
      <c r="B838" s="167"/>
      <c r="C838" s="161"/>
      <c r="D838" s="160"/>
      <c r="E838" s="162"/>
      <c r="F838" s="164"/>
      <c r="G838" s="161"/>
      <c r="H838" s="161"/>
      <c r="I838" s="161"/>
      <c r="J838" s="161"/>
      <c r="K838" s="161"/>
      <c r="L838" s="166"/>
      <c r="M838" s="166"/>
      <c r="N838" s="166"/>
      <c r="O838" s="166"/>
      <c r="P838" s="166"/>
      <c r="Q838" s="166"/>
      <c r="R838" s="166"/>
      <c r="S838" s="167"/>
      <c r="T838" s="167"/>
      <c r="U838" s="167"/>
      <c r="V838" s="167"/>
      <c r="W838" s="167"/>
      <c r="X838" s="164"/>
      <c r="Y838" s="164"/>
      <c r="Z838" s="172"/>
      <c r="AA838" s="188"/>
      <c r="AB838" s="172"/>
      <c r="AC838" s="172"/>
      <c r="AD838" s="175"/>
      <c r="AE838" s="62" t="s">
        <v>114</v>
      </c>
      <c r="AF838" s="133"/>
      <c r="AG838" s="65"/>
      <c r="AH838" s="64"/>
      <c r="AI838" s="64"/>
      <c r="AJ838" s="64"/>
      <c r="AK838" s="64"/>
      <c r="AL838" s="64"/>
      <c r="AM838" s="80" t="str">
        <f>IFERROR((Tablas!$C$1*VLOOKUP(AH838, tipo_control, 2, 0)+Tablas!$E$1*VLOOKUP(AI838, nat_control, 2, 0)+Tablas!$G$1*VLOOKUP(AJ838, ev_control, 2, 0)+Tablas!$I$1*VLOOKUP(AK838, frec_control, 2, 0)+Tablas!$K$1*VLOOKUP(AL838, doc_control, 2, 0))*0.1*peso_dis, "")</f>
        <v/>
      </c>
      <c r="AN838" s="64"/>
      <c r="AO838" s="64"/>
      <c r="AP838" s="64"/>
      <c r="AQ838" s="80" t="str">
        <f>IFERROR((Tablas!$C$9*VLOOKUP(AN838, amb_control, 2, 0)+Tablas!$E$9*VLOOKUP(AO838, ejec_control, 2, 0)+Tablas!$G$9*VLOOKUP(AP838, cub_control, 2, 0))*0.1*peso_ejec, "")</f>
        <v/>
      </c>
      <c r="AR838" s="91" t="str">
        <f t="shared" si="1408"/>
        <v/>
      </c>
      <c r="AS838" s="85" t="str">
        <f t="shared" si="1362"/>
        <v/>
      </c>
      <c r="AT838" s="85" t="str">
        <f t="shared" si="1363"/>
        <v/>
      </c>
      <c r="AU838" s="85" t="str">
        <f>IF(AR838&lt;Tablas!$G$19, 0, IF(AND(AR838&gt;=Tablas!$G$19, AR838&lt;Tablas!$G$20), 1,  IF(AND(AR838&gt;=Tablas!$G$20, AR838&lt;Tablas!$G$21), 2,  IF(AND(AR838&gt;=Tablas!$G$21, AR838&lt;=Tablas!$G$22), 3,  ""))))</f>
        <v/>
      </c>
      <c r="AV838" s="85" t="str">
        <f t="shared" si="1409"/>
        <v/>
      </c>
      <c r="AW838" s="101" t="str">
        <f t="shared" si="1410"/>
        <v/>
      </c>
      <c r="AX838" s="177"/>
      <c r="AY838" s="169"/>
      <c r="AZ838" s="158"/>
      <c r="BA838" s="169"/>
      <c r="BB838" s="182"/>
      <c r="BC838" s="182"/>
      <c r="BD838" s="185"/>
      <c r="BE838" s="185"/>
      <c r="BF838" s="158" t="str">
        <f t="shared" si="1460"/>
        <v/>
      </c>
      <c r="BG838" s="191"/>
    </row>
    <row r="839" spans="1:59" x14ac:dyDescent="0.25">
      <c r="A839" s="167"/>
      <c r="B839" s="167"/>
      <c r="C839" s="161"/>
      <c r="D839" s="160"/>
      <c r="E839" s="162"/>
      <c r="F839" s="164"/>
      <c r="G839" s="161"/>
      <c r="H839" s="161"/>
      <c r="I839" s="161"/>
      <c r="J839" s="161"/>
      <c r="K839" s="161"/>
      <c r="L839" s="166"/>
      <c r="M839" s="166"/>
      <c r="N839" s="166"/>
      <c r="O839" s="166"/>
      <c r="P839" s="166"/>
      <c r="Q839" s="166"/>
      <c r="R839" s="166"/>
      <c r="S839" s="167"/>
      <c r="T839" s="167"/>
      <c r="U839" s="167"/>
      <c r="V839" s="167"/>
      <c r="W839" s="167"/>
      <c r="X839" s="164"/>
      <c r="Y839" s="164"/>
      <c r="Z839" s="172"/>
      <c r="AA839" s="188"/>
      <c r="AB839" s="172"/>
      <c r="AC839" s="172"/>
      <c r="AD839" s="175"/>
      <c r="AE839" s="62" t="s">
        <v>115</v>
      </c>
      <c r="AF839" s="133"/>
      <c r="AG839" s="65"/>
      <c r="AH839" s="64"/>
      <c r="AI839" s="64"/>
      <c r="AJ839" s="64"/>
      <c r="AK839" s="64"/>
      <c r="AL839" s="64"/>
      <c r="AM839" s="80" t="str">
        <f>IFERROR((Tablas!$C$1*VLOOKUP(AH839, tipo_control, 2, 0)+Tablas!$E$1*VLOOKUP(AI839, nat_control, 2, 0)+Tablas!$G$1*VLOOKUP(AJ839, ev_control, 2, 0)+Tablas!$I$1*VLOOKUP(AK839, frec_control, 2, 0)+Tablas!$K$1*VLOOKUP(AL839, doc_control, 2, 0))*0.1*peso_dis, "")</f>
        <v/>
      </c>
      <c r="AN839" s="64"/>
      <c r="AO839" s="64"/>
      <c r="AP839" s="64"/>
      <c r="AQ839" s="80" t="str">
        <f>IFERROR((Tablas!$C$9*VLOOKUP(AN839, amb_control, 2, 0)+Tablas!$E$9*VLOOKUP(AO839, ejec_control, 2, 0)+Tablas!$G$9*VLOOKUP(AP839, cub_control, 2, 0))*0.1*peso_ejec, "")</f>
        <v/>
      </c>
      <c r="AR839" s="91" t="str">
        <f t="shared" si="1408"/>
        <v/>
      </c>
      <c r="AS839" s="85" t="str">
        <f t="shared" si="1362"/>
        <v/>
      </c>
      <c r="AT839" s="85" t="str">
        <f t="shared" si="1363"/>
        <v/>
      </c>
      <c r="AU839" s="85" t="str">
        <f>IF(AR839&lt;Tablas!$G$19, 0, IF(AND(AR839&gt;=Tablas!$G$19, AR839&lt;Tablas!$G$20), 1,  IF(AND(AR839&gt;=Tablas!$G$20, AR839&lt;Tablas!$G$21), 2,  IF(AND(AR839&gt;=Tablas!$G$21, AR839&lt;=Tablas!$G$22), 3,  ""))))</f>
        <v/>
      </c>
      <c r="AV839" s="85" t="str">
        <f t="shared" si="1409"/>
        <v/>
      </c>
      <c r="AW839" s="101" t="str">
        <f t="shared" si="1410"/>
        <v/>
      </c>
      <c r="AX839" s="177"/>
      <c r="AY839" s="169"/>
      <c r="AZ839" s="158"/>
      <c r="BA839" s="169"/>
      <c r="BB839" s="182"/>
      <c r="BC839" s="182"/>
      <c r="BD839" s="185"/>
      <c r="BE839" s="185"/>
      <c r="BF839" s="158" t="str">
        <f t="shared" si="1460"/>
        <v/>
      </c>
      <c r="BG839" s="191"/>
    </row>
    <row r="840" spans="1:59" x14ac:dyDescent="0.25">
      <c r="A840" s="167"/>
      <c r="B840" s="167"/>
      <c r="C840" s="161"/>
      <c r="D840" s="160"/>
      <c r="E840" s="162"/>
      <c r="F840" s="164"/>
      <c r="G840" s="161"/>
      <c r="H840" s="161"/>
      <c r="I840" s="161"/>
      <c r="J840" s="161"/>
      <c r="K840" s="161"/>
      <c r="L840" s="166"/>
      <c r="M840" s="166"/>
      <c r="N840" s="166"/>
      <c r="O840" s="166"/>
      <c r="P840" s="166"/>
      <c r="Q840" s="166"/>
      <c r="R840" s="166"/>
      <c r="S840" s="167"/>
      <c r="T840" s="167"/>
      <c r="U840" s="167"/>
      <c r="V840" s="167"/>
      <c r="W840" s="167"/>
      <c r="X840" s="164"/>
      <c r="Y840" s="164"/>
      <c r="Z840" s="172"/>
      <c r="AA840" s="188"/>
      <c r="AB840" s="172"/>
      <c r="AC840" s="172"/>
      <c r="AD840" s="175"/>
      <c r="AE840" s="62" t="s">
        <v>153</v>
      </c>
      <c r="AF840" s="133"/>
      <c r="AG840" s="65"/>
      <c r="AH840" s="64"/>
      <c r="AI840" s="64"/>
      <c r="AJ840" s="64"/>
      <c r="AK840" s="64"/>
      <c r="AL840" s="64"/>
      <c r="AM840" s="80" t="str">
        <f>IFERROR((Tablas!$C$1*VLOOKUP(AH840, tipo_control, 2, 0)+Tablas!$E$1*VLOOKUP(AI840, nat_control, 2, 0)+Tablas!$G$1*VLOOKUP(AJ840, ev_control, 2, 0)+Tablas!$I$1*VLOOKUP(AK840, frec_control, 2, 0)+Tablas!$K$1*VLOOKUP(AL840, doc_control, 2, 0))*0.1*peso_dis, "")</f>
        <v/>
      </c>
      <c r="AN840" s="64"/>
      <c r="AO840" s="64"/>
      <c r="AP840" s="64"/>
      <c r="AQ840" s="80" t="str">
        <f>IFERROR((Tablas!$C$9*VLOOKUP(AN840, amb_control, 2, 0)+Tablas!$E$9*VLOOKUP(AO840, ejec_control, 2, 0)+Tablas!$G$9*VLOOKUP(AP840, cub_control, 2, 0))*0.1*peso_ejec, "")</f>
        <v/>
      </c>
      <c r="AR840" s="91" t="str">
        <f t="shared" si="1408"/>
        <v/>
      </c>
      <c r="AS840" s="85" t="str">
        <f t="shared" si="1362"/>
        <v/>
      </c>
      <c r="AT840" s="85" t="str">
        <f t="shared" si="1363"/>
        <v/>
      </c>
      <c r="AU840" s="85" t="str">
        <f>IF(AR840&lt;Tablas!$G$19, 0, IF(AND(AR840&gt;=Tablas!$G$19, AR840&lt;Tablas!$G$20), 1,  IF(AND(AR840&gt;=Tablas!$G$20, AR840&lt;Tablas!$G$21), 2,  IF(AND(AR840&gt;=Tablas!$G$21, AR840&lt;=Tablas!$G$22), 3,  ""))))</f>
        <v/>
      </c>
      <c r="AV840" s="85" t="str">
        <f t="shared" si="1409"/>
        <v/>
      </c>
      <c r="AW840" s="101" t="str">
        <f t="shared" si="1410"/>
        <v/>
      </c>
      <c r="AX840" s="177"/>
      <c r="AY840" s="169"/>
      <c r="AZ840" s="158"/>
      <c r="BA840" s="169"/>
      <c r="BB840" s="182"/>
      <c r="BC840" s="182"/>
      <c r="BD840" s="185"/>
      <c r="BE840" s="185"/>
      <c r="BF840" s="158"/>
      <c r="BG840" s="191"/>
    </row>
    <row r="841" spans="1:59" ht="15.75" thickBot="1" x14ac:dyDescent="0.3">
      <c r="A841" s="167"/>
      <c r="B841" s="167"/>
      <c r="C841" s="161"/>
      <c r="D841" s="160"/>
      <c r="E841" s="162"/>
      <c r="F841" s="165"/>
      <c r="G841" s="161"/>
      <c r="H841" s="161"/>
      <c r="I841" s="161"/>
      <c r="J841" s="161"/>
      <c r="K841" s="161"/>
      <c r="L841" s="166"/>
      <c r="M841" s="166"/>
      <c r="N841" s="166"/>
      <c r="O841" s="166"/>
      <c r="P841" s="166"/>
      <c r="Q841" s="166"/>
      <c r="R841" s="166"/>
      <c r="S841" s="149"/>
      <c r="T841" s="149"/>
      <c r="U841" s="149"/>
      <c r="V841" s="149"/>
      <c r="W841" s="149"/>
      <c r="X841" s="165"/>
      <c r="Y841" s="165"/>
      <c r="Z841" s="172"/>
      <c r="AA841" s="188"/>
      <c r="AB841" s="172"/>
      <c r="AC841" s="172"/>
      <c r="AD841" s="175"/>
      <c r="AE841" s="66" t="s">
        <v>154</v>
      </c>
      <c r="AF841" s="134"/>
      <c r="AG841" s="67"/>
      <c r="AH841" s="69"/>
      <c r="AI841" s="69"/>
      <c r="AJ841" s="69"/>
      <c r="AK841" s="69"/>
      <c r="AL841" s="69"/>
      <c r="AM841" s="81" t="str">
        <f>IFERROR((Tablas!$C$1*VLOOKUP(AH841, tipo_control, 2, 0)+Tablas!$E$1*VLOOKUP(AI841, nat_control, 2, 0)+Tablas!$G$1*VLOOKUP(AJ841, ev_control, 2, 0)+Tablas!$I$1*VLOOKUP(AK841, frec_control, 2, 0)+Tablas!$K$1*VLOOKUP(AL841, doc_control, 2, 0))*0.1*peso_dis, "")</f>
        <v/>
      </c>
      <c r="AN841" s="69"/>
      <c r="AO841" s="69"/>
      <c r="AP841" s="69"/>
      <c r="AQ841" s="81" t="str">
        <f>IFERROR((Tablas!$C$9*VLOOKUP(AN841, amb_control, 2, 0)+Tablas!$E$9*VLOOKUP(AO841, ejec_control, 2, 0)+Tablas!$G$9*VLOOKUP(AP841, cub_control, 2, 0))*0.1*peso_ejec, "")</f>
        <v/>
      </c>
      <c r="AR841" s="93" t="str">
        <f t="shared" si="1408"/>
        <v/>
      </c>
      <c r="AS841" s="94" t="str">
        <f t="shared" si="1362"/>
        <v/>
      </c>
      <c r="AT841" s="94" t="str">
        <f t="shared" si="1363"/>
        <v/>
      </c>
      <c r="AU841" s="94" t="str">
        <f>IF(AR841&lt;Tablas!$G$19, 0, IF(AND(AR841&gt;=Tablas!$G$19, AR841&lt;Tablas!$G$20), 1,  IF(AND(AR841&gt;=Tablas!$G$20, AR841&lt;Tablas!$G$21), 2,  IF(AND(AR841&gt;=Tablas!$G$21, AR841&lt;=Tablas!$G$22), 3,  ""))))</f>
        <v/>
      </c>
      <c r="AV841" s="94" t="str">
        <f t="shared" si="1409"/>
        <v/>
      </c>
      <c r="AW841" s="102" t="str">
        <f t="shared" si="1410"/>
        <v/>
      </c>
      <c r="AX841" s="157"/>
      <c r="AY841" s="170"/>
      <c r="AZ841" s="179"/>
      <c r="BA841" s="170"/>
      <c r="BB841" s="182"/>
      <c r="BC841" s="182"/>
      <c r="BD841" s="185"/>
      <c r="BE841" s="185"/>
      <c r="BF841" s="159"/>
      <c r="BG841" s="191"/>
    </row>
    <row r="842" spans="1:59" x14ac:dyDescent="0.25">
      <c r="A842" s="167"/>
      <c r="B842" s="167"/>
      <c r="C842" s="161" t="s">
        <v>181</v>
      </c>
      <c r="D842" s="160" t="s">
        <v>158</v>
      </c>
      <c r="E842" s="162"/>
      <c r="F842" s="163" t="str">
        <f t="shared" si="1364"/>
        <v/>
      </c>
      <c r="G842" s="149"/>
      <c r="H842" s="149"/>
      <c r="I842" s="149"/>
      <c r="J842" s="149"/>
      <c r="K842" s="149"/>
      <c r="L842" s="165" t="str">
        <f t="shared" ref="L842" si="1461">IFERROR(VLOOKUP(G842, tabla02, 2, 0), "")</f>
        <v/>
      </c>
      <c r="M842" s="165" t="str">
        <f t="shared" ref="M842" si="1462">IFERROR(VLOOKUP(H842, tabla02, 2, 0), "")</f>
        <v/>
      </c>
      <c r="N842" s="165" t="str">
        <f t="shared" ref="N842" si="1463">IFERROR(VLOOKUP(I842, tabla02, 2, 0), "")</f>
        <v/>
      </c>
      <c r="O842" s="165" t="str">
        <f t="shared" ref="O842" si="1464">IFERROR(VLOOKUP(J842, tabla02, 2, 0), "")</f>
        <v/>
      </c>
      <c r="P842" s="165" t="str">
        <f t="shared" ref="P842" si="1465">IFERROR(VLOOKUP(K842, tabla02, 2, 0), "")</f>
        <v/>
      </c>
      <c r="Q842" s="165" t="str">
        <f t="shared" ref="Q842" si="1466">IF(SUM(L842:O846)=0, "", MAX(L842:P842))</f>
        <v/>
      </c>
      <c r="R842" s="165" t="str">
        <f>IFERROR(VLOOKUP(Q842, tabla04, 3, 0), "")</f>
        <v/>
      </c>
      <c r="S842" s="148"/>
      <c r="T842" s="148"/>
      <c r="U842" s="148"/>
      <c r="V842" s="148"/>
      <c r="W842" s="148"/>
      <c r="X842" s="163" t="str">
        <f>IFERROR(VLOOKUP(CONCATENATE(F842, "-", Q842), cuadrante_sev, 3, 0), "")</f>
        <v/>
      </c>
      <c r="Y842" s="163" t="str">
        <f t="shared" ref="Y842" si="1467">IFERROR(IF(X842="Baja", 1, IF(X842="Moderada", 2, IF(X842="Alta", 3, IF(X842="Extrema", 4, "")))), "")</f>
        <v/>
      </c>
      <c r="Z842" s="172"/>
      <c r="AA842" s="188"/>
      <c r="AB842" s="172"/>
      <c r="AC842" s="172"/>
      <c r="AD842" s="175"/>
      <c r="AE842" s="70" t="s">
        <v>113</v>
      </c>
      <c r="AF842" s="135"/>
      <c r="AG842" s="74"/>
      <c r="AH842" s="72"/>
      <c r="AI842" s="72"/>
      <c r="AJ842" s="72"/>
      <c r="AK842" s="72"/>
      <c r="AL842" s="72"/>
      <c r="AM842" s="82" t="str">
        <f>IFERROR((Tablas!$C$1*VLOOKUP(AH842, tipo_control, 2, 0)+Tablas!$E$1*VLOOKUP(AI842, nat_control, 2, 0)+Tablas!$G$1*VLOOKUP(AJ842, ev_control, 2, 0)+Tablas!$I$1*VLOOKUP(AK842, frec_control, 2, 0)+Tablas!$K$1*VLOOKUP(AL842, doc_control, 2, 0))*0.1*peso_dis, "")</f>
        <v/>
      </c>
      <c r="AN842" s="72"/>
      <c r="AO842" s="72"/>
      <c r="AP842" s="72"/>
      <c r="AQ842" s="82" t="str">
        <f>IFERROR((Tablas!$C$9*VLOOKUP(AN842, amb_control, 2, 0)+Tablas!$E$9*VLOOKUP(AO842, ejec_control, 2, 0)+Tablas!$G$9*VLOOKUP(AP842, cub_control, 2, 0))*0.1*peso_ejec, "")</f>
        <v/>
      </c>
      <c r="AR842" s="96" t="str">
        <f t="shared" si="1408"/>
        <v/>
      </c>
      <c r="AS842" s="97" t="str">
        <f t="shared" si="1362"/>
        <v/>
      </c>
      <c r="AT842" s="87" t="str">
        <f t="shared" si="1363"/>
        <v/>
      </c>
      <c r="AU842" s="97" t="str">
        <f>IF(AR842&lt;Tablas!$G$19, 0, IF(AND(AR842&gt;=Tablas!$G$19, AR842&lt;Tablas!$G$20), 1,  IF(AND(AR842&gt;=Tablas!$G$20, AR842&lt;Tablas!$G$21), 2,  IF(AND(AR842&gt;=Tablas!$G$21, AR842&lt;=Tablas!$G$22), 3,  ""))))</f>
        <v/>
      </c>
      <c r="AV842" s="97" t="str">
        <f t="shared" si="1409"/>
        <v/>
      </c>
      <c r="AW842" s="103" t="str">
        <f t="shared" si="1410"/>
        <v/>
      </c>
      <c r="AX842" s="176" t="str">
        <f t="shared" ref="AX842" si="1468">IFERROR(VLOOKUP(AY842, tabla04, 2, 0), "")</f>
        <v/>
      </c>
      <c r="AY842" s="168" t="str">
        <f>IF(F842="", "", IF((F842-MAX(AV842:AV846))&lt;=0, 1, F842-MAX(AV842:AV846)))</f>
        <v/>
      </c>
      <c r="AZ842" s="178" t="str">
        <f t="shared" ref="AZ842" si="1469">IFERROR(VLOOKUP(BA842, tabla04, 3, 0), "")</f>
        <v/>
      </c>
      <c r="BA842" s="168" t="str">
        <f>IF(Q842="", "", IF((Q842-MAX(AW842:AW846))&lt;=0, 1, Q842-MAX(AW842:AW846)))</f>
        <v/>
      </c>
      <c r="BB842" s="182"/>
      <c r="BC842" s="182"/>
      <c r="BD842" s="185"/>
      <c r="BE842" s="185"/>
      <c r="BF842" s="158" t="str">
        <f t="shared" ref="BF842:BF844" si="1470">IFERROR(VLOOKUP(CONCATENATE(AY842, "-", BA842), cuadrante_sev, 3, 0), "")</f>
        <v/>
      </c>
      <c r="BG842" s="191"/>
    </row>
    <row r="843" spans="1:59" x14ac:dyDescent="0.25">
      <c r="A843" s="167"/>
      <c r="B843" s="167"/>
      <c r="C843" s="161"/>
      <c r="D843" s="160"/>
      <c r="E843" s="162"/>
      <c r="F843" s="164"/>
      <c r="G843" s="161"/>
      <c r="H843" s="161"/>
      <c r="I843" s="161"/>
      <c r="J843" s="161"/>
      <c r="K843" s="161"/>
      <c r="L843" s="166"/>
      <c r="M843" s="166"/>
      <c r="N843" s="166"/>
      <c r="O843" s="166"/>
      <c r="P843" s="166"/>
      <c r="Q843" s="166"/>
      <c r="R843" s="166"/>
      <c r="S843" s="167"/>
      <c r="T843" s="167"/>
      <c r="U843" s="167"/>
      <c r="V843" s="167"/>
      <c r="W843" s="167"/>
      <c r="X843" s="164"/>
      <c r="Y843" s="164"/>
      <c r="Z843" s="172"/>
      <c r="AA843" s="188"/>
      <c r="AB843" s="172"/>
      <c r="AC843" s="172"/>
      <c r="AD843" s="175"/>
      <c r="AE843" s="62" t="s">
        <v>114</v>
      </c>
      <c r="AF843" s="133"/>
      <c r="AG843" s="65"/>
      <c r="AH843" s="64"/>
      <c r="AI843" s="64"/>
      <c r="AJ843" s="64"/>
      <c r="AK843" s="64"/>
      <c r="AL843" s="64"/>
      <c r="AM843" s="80" t="str">
        <f>IFERROR((Tablas!$C$1*VLOOKUP(AH843, tipo_control, 2, 0)+Tablas!$E$1*VLOOKUP(AI843, nat_control, 2, 0)+Tablas!$G$1*VLOOKUP(AJ843, ev_control, 2, 0)+Tablas!$I$1*VLOOKUP(AK843, frec_control, 2, 0)+Tablas!$K$1*VLOOKUP(AL843, doc_control, 2, 0))*0.1*peso_dis, "")</f>
        <v/>
      </c>
      <c r="AN843" s="64"/>
      <c r="AO843" s="64"/>
      <c r="AP843" s="64"/>
      <c r="AQ843" s="80" t="str">
        <f>IFERROR((Tablas!$C$9*VLOOKUP(AN843, amb_control, 2, 0)+Tablas!$E$9*VLOOKUP(AO843, ejec_control, 2, 0)+Tablas!$G$9*VLOOKUP(AP843, cub_control, 2, 0))*0.1*peso_ejec, "")</f>
        <v/>
      </c>
      <c r="AR843" s="91" t="str">
        <f t="shared" si="1408"/>
        <v/>
      </c>
      <c r="AS843" s="85" t="str">
        <f t="shared" si="1362"/>
        <v/>
      </c>
      <c r="AT843" s="85" t="str">
        <f t="shared" si="1363"/>
        <v/>
      </c>
      <c r="AU843" s="85" t="str">
        <f>IF(AR843&lt;Tablas!$G$19, 0, IF(AND(AR843&gt;=Tablas!$G$19, AR843&lt;Tablas!$G$20), 1,  IF(AND(AR843&gt;=Tablas!$G$20, AR843&lt;Tablas!$G$21), 2,  IF(AND(AR843&gt;=Tablas!$G$21, AR843&lt;=Tablas!$G$22), 3,  ""))))</f>
        <v/>
      </c>
      <c r="AV843" s="85" t="str">
        <f t="shared" si="1409"/>
        <v/>
      </c>
      <c r="AW843" s="101" t="str">
        <f t="shared" si="1410"/>
        <v/>
      </c>
      <c r="AX843" s="177"/>
      <c r="AY843" s="169"/>
      <c r="AZ843" s="158"/>
      <c r="BA843" s="169"/>
      <c r="BB843" s="182"/>
      <c r="BC843" s="182"/>
      <c r="BD843" s="185"/>
      <c r="BE843" s="185"/>
      <c r="BF843" s="158" t="str">
        <f t="shared" si="1470"/>
        <v/>
      </c>
      <c r="BG843" s="191"/>
    </row>
    <row r="844" spans="1:59" x14ac:dyDescent="0.25">
      <c r="A844" s="167"/>
      <c r="B844" s="167"/>
      <c r="C844" s="161"/>
      <c r="D844" s="160"/>
      <c r="E844" s="162"/>
      <c r="F844" s="164"/>
      <c r="G844" s="161"/>
      <c r="H844" s="161"/>
      <c r="I844" s="161"/>
      <c r="J844" s="161"/>
      <c r="K844" s="161"/>
      <c r="L844" s="166"/>
      <c r="M844" s="166"/>
      <c r="N844" s="166"/>
      <c r="O844" s="166"/>
      <c r="P844" s="166"/>
      <c r="Q844" s="166"/>
      <c r="R844" s="166"/>
      <c r="S844" s="167"/>
      <c r="T844" s="167"/>
      <c r="U844" s="167"/>
      <c r="V844" s="167"/>
      <c r="W844" s="167"/>
      <c r="X844" s="164"/>
      <c r="Y844" s="164"/>
      <c r="Z844" s="172"/>
      <c r="AA844" s="188"/>
      <c r="AB844" s="172"/>
      <c r="AC844" s="172"/>
      <c r="AD844" s="175"/>
      <c r="AE844" s="62" t="s">
        <v>115</v>
      </c>
      <c r="AF844" s="133"/>
      <c r="AG844" s="65"/>
      <c r="AH844" s="64"/>
      <c r="AI844" s="64"/>
      <c r="AJ844" s="64"/>
      <c r="AK844" s="64"/>
      <c r="AL844" s="64"/>
      <c r="AM844" s="80" t="str">
        <f>IFERROR((Tablas!$C$1*VLOOKUP(AH844, tipo_control, 2, 0)+Tablas!$E$1*VLOOKUP(AI844, nat_control, 2, 0)+Tablas!$G$1*VLOOKUP(AJ844, ev_control, 2, 0)+Tablas!$I$1*VLOOKUP(AK844, frec_control, 2, 0)+Tablas!$K$1*VLOOKUP(AL844, doc_control, 2, 0))*0.1*peso_dis, "")</f>
        <v/>
      </c>
      <c r="AN844" s="64"/>
      <c r="AO844" s="64"/>
      <c r="AP844" s="64"/>
      <c r="AQ844" s="80" t="str">
        <f>IFERROR((Tablas!$C$9*VLOOKUP(AN844, amb_control, 2, 0)+Tablas!$E$9*VLOOKUP(AO844, ejec_control, 2, 0)+Tablas!$G$9*VLOOKUP(AP844, cub_control, 2, 0))*0.1*peso_ejec, "")</f>
        <v/>
      </c>
      <c r="AR844" s="91" t="str">
        <f t="shared" si="1408"/>
        <v/>
      </c>
      <c r="AS844" s="85" t="str">
        <f t="shared" si="1362"/>
        <v/>
      </c>
      <c r="AT844" s="85" t="str">
        <f t="shared" si="1363"/>
        <v/>
      </c>
      <c r="AU844" s="85" t="str">
        <f>IF(AR844&lt;Tablas!$G$19, 0, IF(AND(AR844&gt;=Tablas!$G$19, AR844&lt;Tablas!$G$20), 1,  IF(AND(AR844&gt;=Tablas!$G$20, AR844&lt;Tablas!$G$21), 2,  IF(AND(AR844&gt;=Tablas!$G$21, AR844&lt;=Tablas!$G$22), 3,  ""))))</f>
        <v/>
      </c>
      <c r="AV844" s="85" t="str">
        <f t="shared" si="1409"/>
        <v/>
      </c>
      <c r="AW844" s="101" t="str">
        <f t="shared" si="1410"/>
        <v/>
      </c>
      <c r="AX844" s="177"/>
      <c r="AY844" s="169"/>
      <c r="AZ844" s="158"/>
      <c r="BA844" s="169"/>
      <c r="BB844" s="182"/>
      <c r="BC844" s="182"/>
      <c r="BD844" s="185"/>
      <c r="BE844" s="185"/>
      <c r="BF844" s="158" t="str">
        <f t="shared" si="1470"/>
        <v/>
      </c>
      <c r="BG844" s="191"/>
    </row>
    <row r="845" spans="1:59" x14ac:dyDescent="0.25">
      <c r="A845" s="167"/>
      <c r="B845" s="167"/>
      <c r="C845" s="161"/>
      <c r="D845" s="160"/>
      <c r="E845" s="162"/>
      <c r="F845" s="164"/>
      <c r="G845" s="161"/>
      <c r="H845" s="161"/>
      <c r="I845" s="161"/>
      <c r="J845" s="161"/>
      <c r="K845" s="161"/>
      <c r="L845" s="166"/>
      <c r="M845" s="166"/>
      <c r="N845" s="166"/>
      <c r="O845" s="166"/>
      <c r="P845" s="166"/>
      <c r="Q845" s="166"/>
      <c r="R845" s="166"/>
      <c r="S845" s="167"/>
      <c r="T845" s="167"/>
      <c r="U845" s="167"/>
      <c r="V845" s="167"/>
      <c r="W845" s="167"/>
      <c r="X845" s="164"/>
      <c r="Y845" s="164"/>
      <c r="Z845" s="172"/>
      <c r="AA845" s="188"/>
      <c r="AB845" s="172"/>
      <c r="AC845" s="172"/>
      <c r="AD845" s="175"/>
      <c r="AE845" s="62" t="s">
        <v>153</v>
      </c>
      <c r="AF845" s="133"/>
      <c r="AG845" s="65"/>
      <c r="AH845" s="64"/>
      <c r="AI845" s="64"/>
      <c r="AJ845" s="64"/>
      <c r="AK845" s="64"/>
      <c r="AL845" s="64"/>
      <c r="AM845" s="80" t="str">
        <f>IFERROR((Tablas!$C$1*VLOOKUP(AH845, tipo_control, 2, 0)+Tablas!$E$1*VLOOKUP(AI845, nat_control, 2, 0)+Tablas!$G$1*VLOOKUP(AJ845, ev_control, 2, 0)+Tablas!$I$1*VLOOKUP(AK845, frec_control, 2, 0)+Tablas!$K$1*VLOOKUP(AL845, doc_control, 2, 0))*0.1*peso_dis, "")</f>
        <v/>
      </c>
      <c r="AN845" s="64"/>
      <c r="AO845" s="64"/>
      <c r="AP845" s="64"/>
      <c r="AQ845" s="80" t="str">
        <f>IFERROR((Tablas!$C$9*VLOOKUP(AN845, amb_control, 2, 0)+Tablas!$E$9*VLOOKUP(AO845, ejec_control, 2, 0)+Tablas!$G$9*VLOOKUP(AP845, cub_control, 2, 0))*0.1*peso_ejec, "")</f>
        <v/>
      </c>
      <c r="AR845" s="91" t="str">
        <f t="shared" si="1408"/>
        <v/>
      </c>
      <c r="AS845" s="85" t="str">
        <f t="shared" si="1362"/>
        <v/>
      </c>
      <c r="AT845" s="85" t="str">
        <f t="shared" si="1363"/>
        <v/>
      </c>
      <c r="AU845" s="85" t="str">
        <f>IF(AR845&lt;Tablas!$G$19, 0, IF(AND(AR845&gt;=Tablas!$G$19, AR845&lt;Tablas!$G$20), 1,  IF(AND(AR845&gt;=Tablas!$G$20, AR845&lt;Tablas!$G$21), 2,  IF(AND(AR845&gt;=Tablas!$G$21, AR845&lt;=Tablas!$G$22), 3,  ""))))</f>
        <v/>
      </c>
      <c r="AV845" s="85" t="str">
        <f t="shared" si="1409"/>
        <v/>
      </c>
      <c r="AW845" s="101" t="str">
        <f t="shared" si="1410"/>
        <v/>
      </c>
      <c r="AX845" s="177"/>
      <c r="AY845" s="169"/>
      <c r="AZ845" s="158"/>
      <c r="BA845" s="169"/>
      <c r="BB845" s="182"/>
      <c r="BC845" s="182"/>
      <c r="BD845" s="185"/>
      <c r="BE845" s="185"/>
      <c r="BF845" s="158"/>
      <c r="BG845" s="191"/>
    </row>
    <row r="846" spans="1:59" ht="15.75" thickBot="1" x14ac:dyDescent="0.3">
      <c r="A846" s="167"/>
      <c r="B846" s="167"/>
      <c r="C846" s="161"/>
      <c r="D846" s="160"/>
      <c r="E846" s="162"/>
      <c r="F846" s="165"/>
      <c r="G846" s="161"/>
      <c r="H846" s="161"/>
      <c r="I846" s="161"/>
      <c r="J846" s="161"/>
      <c r="K846" s="161"/>
      <c r="L846" s="166"/>
      <c r="M846" s="166"/>
      <c r="N846" s="166"/>
      <c r="O846" s="166"/>
      <c r="P846" s="166"/>
      <c r="Q846" s="166"/>
      <c r="R846" s="166"/>
      <c r="S846" s="149"/>
      <c r="T846" s="149"/>
      <c r="U846" s="149"/>
      <c r="V846" s="149"/>
      <c r="W846" s="149"/>
      <c r="X846" s="165"/>
      <c r="Y846" s="165"/>
      <c r="Z846" s="172"/>
      <c r="AA846" s="188"/>
      <c r="AB846" s="172"/>
      <c r="AC846" s="172"/>
      <c r="AD846" s="175"/>
      <c r="AE846" s="66" t="s">
        <v>154</v>
      </c>
      <c r="AF846" s="134"/>
      <c r="AG846" s="67"/>
      <c r="AH846" s="69"/>
      <c r="AI846" s="69"/>
      <c r="AJ846" s="69"/>
      <c r="AK846" s="69"/>
      <c r="AL846" s="69"/>
      <c r="AM846" s="81" t="str">
        <f>IFERROR((Tablas!$C$1*VLOOKUP(AH846, tipo_control, 2, 0)+Tablas!$E$1*VLOOKUP(AI846, nat_control, 2, 0)+Tablas!$G$1*VLOOKUP(AJ846, ev_control, 2, 0)+Tablas!$I$1*VLOOKUP(AK846, frec_control, 2, 0)+Tablas!$K$1*VLOOKUP(AL846, doc_control, 2, 0))*0.1*peso_dis, "")</f>
        <v/>
      </c>
      <c r="AN846" s="69"/>
      <c r="AO846" s="69"/>
      <c r="AP846" s="69"/>
      <c r="AQ846" s="81" t="str">
        <f>IFERROR((Tablas!$C$9*VLOOKUP(AN846, amb_control, 2, 0)+Tablas!$E$9*VLOOKUP(AO846, ejec_control, 2, 0)+Tablas!$G$9*VLOOKUP(AP846, cub_control, 2, 0))*0.1*peso_ejec, "")</f>
        <v/>
      </c>
      <c r="AR846" s="93" t="str">
        <f t="shared" si="1408"/>
        <v/>
      </c>
      <c r="AS846" s="94" t="str">
        <f t="shared" si="1362"/>
        <v/>
      </c>
      <c r="AT846" s="94" t="str">
        <f t="shared" si="1363"/>
        <v/>
      </c>
      <c r="AU846" s="94" t="str">
        <f>IF(AR846&lt;Tablas!$G$19, 0, IF(AND(AR846&gt;=Tablas!$G$19, AR846&lt;Tablas!$G$20), 1,  IF(AND(AR846&gt;=Tablas!$G$20, AR846&lt;Tablas!$G$21), 2,  IF(AND(AR846&gt;=Tablas!$G$21, AR846&lt;=Tablas!$G$22), 3,  ""))))</f>
        <v/>
      </c>
      <c r="AV846" s="94" t="str">
        <f t="shared" si="1409"/>
        <v/>
      </c>
      <c r="AW846" s="102" t="str">
        <f t="shared" si="1410"/>
        <v/>
      </c>
      <c r="AX846" s="157"/>
      <c r="AY846" s="170"/>
      <c r="AZ846" s="179"/>
      <c r="BA846" s="170"/>
      <c r="BB846" s="182"/>
      <c r="BC846" s="182"/>
      <c r="BD846" s="185"/>
      <c r="BE846" s="185"/>
      <c r="BF846" s="159"/>
      <c r="BG846" s="191"/>
    </row>
    <row r="847" spans="1:59" x14ac:dyDescent="0.25">
      <c r="A847" s="167"/>
      <c r="B847" s="167"/>
      <c r="C847" s="161" t="s">
        <v>182</v>
      </c>
      <c r="D847" s="160" t="s">
        <v>158</v>
      </c>
      <c r="E847" s="162"/>
      <c r="F847" s="163" t="str">
        <f t="shared" si="1364"/>
        <v/>
      </c>
      <c r="G847" s="149"/>
      <c r="H847" s="149"/>
      <c r="I847" s="149"/>
      <c r="J847" s="149"/>
      <c r="K847" s="149"/>
      <c r="L847" s="165" t="str">
        <f t="shared" ref="L847" si="1471">IFERROR(VLOOKUP(G847, tabla02, 2, 0), "")</f>
        <v/>
      </c>
      <c r="M847" s="165" t="str">
        <f t="shared" ref="M847" si="1472">IFERROR(VLOOKUP(H847, tabla02, 2, 0), "")</f>
        <v/>
      </c>
      <c r="N847" s="165" t="str">
        <f t="shared" ref="N847" si="1473">IFERROR(VLOOKUP(I847, tabla02, 2, 0), "")</f>
        <v/>
      </c>
      <c r="O847" s="165" t="str">
        <f t="shared" ref="O847" si="1474">IFERROR(VLOOKUP(J847, tabla02, 2, 0), "")</f>
        <v/>
      </c>
      <c r="P847" s="165" t="str">
        <f t="shared" ref="P847" si="1475">IFERROR(VLOOKUP(K847, tabla02, 2, 0), "")</f>
        <v/>
      </c>
      <c r="Q847" s="165" t="str">
        <f t="shared" ref="Q847" si="1476">IF(SUM(L847:O851)=0, "", MAX(L847:P847))</f>
        <v/>
      </c>
      <c r="R847" s="165" t="str">
        <f>IFERROR(VLOOKUP(Q847, tabla04, 3, 0), "")</f>
        <v/>
      </c>
      <c r="S847" s="148"/>
      <c r="T847" s="148"/>
      <c r="U847" s="148"/>
      <c r="V847" s="148"/>
      <c r="W847" s="148"/>
      <c r="X847" s="163" t="str">
        <f>IFERROR(VLOOKUP(CONCATENATE(F847, "-", Q847), cuadrante_sev, 3, 0), "")</f>
        <v/>
      </c>
      <c r="Y847" s="163" t="str">
        <f t="shared" ref="Y847" si="1477">IFERROR(IF(X847="Baja", 1, IF(X847="Moderada", 2, IF(X847="Alta", 3, IF(X847="Extrema", 4, "")))), "")</f>
        <v/>
      </c>
      <c r="Z847" s="172"/>
      <c r="AA847" s="188"/>
      <c r="AB847" s="172"/>
      <c r="AC847" s="172"/>
      <c r="AD847" s="175"/>
      <c r="AE847" s="70" t="s">
        <v>113</v>
      </c>
      <c r="AF847" s="135"/>
      <c r="AG847" s="74"/>
      <c r="AH847" s="72"/>
      <c r="AI847" s="72"/>
      <c r="AJ847" s="72"/>
      <c r="AK847" s="72"/>
      <c r="AL847" s="72"/>
      <c r="AM847" s="82" t="str">
        <f>IFERROR((Tablas!$C$1*VLOOKUP(AH847, tipo_control, 2, 0)+Tablas!$E$1*VLOOKUP(AI847, nat_control, 2, 0)+Tablas!$G$1*VLOOKUP(AJ847, ev_control, 2, 0)+Tablas!$I$1*VLOOKUP(AK847, frec_control, 2, 0)+Tablas!$K$1*VLOOKUP(AL847, doc_control, 2, 0))*0.1*peso_dis, "")</f>
        <v/>
      </c>
      <c r="AN847" s="72"/>
      <c r="AO847" s="72"/>
      <c r="AP847" s="72"/>
      <c r="AQ847" s="82" t="str">
        <f>IFERROR((Tablas!$C$9*VLOOKUP(AN847, amb_control, 2, 0)+Tablas!$E$9*VLOOKUP(AO847, ejec_control, 2, 0)+Tablas!$G$9*VLOOKUP(AP847, cub_control, 2, 0))*0.1*peso_ejec, "")</f>
        <v/>
      </c>
      <c r="AR847" s="96" t="str">
        <f t="shared" si="1408"/>
        <v/>
      </c>
      <c r="AS847" s="97" t="str">
        <f t="shared" si="1362"/>
        <v/>
      </c>
      <c r="AT847" s="87" t="str">
        <f t="shared" si="1363"/>
        <v/>
      </c>
      <c r="AU847" s="97" t="str">
        <f>IF(AR847&lt;Tablas!$G$19, 0, IF(AND(AR847&gt;=Tablas!$G$19, AR847&lt;Tablas!$G$20), 1,  IF(AND(AR847&gt;=Tablas!$G$20, AR847&lt;Tablas!$G$21), 2,  IF(AND(AR847&gt;=Tablas!$G$21, AR847&lt;=Tablas!$G$22), 3,  ""))))</f>
        <v/>
      </c>
      <c r="AV847" s="97" t="str">
        <f t="shared" si="1409"/>
        <v/>
      </c>
      <c r="AW847" s="103" t="str">
        <f t="shared" si="1410"/>
        <v/>
      </c>
      <c r="AX847" s="176" t="str">
        <f t="shared" ref="AX847" si="1478">IFERROR(VLOOKUP(AY847, tabla04, 2, 0), "")</f>
        <v/>
      </c>
      <c r="AY847" s="168" t="str">
        <f>IF(F847="", "", IF((F847-MAX(AV847:AV851))&lt;=0, 1, F847-MAX(AV847:AV851)))</f>
        <v/>
      </c>
      <c r="AZ847" s="178" t="str">
        <f t="shared" ref="AZ847" si="1479">IFERROR(VLOOKUP(BA847, tabla04, 3, 0), "")</f>
        <v/>
      </c>
      <c r="BA847" s="168" t="str">
        <f>IF(Q847="", "", IF((Q847-MAX(AW847:AW851))&lt;=0, 1, Q847-MAX(AW847:AW851)))</f>
        <v/>
      </c>
      <c r="BB847" s="182"/>
      <c r="BC847" s="182"/>
      <c r="BD847" s="185"/>
      <c r="BE847" s="185"/>
      <c r="BF847" s="158" t="str">
        <f t="shared" ref="BF847:BF849" si="1480">IFERROR(VLOOKUP(CONCATENATE(AY847, "-", BA847), cuadrante_sev, 3, 0), "")</f>
        <v/>
      </c>
      <c r="BG847" s="191"/>
    </row>
    <row r="848" spans="1:59" x14ac:dyDescent="0.25">
      <c r="A848" s="167"/>
      <c r="B848" s="167"/>
      <c r="C848" s="161"/>
      <c r="D848" s="160"/>
      <c r="E848" s="162"/>
      <c r="F848" s="164"/>
      <c r="G848" s="161"/>
      <c r="H848" s="161"/>
      <c r="I848" s="161"/>
      <c r="J848" s="161"/>
      <c r="K848" s="161"/>
      <c r="L848" s="166"/>
      <c r="M848" s="166"/>
      <c r="N848" s="166"/>
      <c r="O848" s="166"/>
      <c r="P848" s="166"/>
      <c r="Q848" s="166"/>
      <c r="R848" s="166"/>
      <c r="S848" s="167"/>
      <c r="T848" s="167"/>
      <c r="U848" s="167"/>
      <c r="V848" s="167"/>
      <c r="W848" s="167"/>
      <c r="X848" s="164"/>
      <c r="Y848" s="164"/>
      <c r="Z848" s="172"/>
      <c r="AA848" s="188"/>
      <c r="AB848" s="172"/>
      <c r="AC848" s="172"/>
      <c r="AD848" s="175"/>
      <c r="AE848" s="62" t="s">
        <v>114</v>
      </c>
      <c r="AF848" s="133"/>
      <c r="AG848" s="65"/>
      <c r="AH848" s="64"/>
      <c r="AI848" s="64"/>
      <c r="AJ848" s="64"/>
      <c r="AK848" s="64"/>
      <c r="AL848" s="64"/>
      <c r="AM848" s="80" t="str">
        <f>IFERROR((Tablas!$C$1*VLOOKUP(AH848, tipo_control, 2, 0)+Tablas!$E$1*VLOOKUP(AI848, nat_control, 2, 0)+Tablas!$G$1*VLOOKUP(AJ848, ev_control, 2, 0)+Tablas!$I$1*VLOOKUP(AK848, frec_control, 2, 0)+Tablas!$K$1*VLOOKUP(AL848, doc_control, 2, 0))*0.1*peso_dis, "")</f>
        <v/>
      </c>
      <c r="AN848" s="64"/>
      <c r="AO848" s="64"/>
      <c r="AP848" s="64"/>
      <c r="AQ848" s="80" t="str">
        <f>IFERROR((Tablas!$C$9*VLOOKUP(AN848, amb_control, 2, 0)+Tablas!$E$9*VLOOKUP(AO848, ejec_control, 2, 0)+Tablas!$G$9*VLOOKUP(AP848, cub_control, 2, 0))*0.1*peso_ejec, "")</f>
        <v/>
      </c>
      <c r="AR848" s="91" t="str">
        <f t="shared" si="1408"/>
        <v/>
      </c>
      <c r="AS848" s="85" t="str">
        <f t="shared" si="1362"/>
        <v/>
      </c>
      <c r="AT848" s="85" t="str">
        <f t="shared" si="1363"/>
        <v/>
      </c>
      <c r="AU848" s="85" t="str">
        <f>IF(AR848&lt;Tablas!$G$19, 0, IF(AND(AR848&gt;=Tablas!$G$19, AR848&lt;Tablas!$G$20), 1,  IF(AND(AR848&gt;=Tablas!$G$20, AR848&lt;Tablas!$G$21), 2,  IF(AND(AR848&gt;=Tablas!$G$21, AR848&lt;=Tablas!$G$22), 3,  ""))))</f>
        <v/>
      </c>
      <c r="AV848" s="85" t="str">
        <f t="shared" si="1409"/>
        <v/>
      </c>
      <c r="AW848" s="101" t="str">
        <f t="shared" si="1410"/>
        <v/>
      </c>
      <c r="AX848" s="177"/>
      <c r="AY848" s="169"/>
      <c r="AZ848" s="158"/>
      <c r="BA848" s="169"/>
      <c r="BB848" s="182"/>
      <c r="BC848" s="182"/>
      <c r="BD848" s="185"/>
      <c r="BE848" s="185"/>
      <c r="BF848" s="158" t="str">
        <f t="shared" si="1480"/>
        <v/>
      </c>
      <c r="BG848" s="191"/>
    </row>
    <row r="849" spans="1:59" x14ac:dyDescent="0.25">
      <c r="A849" s="167"/>
      <c r="B849" s="167"/>
      <c r="C849" s="161"/>
      <c r="D849" s="160"/>
      <c r="E849" s="162"/>
      <c r="F849" s="164"/>
      <c r="G849" s="161"/>
      <c r="H849" s="161"/>
      <c r="I849" s="161"/>
      <c r="J849" s="161"/>
      <c r="K849" s="161"/>
      <c r="L849" s="166"/>
      <c r="M849" s="166"/>
      <c r="N849" s="166"/>
      <c r="O849" s="166"/>
      <c r="P849" s="166"/>
      <c r="Q849" s="166"/>
      <c r="R849" s="166"/>
      <c r="S849" s="167"/>
      <c r="T849" s="167"/>
      <c r="U849" s="167"/>
      <c r="V849" s="167"/>
      <c r="W849" s="167"/>
      <c r="X849" s="164"/>
      <c r="Y849" s="164"/>
      <c r="Z849" s="172"/>
      <c r="AA849" s="188"/>
      <c r="AB849" s="172"/>
      <c r="AC849" s="172"/>
      <c r="AD849" s="175"/>
      <c r="AE849" s="62" t="s">
        <v>115</v>
      </c>
      <c r="AF849" s="133"/>
      <c r="AG849" s="65"/>
      <c r="AH849" s="64"/>
      <c r="AI849" s="64"/>
      <c r="AJ849" s="64"/>
      <c r="AK849" s="64"/>
      <c r="AL849" s="64"/>
      <c r="AM849" s="80" t="str">
        <f>IFERROR((Tablas!$C$1*VLOOKUP(AH849, tipo_control, 2, 0)+Tablas!$E$1*VLOOKUP(AI849, nat_control, 2, 0)+Tablas!$G$1*VLOOKUP(AJ849, ev_control, 2, 0)+Tablas!$I$1*VLOOKUP(AK849, frec_control, 2, 0)+Tablas!$K$1*VLOOKUP(AL849, doc_control, 2, 0))*0.1*peso_dis, "")</f>
        <v/>
      </c>
      <c r="AN849" s="64"/>
      <c r="AO849" s="64"/>
      <c r="AP849" s="64"/>
      <c r="AQ849" s="80" t="str">
        <f>IFERROR((Tablas!$C$9*VLOOKUP(AN849, amb_control, 2, 0)+Tablas!$E$9*VLOOKUP(AO849, ejec_control, 2, 0)+Tablas!$G$9*VLOOKUP(AP849, cub_control, 2, 0))*0.1*peso_ejec, "")</f>
        <v/>
      </c>
      <c r="AR849" s="91" t="str">
        <f t="shared" si="1408"/>
        <v/>
      </c>
      <c r="AS849" s="85" t="str">
        <f t="shared" si="1362"/>
        <v/>
      </c>
      <c r="AT849" s="85" t="str">
        <f t="shared" si="1363"/>
        <v/>
      </c>
      <c r="AU849" s="85" t="str">
        <f>IF(AR849&lt;Tablas!$G$19, 0, IF(AND(AR849&gt;=Tablas!$G$19, AR849&lt;Tablas!$G$20), 1,  IF(AND(AR849&gt;=Tablas!$G$20, AR849&lt;Tablas!$G$21), 2,  IF(AND(AR849&gt;=Tablas!$G$21, AR849&lt;=Tablas!$G$22), 3,  ""))))</f>
        <v/>
      </c>
      <c r="AV849" s="85" t="str">
        <f t="shared" si="1409"/>
        <v/>
      </c>
      <c r="AW849" s="101" t="str">
        <f t="shared" si="1410"/>
        <v/>
      </c>
      <c r="AX849" s="177"/>
      <c r="AY849" s="169"/>
      <c r="AZ849" s="158"/>
      <c r="BA849" s="169"/>
      <c r="BB849" s="182"/>
      <c r="BC849" s="182"/>
      <c r="BD849" s="185"/>
      <c r="BE849" s="185"/>
      <c r="BF849" s="158" t="str">
        <f t="shared" si="1480"/>
        <v/>
      </c>
      <c r="BG849" s="191"/>
    </row>
    <row r="850" spans="1:59" x14ac:dyDescent="0.25">
      <c r="A850" s="167"/>
      <c r="B850" s="167"/>
      <c r="C850" s="161"/>
      <c r="D850" s="160"/>
      <c r="E850" s="162"/>
      <c r="F850" s="164"/>
      <c r="G850" s="161"/>
      <c r="H850" s="161"/>
      <c r="I850" s="161"/>
      <c r="J850" s="161"/>
      <c r="K850" s="161"/>
      <c r="L850" s="166"/>
      <c r="M850" s="166"/>
      <c r="N850" s="166"/>
      <c r="O850" s="166"/>
      <c r="P850" s="166"/>
      <c r="Q850" s="166"/>
      <c r="R850" s="166"/>
      <c r="S850" s="167"/>
      <c r="T850" s="167"/>
      <c r="U850" s="167"/>
      <c r="V850" s="167"/>
      <c r="W850" s="167"/>
      <c r="X850" s="164"/>
      <c r="Y850" s="164"/>
      <c r="Z850" s="172"/>
      <c r="AA850" s="188"/>
      <c r="AB850" s="172"/>
      <c r="AC850" s="172"/>
      <c r="AD850" s="175"/>
      <c r="AE850" s="62" t="s">
        <v>153</v>
      </c>
      <c r="AF850" s="133"/>
      <c r="AG850" s="65"/>
      <c r="AH850" s="64"/>
      <c r="AI850" s="64"/>
      <c r="AJ850" s="64"/>
      <c r="AK850" s="64"/>
      <c r="AL850" s="64"/>
      <c r="AM850" s="80" t="str">
        <f>IFERROR((Tablas!$C$1*VLOOKUP(AH850, tipo_control, 2, 0)+Tablas!$E$1*VLOOKUP(AI850, nat_control, 2, 0)+Tablas!$G$1*VLOOKUP(AJ850, ev_control, 2, 0)+Tablas!$I$1*VLOOKUP(AK850, frec_control, 2, 0)+Tablas!$K$1*VLOOKUP(AL850, doc_control, 2, 0))*0.1*peso_dis, "")</f>
        <v/>
      </c>
      <c r="AN850" s="64"/>
      <c r="AO850" s="64"/>
      <c r="AP850" s="64"/>
      <c r="AQ850" s="80" t="str">
        <f>IFERROR((Tablas!$C$9*VLOOKUP(AN850, amb_control, 2, 0)+Tablas!$E$9*VLOOKUP(AO850, ejec_control, 2, 0)+Tablas!$G$9*VLOOKUP(AP850, cub_control, 2, 0))*0.1*peso_ejec, "")</f>
        <v/>
      </c>
      <c r="AR850" s="91" t="str">
        <f t="shared" si="1408"/>
        <v/>
      </c>
      <c r="AS850" s="85" t="str">
        <f t="shared" ref="AS850:AS913" si="1481">IFERROR(VLOOKUP(AH850, tabla03, 12, 0), "")</f>
        <v/>
      </c>
      <c r="AT850" s="85" t="str">
        <f t="shared" ref="AT850:AT913" si="1482">IFERROR(VLOOKUP(AH850, tabla03, 13, 0), "")</f>
        <v/>
      </c>
      <c r="AU850" s="85" t="str">
        <f>IF(AR850&lt;Tablas!$G$19, 0, IF(AND(AR850&gt;=Tablas!$G$19, AR850&lt;Tablas!$G$20), 1,  IF(AND(AR850&gt;=Tablas!$G$20, AR850&lt;Tablas!$G$21), 2,  IF(AND(AR850&gt;=Tablas!$G$21, AR850&lt;=Tablas!$G$22), 3,  ""))))</f>
        <v/>
      </c>
      <c r="AV850" s="85" t="str">
        <f t="shared" si="1409"/>
        <v/>
      </c>
      <c r="AW850" s="101" t="str">
        <f t="shared" si="1410"/>
        <v/>
      </c>
      <c r="AX850" s="177"/>
      <c r="AY850" s="169"/>
      <c r="AZ850" s="158"/>
      <c r="BA850" s="169"/>
      <c r="BB850" s="182"/>
      <c r="BC850" s="182"/>
      <c r="BD850" s="185"/>
      <c r="BE850" s="185"/>
      <c r="BF850" s="158"/>
      <c r="BG850" s="191"/>
    </row>
    <row r="851" spans="1:59" ht="15.75" thickBot="1" x14ac:dyDescent="0.3">
      <c r="A851" s="167"/>
      <c r="B851" s="167"/>
      <c r="C851" s="161"/>
      <c r="D851" s="160"/>
      <c r="E851" s="162"/>
      <c r="F851" s="165"/>
      <c r="G851" s="161"/>
      <c r="H851" s="161"/>
      <c r="I851" s="161"/>
      <c r="J851" s="161"/>
      <c r="K851" s="161"/>
      <c r="L851" s="166"/>
      <c r="M851" s="166"/>
      <c r="N851" s="166"/>
      <c r="O851" s="166"/>
      <c r="P851" s="166"/>
      <c r="Q851" s="166"/>
      <c r="R851" s="166"/>
      <c r="S851" s="149"/>
      <c r="T851" s="149"/>
      <c r="U851" s="149"/>
      <c r="V851" s="149"/>
      <c r="W851" s="149"/>
      <c r="X851" s="165"/>
      <c r="Y851" s="165"/>
      <c r="Z851" s="172"/>
      <c r="AA851" s="188"/>
      <c r="AB851" s="172"/>
      <c r="AC851" s="172"/>
      <c r="AD851" s="175"/>
      <c r="AE851" s="66" t="s">
        <v>154</v>
      </c>
      <c r="AF851" s="134"/>
      <c r="AG851" s="67"/>
      <c r="AH851" s="69"/>
      <c r="AI851" s="69"/>
      <c r="AJ851" s="69"/>
      <c r="AK851" s="69"/>
      <c r="AL851" s="69"/>
      <c r="AM851" s="81" t="str">
        <f>IFERROR((Tablas!$C$1*VLOOKUP(AH851, tipo_control, 2, 0)+Tablas!$E$1*VLOOKUP(AI851, nat_control, 2, 0)+Tablas!$G$1*VLOOKUP(AJ851, ev_control, 2, 0)+Tablas!$I$1*VLOOKUP(AK851, frec_control, 2, 0)+Tablas!$K$1*VLOOKUP(AL851, doc_control, 2, 0))*0.1*peso_dis, "")</f>
        <v/>
      </c>
      <c r="AN851" s="69"/>
      <c r="AO851" s="69"/>
      <c r="AP851" s="69"/>
      <c r="AQ851" s="81" t="str">
        <f>IFERROR((Tablas!$C$9*VLOOKUP(AN851, amb_control, 2, 0)+Tablas!$E$9*VLOOKUP(AO851, ejec_control, 2, 0)+Tablas!$G$9*VLOOKUP(AP851, cub_control, 2, 0))*0.1*peso_ejec, "")</f>
        <v/>
      </c>
      <c r="AR851" s="93" t="str">
        <f t="shared" si="1408"/>
        <v/>
      </c>
      <c r="AS851" s="94" t="str">
        <f t="shared" si="1481"/>
        <v/>
      </c>
      <c r="AT851" s="94" t="str">
        <f t="shared" si="1482"/>
        <v/>
      </c>
      <c r="AU851" s="94" t="str">
        <f>IF(AR851&lt;Tablas!$G$19, 0, IF(AND(AR851&gt;=Tablas!$G$19, AR851&lt;Tablas!$G$20), 1,  IF(AND(AR851&gt;=Tablas!$G$20, AR851&lt;Tablas!$G$21), 2,  IF(AND(AR851&gt;=Tablas!$G$21, AR851&lt;=Tablas!$G$22), 3,  ""))))</f>
        <v/>
      </c>
      <c r="AV851" s="94" t="str">
        <f t="shared" si="1409"/>
        <v/>
      </c>
      <c r="AW851" s="102" t="str">
        <f t="shared" si="1410"/>
        <v/>
      </c>
      <c r="AX851" s="157"/>
      <c r="AY851" s="170"/>
      <c r="AZ851" s="179"/>
      <c r="BA851" s="170"/>
      <c r="BB851" s="182"/>
      <c r="BC851" s="182"/>
      <c r="BD851" s="185"/>
      <c r="BE851" s="185"/>
      <c r="BF851" s="159"/>
      <c r="BG851" s="191"/>
    </row>
    <row r="852" spans="1:59" x14ac:dyDescent="0.25">
      <c r="A852" s="167"/>
      <c r="B852" s="167"/>
      <c r="C852" s="161" t="s">
        <v>183</v>
      </c>
      <c r="D852" s="160" t="s">
        <v>158</v>
      </c>
      <c r="E852" s="162"/>
      <c r="F852" s="163" t="str">
        <f t="shared" ref="F852:F912" si="1483">IFERROR(VLOOKUP(E852, tabla01, 3, 0), "")</f>
        <v/>
      </c>
      <c r="G852" s="149"/>
      <c r="H852" s="149"/>
      <c r="I852" s="149"/>
      <c r="J852" s="149"/>
      <c r="K852" s="149"/>
      <c r="L852" s="165" t="str">
        <f t="shared" ref="L852" si="1484">IFERROR(VLOOKUP(G852, tabla02, 2, 0), "")</f>
        <v/>
      </c>
      <c r="M852" s="165" t="str">
        <f t="shared" ref="M852" si="1485">IFERROR(VLOOKUP(H852, tabla02, 2, 0), "")</f>
        <v/>
      </c>
      <c r="N852" s="165" t="str">
        <f t="shared" ref="N852" si="1486">IFERROR(VLOOKUP(I852, tabla02, 2, 0), "")</f>
        <v/>
      </c>
      <c r="O852" s="165" t="str">
        <f t="shared" ref="O852" si="1487">IFERROR(VLOOKUP(J852, tabla02, 2, 0), "")</f>
        <v/>
      </c>
      <c r="P852" s="165" t="str">
        <f t="shared" ref="P852" si="1488">IFERROR(VLOOKUP(K852, tabla02, 2, 0), "")</f>
        <v/>
      </c>
      <c r="Q852" s="165" t="str">
        <f t="shared" ref="Q852" si="1489">IF(SUM(L852:O856)=0, "", MAX(L852:P852))</f>
        <v/>
      </c>
      <c r="R852" s="165" t="str">
        <f>IFERROR(VLOOKUP(Q852, tabla04, 3, 0), "")</f>
        <v/>
      </c>
      <c r="S852" s="148"/>
      <c r="T852" s="148"/>
      <c r="U852" s="148"/>
      <c r="V852" s="148"/>
      <c r="W852" s="148"/>
      <c r="X852" s="163" t="str">
        <f>IFERROR(VLOOKUP(CONCATENATE(F852, "-", Q852), cuadrante_sev, 3, 0), "")</f>
        <v/>
      </c>
      <c r="Y852" s="163" t="str">
        <f t="shared" ref="Y852" si="1490">IFERROR(IF(X852="Baja", 1, IF(X852="Moderada", 2, IF(X852="Alta", 3, IF(X852="Extrema", 4, "")))), "")</f>
        <v/>
      </c>
      <c r="Z852" s="172"/>
      <c r="AA852" s="188"/>
      <c r="AB852" s="172"/>
      <c r="AC852" s="172"/>
      <c r="AD852" s="175"/>
      <c r="AE852" s="70" t="s">
        <v>113</v>
      </c>
      <c r="AF852" s="135"/>
      <c r="AG852" s="74"/>
      <c r="AH852" s="72"/>
      <c r="AI852" s="72"/>
      <c r="AJ852" s="72"/>
      <c r="AK852" s="72"/>
      <c r="AL852" s="72"/>
      <c r="AM852" s="82" t="str">
        <f>IFERROR((Tablas!$C$1*VLOOKUP(AH852, tipo_control, 2, 0)+Tablas!$E$1*VLOOKUP(AI852, nat_control, 2, 0)+Tablas!$G$1*VLOOKUP(AJ852, ev_control, 2, 0)+Tablas!$I$1*VLOOKUP(AK852, frec_control, 2, 0)+Tablas!$K$1*VLOOKUP(AL852, doc_control, 2, 0))*0.1*peso_dis, "")</f>
        <v/>
      </c>
      <c r="AN852" s="72"/>
      <c r="AO852" s="72"/>
      <c r="AP852" s="72"/>
      <c r="AQ852" s="82" t="str">
        <f>IFERROR((Tablas!$C$9*VLOOKUP(AN852, amb_control, 2, 0)+Tablas!$E$9*VLOOKUP(AO852, ejec_control, 2, 0)+Tablas!$G$9*VLOOKUP(AP852, cub_control, 2, 0))*0.1*peso_ejec, "")</f>
        <v/>
      </c>
      <c r="AR852" s="96" t="str">
        <f t="shared" si="1408"/>
        <v/>
      </c>
      <c r="AS852" s="97" t="str">
        <f t="shared" si="1481"/>
        <v/>
      </c>
      <c r="AT852" s="87" t="str">
        <f t="shared" si="1482"/>
        <v/>
      </c>
      <c r="AU852" s="97" t="str">
        <f>IF(AR852&lt;Tablas!$G$19, 0, IF(AND(AR852&gt;=Tablas!$G$19, AR852&lt;Tablas!$G$20), 1,  IF(AND(AR852&gt;=Tablas!$G$20, AR852&lt;Tablas!$G$21), 2,  IF(AND(AR852&gt;=Tablas!$G$21, AR852&lt;=Tablas!$G$22), 3,  ""))))</f>
        <v/>
      </c>
      <c r="AV852" s="97" t="str">
        <f t="shared" si="1409"/>
        <v/>
      </c>
      <c r="AW852" s="103" t="str">
        <f t="shared" si="1410"/>
        <v/>
      </c>
      <c r="AX852" s="176" t="str">
        <f t="shared" ref="AX852" si="1491">IFERROR(VLOOKUP(AY852, tabla04, 2, 0), "")</f>
        <v/>
      </c>
      <c r="AY852" s="168" t="str">
        <f>IF(F852="", "", IF((F852-MAX(AV852:AV856))&lt;=0, 1, F852-MAX(AV852:AV856)))</f>
        <v/>
      </c>
      <c r="AZ852" s="178" t="str">
        <f t="shared" ref="AZ852" si="1492">IFERROR(VLOOKUP(BA852, tabla04, 3, 0), "")</f>
        <v/>
      </c>
      <c r="BA852" s="168" t="str">
        <f>IF(Q852="", "", IF((Q852-MAX(AW852:AW856))&lt;=0, 1, Q852-MAX(AW852:AW856)))</f>
        <v/>
      </c>
      <c r="BB852" s="182"/>
      <c r="BC852" s="182"/>
      <c r="BD852" s="185"/>
      <c r="BE852" s="185"/>
      <c r="BF852" s="158" t="str">
        <f t="shared" ref="BF852:BF854" si="1493">IFERROR(VLOOKUP(CONCATENATE(AY852, "-", BA852), cuadrante_sev, 3, 0), "")</f>
        <v/>
      </c>
      <c r="BG852" s="191"/>
    </row>
    <row r="853" spans="1:59" x14ac:dyDescent="0.25">
      <c r="A853" s="167"/>
      <c r="B853" s="167"/>
      <c r="C853" s="161"/>
      <c r="D853" s="160"/>
      <c r="E853" s="162"/>
      <c r="F853" s="164"/>
      <c r="G853" s="161"/>
      <c r="H853" s="161"/>
      <c r="I853" s="161"/>
      <c r="J853" s="161"/>
      <c r="K853" s="161"/>
      <c r="L853" s="166"/>
      <c r="M853" s="166"/>
      <c r="N853" s="166"/>
      <c r="O853" s="166"/>
      <c r="P853" s="166"/>
      <c r="Q853" s="166"/>
      <c r="R853" s="166"/>
      <c r="S853" s="167"/>
      <c r="T853" s="167"/>
      <c r="U853" s="167"/>
      <c r="V853" s="167"/>
      <c r="W853" s="167"/>
      <c r="X853" s="164"/>
      <c r="Y853" s="164"/>
      <c r="Z853" s="172"/>
      <c r="AA853" s="188"/>
      <c r="AB853" s="172"/>
      <c r="AC853" s="172"/>
      <c r="AD853" s="175"/>
      <c r="AE853" s="62" t="s">
        <v>114</v>
      </c>
      <c r="AF853" s="133"/>
      <c r="AG853" s="65"/>
      <c r="AH853" s="64"/>
      <c r="AI853" s="64"/>
      <c r="AJ853" s="64"/>
      <c r="AK853" s="64"/>
      <c r="AL853" s="64"/>
      <c r="AM853" s="80" t="str">
        <f>IFERROR((Tablas!$C$1*VLOOKUP(AH853, tipo_control, 2, 0)+Tablas!$E$1*VLOOKUP(AI853, nat_control, 2, 0)+Tablas!$G$1*VLOOKUP(AJ853, ev_control, 2, 0)+Tablas!$I$1*VLOOKUP(AK853, frec_control, 2, 0)+Tablas!$K$1*VLOOKUP(AL853, doc_control, 2, 0))*0.1*peso_dis, "")</f>
        <v/>
      </c>
      <c r="AN853" s="64"/>
      <c r="AO853" s="64"/>
      <c r="AP853" s="64"/>
      <c r="AQ853" s="80" t="str">
        <f>IFERROR((Tablas!$C$9*VLOOKUP(AN853, amb_control, 2, 0)+Tablas!$E$9*VLOOKUP(AO853, ejec_control, 2, 0)+Tablas!$G$9*VLOOKUP(AP853, cub_control, 2, 0))*0.1*peso_ejec, "")</f>
        <v/>
      </c>
      <c r="AR853" s="91" t="str">
        <f t="shared" si="1408"/>
        <v/>
      </c>
      <c r="AS853" s="85" t="str">
        <f t="shared" si="1481"/>
        <v/>
      </c>
      <c r="AT853" s="85" t="str">
        <f t="shared" si="1482"/>
        <v/>
      </c>
      <c r="AU853" s="85" t="str">
        <f>IF(AR853&lt;Tablas!$G$19, 0, IF(AND(AR853&gt;=Tablas!$G$19, AR853&lt;Tablas!$G$20), 1,  IF(AND(AR853&gt;=Tablas!$G$20, AR853&lt;Tablas!$G$21), 2,  IF(AND(AR853&gt;=Tablas!$G$21, AR853&lt;=Tablas!$G$22), 3,  ""))))</f>
        <v/>
      </c>
      <c r="AV853" s="85" t="str">
        <f t="shared" si="1409"/>
        <v/>
      </c>
      <c r="AW853" s="101" t="str">
        <f t="shared" si="1410"/>
        <v/>
      </c>
      <c r="AX853" s="177"/>
      <c r="AY853" s="169"/>
      <c r="AZ853" s="158"/>
      <c r="BA853" s="169"/>
      <c r="BB853" s="182"/>
      <c r="BC853" s="182"/>
      <c r="BD853" s="185"/>
      <c r="BE853" s="185"/>
      <c r="BF853" s="158" t="str">
        <f t="shared" si="1493"/>
        <v/>
      </c>
      <c r="BG853" s="191"/>
    </row>
    <row r="854" spans="1:59" x14ac:dyDescent="0.25">
      <c r="A854" s="167"/>
      <c r="B854" s="167"/>
      <c r="C854" s="161"/>
      <c r="D854" s="160"/>
      <c r="E854" s="162"/>
      <c r="F854" s="164"/>
      <c r="G854" s="161"/>
      <c r="H854" s="161"/>
      <c r="I854" s="161"/>
      <c r="J854" s="161"/>
      <c r="K854" s="161"/>
      <c r="L854" s="166"/>
      <c r="M854" s="166"/>
      <c r="N854" s="166"/>
      <c r="O854" s="166"/>
      <c r="P854" s="166"/>
      <c r="Q854" s="166"/>
      <c r="R854" s="166"/>
      <c r="S854" s="167"/>
      <c r="T854" s="167"/>
      <c r="U854" s="167"/>
      <c r="V854" s="167"/>
      <c r="W854" s="167"/>
      <c r="X854" s="164"/>
      <c r="Y854" s="164"/>
      <c r="Z854" s="172"/>
      <c r="AA854" s="188"/>
      <c r="AB854" s="172"/>
      <c r="AC854" s="172"/>
      <c r="AD854" s="175"/>
      <c r="AE854" s="62" t="s">
        <v>115</v>
      </c>
      <c r="AF854" s="133"/>
      <c r="AG854" s="65"/>
      <c r="AH854" s="64"/>
      <c r="AI854" s="64"/>
      <c r="AJ854" s="64"/>
      <c r="AK854" s="64"/>
      <c r="AL854" s="64"/>
      <c r="AM854" s="80" t="str">
        <f>IFERROR((Tablas!$C$1*VLOOKUP(AH854, tipo_control, 2, 0)+Tablas!$E$1*VLOOKUP(AI854, nat_control, 2, 0)+Tablas!$G$1*VLOOKUP(AJ854, ev_control, 2, 0)+Tablas!$I$1*VLOOKUP(AK854, frec_control, 2, 0)+Tablas!$K$1*VLOOKUP(AL854, doc_control, 2, 0))*0.1*peso_dis, "")</f>
        <v/>
      </c>
      <c r="AN854" s="64"/>
      <c r="AO854" s="64"/>
      <c r="AP854" s="64"/>
      <c r="AQ854" s="80" t="str">
        <f>IFERROR((Tablas!$C$9*VLOOKUP(AN854, amb_control, 2, 0)+Tablas!$E$9*VLOOKUP(AO854, ejec_control, 2, 0)+Tablas!$G$9*VLOOKUP(AP854, cub_control, 2, 0))*0.1*peso_ejec, "")</f>
        <v/>
      </c>
      <c r="AR854" s="91" t="str">
        <f t="shared" si="1408"/>
        <v/>
      </c>
      <c r="AS854" s="85" t="str">
        <f t="shared" si="1481"/>
        <v/>
      </c>
      <c r="AT854" s="85" t="str">
        <f t="shared" si="1482"/>
        <v/>
      </c>
      <c r="AU854" s="85" t="str">
        <f>IF(AR854&lt;Tablas!$G$19, 0, IF(AND(AR854&gt;=Tablas!$G$19, AR854&lt;Tablas!$G$20), 1,  IF(AND(AR854&gt;=Tablas!$G$20, AR854&lt;Tablas!$G$21), 2,  IF(AND(AR854&gt;=Tablas!$G$21, AR854&lt;=Tablas!$G$22), 3,  ""))))</f>
        <v/>
      </c>
      <c r="AV854" s="85" t="str">
        <f t="shared" si="1409"/>
        <v/>
      </c>
      <c r="AW854" s="101" t="str">
        <f t="shared" si="1410"/>
        <v/>
      </c>
      <c r="AX854" s="177"/>
      <c r="AY854" s="169"/>
      <c r="AZ854" s="158"/>
      <c r="BA854" s="169"/>
      <c r="BB854" s="182"/>
      <c r="BC854" s="182"/>
      <c r="BD854" s="185"/>
      <c r="BE854" s="185"/>
      <c r="BF854" s="158" t="str">
        <f t="shared" si="1493"/>
        <v/>
      </c>
      <c r="BG854" s="191"/>
    </row>
    <row r="855" spans="1:59" x14ac:dyDescent="0.25">
      <c r="A855" s="167"/>
      <c r="B855" s="167"/>
      <c r="C855" s="161"/>
      <c r="D855" s="160"/>
      <c r="E855" s="162"/>
      <c r="F855" s="164"/>
      <c r="G855" s="161"/>
      <c r="H855" s="161"/>
      <c r="I855" s="161"/>
      <c r="J855" s="161"/>
      <c r="K855" s="161"/>
      <c r="L855" s="166"/>
      <c r="M855" s="166"/>
      <c r="N855" s="166"/>
      <c r="O855" s="166"/>
      <c r="P855" s="166"/>
      <c r="Q855" s="166"/>
      <c r="R855" s="166"/>
      <c r="S855" s="167"/>
      <c r="T855" s="167"/>
      <c r="U855" s="167"/>
      <c r="V855" s="167"/>
      <c r="W855" s="167"/>
      <c r="X855" s="164"/>
      <c r="Y855" s="164"/>
      <c r="Z855" s="172"/>
      <c r="AA855" s="188"/>
      <c r="AB855" s="172"/>
      <c r="AC855" s="172"/>
      <c r="AD855" s="175"/>
      <c r="AE855" s="62" t="s">
        <v>153</v>
      </c>
      <c r="AF855" s="133"/>
      <c r="AG855" s="65"/>
      <c r="AH855" s="64"/>
      <c r="AI855" s="64"/>
      <c r="AJ855" s="64"/>
      <c r="AK855" s="64"/>
      <c r="AL855" s="64"/>
      <c r="AM855" s="80" t="str">
        <f>IFERROR((Tablas!$C$1*VLOOKUP(AH855, tipo_control, 2, 0)+Tablas!$E$1*VLOOKUP(AI855, nat_control, 2, 0)+Tablas!$G$1*VLOOKUP(AJ855, ev_control, 2, 0)+Tablas!$I$1*VLOOKUP(AK855, frec_control, 2, 0)+Tablas!$K$1*VLOOKUP(AL855, doc_control, 2, 0))*0.1*peso_dis, "")</f>
        <v/>
      </c>
      <c r="AN855" s="64"/>
      <c r="AO855" s="64"/>
      <c r="AP855" s="64"/>
      <c r="AQ855" s="80" t="str">
        <f>IFERROR((Tablas!$C$9*VLOOKUP(AN855, amb_control, 2, 0)+Tablas!$E$9*VLOOKUP(AO855, ejec_control, 2, 0)+Tablas!$G$9*VLOOKUP(AP855, cub_control, 2, 0))*0.1*peso_ejec, "")</f>
        <v/>
      </c>
      <c r="AR855" s="91" t="str">
        <f t="shared" si="1408"/>
        <v/>
      </c>
      <c r="AS855" s="85" t="str">
        <f t="shared" si="1481"/>
        <v/>
      </c>
      <c r="AT855" s="85" t="str">
        <f t="shared" si="1482"/>
        <v/>
      </c>
      <c r="AU855" s="85" t="str">
        <f>IF(AR855&lt;Tablas!$G$19, 0, IF(AND(AR855&gt;=Tablas!$G$19, AR855&lt;Tablas!$G$20), 1,  IF(AND(AR855&gt;=Tablas!$G$20, AR855&lt;Tablas!$G$21), 2,  IF(AND(AR855&gt;=Tablas!$G$21, AR855&lt;=Tablas!$G$22), 3,  ""))))</f>
        <v/>
      </c>
      <c r="AV855" s="85" t="str">
        <f t="shared" si="1409"/>
        <v/>
      </c>
      <c r="AW855" s="101" t="str">
        <f t="shared" si="1410"/>
        <v/>
      </c>
      <c r="AX855" s="177"/>
      <c r="AY855" s="169"/>
      <c r="AZ855" s="158"/>
      <c r="BA855" s="169"/>
      <c r="BB855" s="182"/>
      <c r="BC855" s="182"/>
      <c r="BD855" s="185"/>
      <c r="BE855" s="185"/>
      <c r="BF855" s="158"/>
      <c r="BG855" s="191"/>
    </row>
    <row r="856" spans="1:59" ht="15.75" thickBot="1" x14ac:dyDescent="0.3">
      <c r="A856" s="149"/>
      <c r="B856" s="149"/>
      <c r="C856" s="161"/>
      <c r="D856" s="160"/>
      <c r="E856" s="162"/>
      <c r="F856" s="165"/>
      <c r="G856" s="161"/>
      <c r="H856" s="161"/>
      <c r="I856" s="161"/>
      <c r="J856" s="161"/>
      <c r="K856" s="161"/>
      <c r="L856" s="166"/>
      <c r="M856" s="166"/>
      <c r="N856" s="166"/>
      <c r="O856" s="166"/>
      <c r="P856" s="166"/>
      <c r="Q856" s="166"/>
      <c r="R856" s="166"/>
      <c r="S856" s="149"/>
      <c r="T856" s="149"/>
      <c r="U856" s="149"/>
      <c r="V856" s="149"/>
      <c r="W856" s="149"/>
      <c r="X856" s="165"/>
      <c r="Y856" s="165"/>
      <c r="Z856" s="173"/>
      <c r="AA856" s="189"/>
      <c r="AB856" s="173"/>
      <c r="AC856" s="173"/>
      <c r="AD856" s="175"/>
      <c r="AE856" s="75" t="s">
        <v>154</v>
      </c>
      <c r="AF856" s="136"/>
      <c r="AG856" s="68"/>
      <c r="AH856" s="76"/>
      <c r="AI856" s="76"/>
      <c r="AJ856" s="76"/>
      <c r="AK856" s="76"/>
      <c r="AL856" s="76"/>
      <c r="AM856" s="83" t="str">
        <f>IFERROR((Tablas!$C$1*VLOOKUP(AH856, tipo_control, 2, 0)+Tablas!$E$1*VLOOKUP(AI856, nat_control, 2, 0)+Tablas!$G$1*VLOOKUP(AJ856, ev_control, 2, 0)+Tablas!$I$1*VLOOKUP(AK856, frec_control, 2, 0)+Tablas!$K$1*VLOOKUP(AL856, doc_control, 2, 0))*0.1*peso_dis, "")</f>
        <v/>
      </c>
      <c r="AN856" s="76"/>
      <c r="AO856" s="76"/>
      <c r="AP856" s="76"/>
      <c r="AQ856" s="83" t="str">
        <f>IFERROR((Tablas!$C$9*VLOOKUP(AN856, amb_control, 2, 0)+Tablas!$E$9*VLOOKUP(AO856, ejec_control, 2, 0)+Tablas!$G$9*VLOOKUP(AP856, cub_control, 2, 0))*0.1*peso_ejec, "")</f>
        <v/>
      </c>
      <c r="AR856" s="99" t="str">
        <f t="shared" si="1408"/>
        <v/>
      </c>
      <c r="AS856" s="86" t="str">
        <f t="shared" si="1481"/>
        <v/>
      </c>
      <c r="AT856" s="86" t="str">
        <f t="shared" si="1482"/>
        <v/>
      </c>
      <c r="AU856" s="86" t="str">
        <f>IF(AR856&lt;Tablas!$G$19, 0, IF(AND(AR856&gt;=Tablas!$G$19, AR856&lt;Tablas!$G$20), 1,  IF(AND(AR856&gt;=Tablas!$G$20, AR856&lt;Tablas!$G$21), 2,  IF(AND(AR856&gt;=Tablas!$G$21, AR856&lt;=Tablas!$G$22), 3,  ""))))</f>
        <v/>
      </c>
      <c r="AV856" s="86" t="str">
        <f t="shared" si="1409"/>
        <v/>
      </c>
      <c r="AW856" s="84" t="str">
        <f t="shared" si="1410"/>
        <v/>
      </c>
      <c r="AX856" s="157"/>
      <c r="AY856" s="170"/>
      <c r="AZ856" s="179"/>
      <c r="BA856" s="170"/>
      <c r="BB856" s="183"/>
      <c r="BC856" s="183"/>
      <c r="BD856" s="186"/>
      <c r="BE856" s="186"/>
      <c r="BF856" s="159"/>
      <c r="BG856" s="191"/>
    </row>
    <row r="857" spans="1:59" x14ac:dyDescent="0.25">
      <c r="A857" s="148" t="s">
        <v>209</v>
      </c>
      <c r="B857" s="148" t="s">
        <v>210</v>
      </c>
      <c r="C857" s="161" t="s">
        <v>14</v>
      </c>
      <c r="D857" s="160" t="s">
        <v>158</v>
      </c>
      <c r="E857" s="193"/>
      <c r="F857" s="163" t="str">
        <f t="shared" si="1483"/>
        <v/>
      </c>
      <c r="G857" s="149"/>
      <c r="H857" s="149"/>
      <c r="I857" s="149"/>
      <c r="J857" s="149"/>
      <c r="K857" s="149"/>
      <c r="L857" s="165" t="str">
        <f>IFERROR(VLOOKUP(G857, tabla02, 2, 0), "")</f>
        <v/>
      </c>
      <c r="M857" s="165" t="str">
        <f>IFERROR(VLOOKUP(H857, tabla02, 2, 0), "")</f>
        <v/>
      </c>
      <c r="N857" s="165" t="str">
        <f>IFERROR(VLOOKUP(I857, tabla02, 2, 0), "")</f>
        <v/>
      </c>
      <c r="O857" s="165" t="str">
        <f>IFERROR(VLOOKUP(J857, tabla02, 2, 0), "")</f>
        <v/>
      </c>
      <c r="P857" s="165" t="str">
        <f>IFERROR(VLOOKUP(K857, tabla02, 2, 0), "")</f>
        <v/>
      </c>
      <c r="Q857" s="165" t="str">
        <f t="shared" ref="Q857" si="1494">IF(SUM(L857:O861)=0, "", MAX(L857:P857))</f>
        <v/>
      </c>
      <c r="R857" s="165" t="str">
        <f>IFERROR(VLOOKUP(Q857, tabla04, 3, 0), "")</f>
        <v/>
      </c>
      <c r="S857" s="148"/>
      <c r="T857" s="148"/>
      <c r="U857" s="148"/>
      <c r="V857" s="148"/>
      <c r="W857" s="148"/>
      <c r="X857" s="164" t="str">
        <f>IFERROR(VLOOKUP(CONCATENATE(F857, "-", Q857), cuadrante_sev, 3, 0), "")</f>
        <v/>
      </c>
      <c r="Y857" s="163" t="str">
        <f>IFERROR(IF(X857="Baja", 1, IF(X857="Moderada", 2, IF(X857="Alta", 3, IF(X857="Extrema", 4, "")))), "")</f>
        <v/>
      </c>
      <c r="Z857" s="171">
        <f t="shared" ref="Z857" si="1495">MAX(F857:F906)</f>
        <v>0</v>
      </c>
      <c r="AA857" s="187">
        <f t="shared" ref="AA857" si="1496">MAX(Q857:Q906)</f>
        <v>0</v>
      </c>
      <c r="AB857" s="171" t="str">
        <f>IFERROR(VLOOKUP(Z857, tabla04, 2, 0), "")</f>
        <v/>
      </c>
      <c r="AC857" s="171" t="str">
        <f>IFERROR(VLOOKUP(AA857, tabla04, 3, 0), "")</f>
        <v/>
      </c>
      <c r="AD857" s="174" t="str">
        <f>IFERROR(VLOOKUP(CONCATENATE(Z857, "-", AA857), cuadrante_sev, 3, 0), "")</f>
        <v/>
      </c>
      <c r="AE857" s="59" t="s">
        <v>113</v>
      </c>
      <c r="AF857" s="132"/>
      <c r="AG857" s="77"/>
      <c r="AH857" s="61"/>
      <c r="AI857" s="61"/>
      <c r="AJ857" s="61"/>
      <c r="AK857" s="61"/>
      <c r="AL857" s="61"/>
      <c r="AM857" s="79" t="str">
        <f>IFERROR((Tablas!$C$1*VLOOKUP(AH857, tipo_control, 2, 0)+Tablas!$E$1*VLOOKUP(AI857, nat_control, 2, 0)+Tablas!$G$1*VLOOKUP(AJ857, ev_control, 2, 0)+Tablas!$I$1*VLOOKUP(AK857, frec_control, 2, 0)+Tablas!$K$1*VLOOKUP(AL857, doc_control, 2, 0))*0.1*peso_dis, "")</f>
        <v/>
      </c>
      <c r="AN857" s="61"/>
      <c r="AO857" s="61"/>
      <c r="AP857" s="61"/>
      <c r="AQ857" s="79" t="str">
        <f>IFERROR((Tablas!$C$9*VLOOKUP(AN857, amb_control, 2, 0)+Tablas!$E$9*VLOOKUP(AO857, ejec_control, 2, 0)+Tablas!$G$9*VLOOKUP(AP857, cub_control, 2, 0))*0.1*peso_ejec, "")</f>
        <v/>
      </c>
      <c r="AR857" s="89" t="str">
        <f>IFERROR(AM857+AQ857, "")</f>
        <v/>
      </c>
      <c r="AS857" s="87" t="str">
        <f t="shared" si="1481"/>
        <v/>
      </c>
      <c r="AT857" s="87" t="str">
        <f t="shared" si="1482"/>
        <v/>
      </c>
      <c r="AU857" s="87" t="str">
        <f>IF(AR857&lt;Tablas!$G$19, 0, IF(AND(AR857&gt;=Tablas!$G$19, AR857&lt;Tablas!$G$20), 1,  IF(AND(AR857&gt;=Tablas!$G$20, AR857&lt;Tablas!$G$21), 2,  IF(AND(AR857&gt;=Tablas!$G$21, AR857&lt;=Tablas!$G$22), 3,  ""))))</f>
        <v/>
      </c>
      <c r="AV857" s="87" t="str">
        <f>IF(AS857="Sí",AU857,"")</f>
        <v/>
      </c>
      <c r="AW857" s="100" t="str">
        <f>IF(AT857="Sí",AU857,"")</f>
        <v/>
      </c>
      <c r="AX857" s="176" t="str">
        <f>IFERROR(VLOOKUP(AY857, tabla04, 2, 0), "")</f>
        <v/>
      </c>
      <c r="AY857" s="168" t="str">
        <f>IF(F857="", "", IF((F857-MAX(AV857:AV861))&lt;=0, 1, F857-MAX(AV857:AV861)))</f>
        <v/>
      </c>
      <c r="AZ857" s="178" t="str">
        <f>IFERROR(VLOOKUP(BA857, tabla04, 3, 0), "")</f>
        <v/>
      </c>
      <c r="BA857" s="168" t="str">
        <f>IF(Q857="", "", IF((Q857-MAX(AW857:AW861))&lt;=0, 1, Q857-MAX(AW857:AW861)))</f>
        <v/>
      </c>
      <c r="BB857" s="170">
        <f>IFERROR(MAX(AY857:AY906), "")</f>
        <v>0</v>
      </c>
      <c r="BC857" s="170">
        <f>IFERROR(MAX(BA857:BA906), "")</f>
        <v>0</v>
      </c>
      <c r="BD857" s="184" t="str">
        <f>IFERROR(VLOOKUP(BB857, tabla04, 2, 0), "")</f>
        <v/>
      </c>
      <c r="BE857" s="184" t="str">
        <f>IFERROR(VLOOKUP(BC857, tabla04, 3, 0), "")</f>
        <v/>
      </c>
      <c r="BF857" s="158" t="str">
        <f>IFERROR(VLOOKUP(CONCATENATE(AY857, "-", BA857), cuadrante_sev, 3, 0), "")</f>
        <v/>
      </c>
      <c r="BG857" s="190" t="str">
        <f>IFERROR(VLOOKUP(CONCATENATE(BB857, "-", BC857), cuadrante_sev, 3, 0), "")</f>
        <v/>
      </c>
    </row>
    <row r="858" spans="1:59" x14ac:dyDescent="0.25">
      <c r="A858" s="167"/>
      <c r="B858" s="167"/>
      <c r="C858" s="161"/>
      <c r="D858" s="160"/>
      <c r="E858" s="162"/>
      <c r="F858" s="164"/>
      <c r="G858" s="161"/>
      <c r="H858" s="161"/>
      <c r="I858" s="161"/>
      <c r="J858" s="161"/>
      <c r="K858" s="161"/>
      <c r="L858" s="166"/>
      <c r="M858" s="166"/>
      <c r="N858" s="166"/>
      <c r="O858" s="166"/>
      <c r="P858" s="166"/>
      <c r="Q858" s="166"/>
      <c r="R858" s="166"/>
      <c r="S858" s="167"/>
      <c r="T858" s="167"/>
      <c r="U858" s="167"/>
      <c r="V858" s="167"/>
      <c r="W858" s="167"/>
      <c r="X858" s="164"/>
      <c r="Y858" s="164"/>
      <c r="Z858" s="172"/>
      <c r="AA858" s="188"/>
      <c r="AB858" s="172"/>
      <c r="AC858" s="172"/>
      <c r="AD858" s="175"/>
      <c r="AE858" s="62" t="s">
        <v>114</v>
      </c>
      <c r="AF858" s="133"/>
      <c r="AG858" s="65"/>
      <c r="AH858" s="64"/>
      <c r="AI858" s="64"/>
      <c r="AJ858" s="64"/>
      <c r="AK858" s="64"/>
      <c r="AL858" s="64"/>
      <c r="AM858" s="80" t="str">
        <f>IFERROR((Tablas!$C$1*VLOOKUP(AH858, tipo_control, 2, 0)+Tablas!$E$1*VLOOKUP(AI858, nat_control, 2, 0)+Tablas!$G$1*VLOOKUP(AJ858, ev_control, 2, 0)+Tablas!$I$1*VLOOKUP(AK858, frec_control, 2, 0)+Tablas!$K$1*VLOOKUP(AL858, doc_control, 2, 0))*0.1*peso_dis, "")</f>
        <v/>
      </c>
      <c r="AN858" s="64"/>
      <c r="AO858" s="64"/>
      <c r="AP858" s="64"/>
      <c r="AQ858" s="80" t="str">
        <f>IFERROR((Tablas!$C$9*VLOOKUP(AN858, amb_control, 2, 0)+Tablas!$E$9*VLOOKUP(AO858, ejec_control, 2, 0)+Tablas!$G$9*VLOOKUP(AP858, cub_control, 2, 0))*0.1*peso_ejec, "")</f>
        <v/>
      </c>
      <c r="AR858" s="91" t="str">
        <f t="shared" ref="AR858:AR906" si="1497">IFERROR(AM858+AQ858, "")</f>
        <v/>
      </c>
      <c r="AS858" s="87" t="str">
        <f t="shared" si="1481"/>
        <v/>
      </c>
      <c r="AT858" s="85" t="str">
        <f t="shared" si="1482"/>
        <v/>
      </c>
      <c r="AU858" s="85" t="str">
        <f>IF(AR858&lt;Tablas!$G$19, 0, IF(AND(AR858&gt;=Tablas!$G$19, AR858&lt;Tablas!$G$20), 1,  IF(AND(AR858&gt;=Tablas!$G$20, AR858&lt;Tablas!$G$21), 2,  IF(AND(AR858&gt;=Tablas!$G$21, AR858&lt;=Tablas!$G$22), 3,  ""))))</f>
        <v/>
      </c>
      <c r="AV858" s="85" t="str">
        <f t="shared" ref="AV858:AV906" si="1498">IF(AS858="Sí",AU858,"")</f>
        <v/>
      </c>
      <c r="AW858" s="101" t="str">
        <f t="shared" ref="AW858:AW906" si="1499">IF(AT858="Sí",AU858,"")</f>
        <v/>
      </c>
      <c r="AX858" s="177"/>
      <c r="AY858" s="169"/>
      <c r="AZ858" s="158"/>
      <c r="BA858" s="169"/>
      <c r="BB858" s="182"/>
      <c r="BC858" s="182"/>
      <c r="BD858" s="185"/>
      <c r="BE858" s="185"/>
      <c r="BF858" s="158"/>
      <c r="BG858" s="191"/>
    </row>
    <row r="859" spans="1:59" x14ac:dyDescent="0.25">
      <c r="A859" s="167"/>
      <c r="B859" s="167"/>
      <c r="C859" s="161"/>
      <c r="D859" s="160"/>
      <c r="E859" s="162"/>
      <c r="F859" s="164"/>
      <c r="G859" s="161"/>
      <c r="H859" s="161"/>
      <c r="I859" s="161"/>
      <c r="J859" s="161"/>
      <c r="K859" s="161"/>
      <c r="L859" s="166"/>
      <c r="M859" s="166"/>
      <c r="N859" s="166"/>
      <c r="O859" s="166"/>
      <c r="P859" s="166"/>
      <c r="Q859" s="166"/>
      <c r="R859" s="166"/>
      <c r="S859" s="167"/>
      <c r="T859" s="167"/>
      <c r="U859" s="167"/>
      <c r="V859" s="167"/>
      <c r="W859" s="167"/>
      <c r="X859" s="164"/>
      <c r="Y859" s="164"/>
      <c r="Z859" s="172"/>
      <c r="AA859" s="188"/>
      <c r="AB859" s="172"/>
      <c r="AC859" s="172"/>
      <c r="AD859" s="175"/>
      <c r="AE859" s="62" t="s">
        <v>115</v>
      </c>
      <c r="AF859" s="133"/>
      <c r="AG859" s="65"/>
      <c r="AH859" s="64"/>
      <c r="AI859" s="64"/>
      <c r="AJ859" s="64"/>
      <c r="AK859" s="64"/>
      <c r="AL859" s="64"/>
      <c r="AM859" s="80" t="str">
        <f>IFERROR((Tablas!$C$1*VLOOKUP(AH859, tipo_control, 2, 0)+Tablas!$E$1*VLOOKUP(AI859, nat_control, 2, 0)+Tablas!$G$1*VLOOKUP(AJ859, ev_control, 2, 0)+Tablas!$I$1*VLOOKUP(AK859, frec_control, 2, 0)+Tablas!$K$1*VLOOKUP(AL859, doc_control, 2, 0))*0.1*peso_dis, "")</f>
        <v/>
      </c>
      <c r="AN859" s="64"/>
      <c r="AO859" s="64"/>
      <c r="AP859" s="64"/>
      <c r="AQ859" s="80" t="str">
        <f>IFERROR((Tablas!$C$9*VLOOKUP(AN859, amb_control, 2, 0)+Tablas!$E$9*VLOOKUP(AO859, ejec_control, 2, 0)+Tablas!$G$9*VLOOKUP(AP859, cub_control, 2, 0))*0.1*peso_ejec, "")</f>
        <v/>
      </c>
      <c r="AR859" s="91" t="str">
        <f t="shared" si="1497"/>
        <v/>
      </c>
      <c r="AS859" s="87" t="str">
        <f t="shared" si="1481"/>
        <v/>
      </c>
      <c r="AT859" s="85" t="str">
        <f t="shared" si="1482"/>
        <v/>
      </c>
      <c r="AU859" s="85" t="str">
        <f>IF(AR859&lt;Tablas!$G$19, 0, IF(AND(AR859&gt;=Tablas!$G$19, AR859&lt;Tablas!$G$20), 1,  IF(AND(AR859&gt;=Tablas!$G$20, AR859&lt;Tablas!$G$21), 2,  IF(AND(AR859&gt;=Tablas!$G$21, AR859&lt;=Tablas!$G$22), 3,  ""))))</f>
        <v/>
      </c>
      <c r="AV859" s="85" t="str">
        <f t="shared" si="1498"/>
        <v/>
      </c>
      <c r="AW859" s="101" t="str">
        <f t="shared" si="1499"/>
        <v/>
      </c>
      <c r="AX859" s="177"/>
      <c r="AY859" s="169"/>
      <c r="AZ859" s="158"/>
      <c r="BA859" s="169"/>
      <c r="BB859" s="182"/>
      <c r="BC859" s="182"/>
      <c r="BD859" s="185"/>
      <c r="BE859" s="185"/>
      <c r="BF859" s="158"/>
      <c r="BG859" s="191"/>
    </row>
    <row r="860" spans="1:59" x14ac:dyDescent="0.25">
      <c r="A860" s="167"/>
      <c r="B860" s="167"/>
      <c r="C860" s="161"/>
      <c r="D860" s="160"/>
      <c r="E860" s="162"/>
      <c r="F860" s="164"/>
      <c r="G860" s="161"/>
      <c r="H860" s="161"/>
      <c r="I860" s="161"/>
      <c r="J860" s="161"/>
      <c r="K860" s="161"/>
      <c r="L860" s="166"/>
      <c r="M860" s="166"/>
      <c r="N860" s="166"/>
      <c r="O860" s="166"/>
      <c r="P860" s="166"/>
      <c r="Q860" s="166"/>
      <c r="R860" s="166"/>
      <c r="S860" s="167"/>
      <c r="T860" s="167"/>
      <c r="U860" s="167"/>
      <c r="V860" s="167"/>
      <c r="W860" s="167"/>
      <c r="X860" s="164"/>
      <c r="Y860" s="164"/>
      <c r="Z860" s="172"/>
      <c r="AA860" s="188"/>
      <c r="AB860" s="172"/>
      <c r="AC860" s="172"/>
      <c r="AD860" s="175"/>
      <c r="AE860" s="62" t="s">
        <v>153</v>
      </c>
      <c r="AF860" s="133"/>
      <c r="AG860" s="65"/>
      <c r="AH860" s="64"/>
      <c r="AI860" s="64"/>
      <c r="AJ860" s="64"/>
      <c r="AK860" s="64"/>
      <c r="AL860" s="64"/>
      <c r="AM860" s="80" t="str">
        <f>IFERROR((Tablas!$C$1*VLOOKUP(AH860, tipo_control, 2, 0)+Tablas!$E$1*VLOOKUP(AI860, nat_control, 2, 0)+Tablas!$G$1*VLOOKUP(AJ860, ev_control, 2, 0)+Tablas!$I$1*VLOOKUP(AK860, frec_control, 2, 0)+Tablas!$K$1*VLOOKUP(AL860, doc_control, 2, 0))*0.1*peso_dis, "")</f>
        <v/>
      </c>
      <c r="AN860" s="64"/>
      <c r="AO860" s="64"/>
      <c r="AP860" s="64"/>
      <c r="AQ860" s="80" t="str">
        <f>IFERROR((Tablas!$C$9*VLOOKUP(AN860, amb_control, 2, 0)+Tablas!$E$9*VLOOKUP(AO860, ejec_control, 2, 0)+Tablas!$G$9*VLOOKUP(AP860, cub_control, 2, 0))*0.1*peso_ejec, "")</f>
        <v/>
      </c>
      <c r="AR860" s="91" t="str">
        <f t="shared" si="1497"/>
        <v/>
      </c>
      <c r="AS860" s="87" t="str">
        <f t="shared" si="1481"/>
        <v/>
      </c>
      <c r="AT860" s="85" t="str">
        <f t="shared" si="1482"/>
        <v/>
      </c>
      <c r="AU860" s="85" t="str">
        <f>IF(AR860&lt;Tablas!$G$19, 0, IF(AND(AR860&gt;=Tablas!$G$19, AR860&lt;Tablas!$G$20), 1,  IF(AND(AR860&gt;=Tablas!$G$20, AR860&lt;Tablas!$G$21), 2,  IF(AND(AR860&gt;=Tablas!$G$21, AR860&lt;=Tablas!$G$22), 3,  ""))))</f>
        <v/>
      </c>
      <c r="AV860" s="85" t="str">
        <f t="shared" si="1498"/>
        <v/>
      </c>
      <c r="AW860" s="101" t="str">
        <f t="shared" si="1499"/>
        <v/>
      </c>
      <c r="AX860" s="177"/>
      <c r="AY860" s="169"/>
      <c r="AZ860" s="158"/>
      <c r="BA860" s="169"/>
      <c r="BB860" s="182"/>
      <c r="BC860" s="182"/>
      <c r="BD860" s="185"/>
      <c r="BE860" s="185"/>
      <c r="BF860" s="158"/>
      <c r="BG860" s="191"/>
    </row>
    <row r="861" spans="1:59" ht="15.75" thickBot="1" x14ac:dyDescent="0.3">
      <c r="A861" s="167"/>
      <c r="B861" s="167"/>
      <c r="C861" s="161"/>
      <c r="D861" s="160"/>
      <c r="E861" s="162"/>
      <c r="F861" s="165"/>
      <c r="G861" s="161"/>
      <c r="H861" s="161"/>
      <c r="I861" s="161"/>
      <c r="J861" s="161"/>
      <c r="K861" s="161"/>
      <c r="L861" s="166"/>
      <c r="M861" s="166"/>
      <c r="N861" s="166"/>
      <c r="O861" s="166"/>
      <c r="P861" s="166"/>
      <c r="Q861" s="166"/>
      <c r="R861" s="166"/>
      <c r="S861" s="149"/>
      <c r="T861" s="149"/>
      <c r="U861" s="149"/>
      <c r="V861" s="149"/>
      <c r="W861" s="149"/>
      <c r="X861" s="165"/>
      <c r="Y861" s="165"/>
      <c r="Z861" s="172"/>
      <c r="AA861" s="188"/>
      <c r="AB861" s="172"/>
      <c r="AC861" s="172"/>
      <c r="AD861" s="175"/>
      <c r="AE861" s="66" t="s">
        <v>154</v>
      </c>
      <c r="AF861" s="134"/>
      <c r="AG861" s="67"/>
      <c r="AH861" s="69"/>
      <c r="AI861" s="69"/>
      <c r="AJ861" s="69"/>
      <c r="AK861" s="69"/>
      <c r="AL861" s="69"/>
      <c r="AM861" s="81" t="str">
        <f>IFERROR((Tablas!$C$1*VLOOKUP(AH861, tipo_control, 2, 0)+Tablas!$E$1*VLOOKUP(AI861, nat_control, 2, 0)+Tablas!$G$1*VLOOKUP(AJ861, ev_control, 2, 0)+Tablas!$I$1*VLOOKUP(AK861, frec_control, 2, 0)+Tablas!$K$1*VLOOKUP(AL861, doc_control, 2, 0))*0.1*peso_dis, "")</f>
        <v/>
      </c>
      <c r="AN861" s="69"/>
      <c r="AO861" s="69"/>
      <c r="AP861" s="69"/>
      <c r="AQ861" s="81" t="str">
        <f>IFERROR((Tablas!$C$9*VLOOKUP(AN861, amb_control, 2, 0)+Tablas!$E$9*VLOOKUP(AO861, ejec_control, 2, 0)+Tablas!$G$9*VLOOKUP(AP861, cub_control, 2, 0))*0.1*peso_ejec, "")</f>
        <v/>
      </c>
      <c r="AR861" s="93" t="str">
        <f t="shared" si="1497"/>
        <v/>
      </c>
      <c r="AS861" s="87" t="str">
        <f t="shared" si="1481"/>
        <v/>
      </c>
      <c r="AT861" s="94" t="str">
        <f t="shared" si="1482"/>
        <v/>
      </c>
      <c r="AU861" s="94" t="str">
        <f>IF(AR861&lt;Tablas!$G$19, 0, IF(AND(AR861&gt;=Tablas!$G$19, AR861&lt;Tablas!$G$20), 1,  IF(AND(AR861&gt;=Tablas!$G$20, AR861&lt;Tablas!$G$21), 2,  IF(AND(AR861&gt;=Tablas!$G$21, AR861&lt;=Tablas!$G$22), 3,  ""))))</f>
        <v/>
      </c>
      <c r="AV861" s="94" t="str">
        <f t="shared" si="1498"/>
        <v/>
      </c>
      <c r="AW861" s="102" t="str">
        <f t="shared" si="1499"/>
        <v/>
      </c>
      <c r="AX861" s="157"/>
      <c r="AY861" s="170"/>
      <c r="AZ861" s="179"/>
      <c r="BA861" s="170"/>
      <c r="BB861" s="182"/>
      <c r="BC861" s="182"/>
      <c r="BD861" s="185"/>
      <c r="BE861" s="185"/>
      <c r="BF861" s="159"/>
      <c r="BG861" s="191"/>
    </row>
    <row r="862" spans="1:59" x14ac:dyDescent="0.25">
      <c r="A862" s="167"/>
      <c r="B862" s="167"/>
      <c r="C862" s="161" t="s">
        <v>15</v>
      </c>
      <c r="D862" s="160" t="s">
        <v>158</v>
      </c>
      <c r="E862" s="162"/>
      <c r="F862" s="163" t="str">
        <f t="shared" si="1483"/>
        <v/>
      </c>
      <c r="G862" s="149"/>
      <c r="H862" s="149"/>
      <c r="I862" s="149"/>
      <c r="J862" s="149"/>
      <c r="K862" s="149"/>
      <c r="L862" s="165" t="str">
        <f>IFERROR(VLOOKUP(G862, tabla02, 2, 0), "")</f>
        <v/>
      </c>
      <c r="M862" s="165" t="str">
        <f>IFERROR(VLOOKUP(H862, tabla02, 2, 0), "")</f>
        <v/>
      </c>
      <c r="N862" s="165" t="str">
        <f>IFERROR(VLOOKUP(I862, tabla02, 2, 0), "")</f>
        <v/>
      </c>
      <c r="O862" s="165" t="str">
        <f>IFERROR(VLOOKUP(J862, tabla02, 2, 0), "")</f>
        <v/>
      </c>
      <c r="P862" s="165" t="str">
        <f>IFERROR(VLOOKUP(K862, tabla02, 2, 0), "")</f>
        <v/>
      </c>
      <c r="Q862" s="165" t="str">
        <f t="shared" ref="Q862" si="1500">IF(SUM(L862:O866)=0, "", MAX(L862:P862))</f>
        <v/>
      </c>
      <c r="R862" s="165" t="str">
        <f>IFERROR(VLOOKUP(Q862, tabla04, 3, 0), "")</f>
        <v/>
      </c>
      <c r="S862" s="148"/>
      <c r="T862" s="148"/>
      <c r="U862" s="148"/>
      <c r="V862" s="148"/>
      <c r="W862" s="148"/>
      <c r="X862" s="163" t="str">
        <f>IFERROR(VLOOKUP(CONCATENATE(F862, "-", Q862), cuadrante_sev, 3, 0), "")</f>
        <v/>
      </c>
      <c r="Y862" s="163" t="str">
        <f t="shared" ref="Y862" si="1501">IFERROR(IF(X862="Baja", 1, IF(X862="Moderada", 2, IF(X862="Alta", 3, IF(X862="Extrema", 4, "")))), "")</f>
        <v/>
      </c>
      <c r="Z862" s="172"/>
      <c r="AA862" s="188"/>
      <c r="AB862" s="172"/>
      <c r="AC862" s="172"/>
      <c r="AD862" s="175"/>
      <c r="AE862" s="70" t="s">
        <v>113</v>
      </c>
      <c r="AF862" s="135"/>
      <c r="AG862" s="74"/>
      <c r="AH862" s="72"/>
      <c r="AI862" s="72"/>
      <c r="AJ862" s="72"/>
      <c r="AK862" s="72"/>
      <c r="AL862" s="72"/>
      <c r="AM862" s="82" t="str">
        <f>IFERROR((Tablas!$C$1*VLOOKUP(AH862, tipo_control, 2, 0)+Tablas!$E$1*VLOOKUP(AI862, nat_control, 2, 0)+Tablas!$G$1*VLOOKUP(AJ862, ev_control, 2, 0)+Tablas!$I$1*VLOOKUP(AK862, frec_control, 2, 0)+Tablas!$K$1*VLOOKUP(AL862, doc_control, 2, 0))*0.1*peso_dis, "")</f>
        <v/>
      </c>
      <c r="AN862" s="72"/>
      <c r="AO862" s="72"/>
      <c r="AP862" s="72"/>
      <c r="AQ862" s="82" t="str">
        <f>IFERROR((Tablas!$C$9*VLOOKUP(AN862, amb_control, 2, 0)+Tablas!$E$9*VLOOKUP(AO862, ejec_control, 2, 0)+Tablas!$G$9*VLOOKUP(AP862, cub_control, 2, 0))*0.1*peso_ejec, "")</f>
        <v/>
      </c>
      <c r="AR862" s="96" t="str">
        <f t="shared" si="1497"/>
        <v/>
      </c>
      <c r="AS862" s="97" t="str">
        <f t="shared" si="1481"/>
        <v/>
      </c>
      <c r="AT862" s="87" t="str">
        <f t="shared" si="1482"/>
        <v/>
      </c>
      <c r="AU862" s="97" t="str">
        <f>IF(AR862&lt;Tablas!$G$19, 0, IF(AND(AR862&gt;=Tablas!$G$19, AR862&lt;Tablas!$G$20), 1,  IF(AND(AR862&gt;=Tablas!$G$20, AR862&lt;Tablas!$G$21), 2,  IF(AND(AR862&gt;=Tablas!$G$21, AR862&lt;=Tablas!$G$22), 3,  ""))))</f>
        <v/>
      </c>
      <c r="AV862" s="97" t="str">
        <f t="shared" si="1498"/>
        <v/>
      </c>
      <c r="AW862" s="103" t="str">
        <f t="shared" si="1499"/>
        <v/>
      </c>
      <c r="AX862" s="176" t="str">
        <f t="shared" ref="AX862" si="1502">IFERROR(VLOOKUP(AY862, tabla04, 2, 0), "")</f>
        <v/>
      </c>
      <c r="AY862" s="168" t="str">
        <f>IF(F862="", "", IF((F862-MAX(AV862:AV866))&lt;=0, 1, F862-MAX(AV862:AV866)))</f>
        <v/>
      </c>
      <c r="AZ862" s="178" t="str">
        <f t="shared" ref="AZ862" si="1503">IFERROR(VLOOKUP(BA862, tabla04, 3, 0), "")</f>
        <v/>
      </c>
      <c r="BA862" s="168" t="str">
        <f>IF(Q862="", "", IF((Q862-MAX(AW862:AW866))&lt;=0, 1, Q862-MAX(AW862:AW866)))</f>
        <v/>
      </c>
      <c r="BB862" s="182"/>
      <c r="BC862" s="182"/>
      <c r="BD862" s="185"/>
      <c r="BE862" s="185"/>
      <c r="BF862" s="158" t="str">
        <f t="shared" ref="BF862:BF864" si="1504">IFERROR(VLOOKUP(CONCATENATE(AY862, "-", BA862), cuadrante_sev, 3, 0), "")</f>
        <v/>
      </c>
      <c r="BG862" s="191"/>
    </row>
    <row r="863" spans="1:59" x14ac:dyDescent="0.25">
      <c r="A863" s="167"/>
      <c r="B863" s="167"/>
      <c r="C863" s="161"/>
      <c r="D863" s="160"/>
      <c r="E863" s="162"/>
      <c r="F863" s="164"/>
      <c r="G863" s="161"/>
      <c r="H863" s="161"/>
      <c r="I863" s="161"/>
      <c r="J863" s="161"/>
      <c r="K863" s="161"/>
      <c r="L863" s="166"/>
      <c r="M863" s="166"/>
      <c r="N863" s="166"/>
      <c r="O863" s="166"/>
      <c r="P863" s="166"/>
      <c r="Q863" s="166"/>
      <c r="R863" s="166"/>
      <c r="S863" s="167"/>
      <c r="T863" s="167"/>
      <c r="U863" s="167"/>
      <c r="V863" s="167"/>
      <c r="W863" s="167"/>
      <c r="X863" s="164"/>
      <c r="Y863" s="164"/>
      <c r="Z863" s="172"/>
      <c r="AA863" s="188"/>
      <c r="AB863" s="172"/>
      <c r="AC863" s="172"/>
      <c r="AD863" s="175"/>
      <c r="AE863" s="62" t="s">
        <v>114</v>
      </c>
      <c r="AF863" s="133"/>
      <c r="AG863" s="65"/>
      <c r="AH863" s="64"/>
      <c r="AI863" s="64"/>
      <c r="AJ863" s="64"/>
      <c r="AK863" s="64"/>
      <c r="AL863" s="64"/>
      <c r="AM863" s="80" t="str">
        <f>IFERROR((Tablas!$C$1*VLOOKUP(AH863, tipo_control, 2, 0)+Tablas!$E$1*VLOOKUP(AI863, nat_control, 2, 0)+Tablas!$G$1*VLOOKUP(AJ863, ev_control, 2, 0)+Tablas!$I$1*VLOOKUP(AK863, frec_control, 2, 0)+Tablas!$K$1*VLOOKUP(AL863, doc_control, 2, 0))*0.1*peso_dis, "")</f>
        <v/>
      </c>
      <c r="AN863" s="64"/>
      <c r="AO863" s="64"/>
      <c r="AP863" s="64"/>
      <c r="AQ863" s="80" t="str">
        <f>IFERROR((Tablas!$C$9*VLOOKUP(AN863, amb_control, 2, 0)+Tablas!$E$9*VLOOKUP(AO863, ejec_control, 2, 0)+Tablas!$G$9*VLOOKUP(AP863, cub_control, 2, 0))*0.1*peso_ejec, "")</f>
        <v/>
      </c>
      <c r="AR863" s="91" t="str">
        <f t="shared" si="1497"/>
        <v/>
      </c>
      <c r="AS863" s="85" t="str">
        <f t="shared" si="1481"/>
        <v/>
      </c>
      <c r="AT863" s="85" t="str">
        <f t="shared" si="1482"/>
        <v/>
      </c>
      <c r="AU863" s="85" t="str">
        <f>IF(AR863&lt;Tablas!$G$19, 0, IF(AND(AR863&gt;=Tablas!$G$19, AR863&lt;Tablas!$G$20), 1,  IF(AND(AR863&gt;=Tablas!$G$20, AR863&lt;Tablas!$G$21), 2,  IF(AND(AR863&gt;=Tablas!$G$21, AR863&lt;=Tablas!$G$22), 3,  ""))))</f>
        <v/>
      </c>
      <c r="AV863" s="85" t="str">
        <f t="shared" si="1498"/>
        <v/>
      </c>
      <c r="AW863" s="101" t="str">
        <f t="shared" si="1499"/>
        <v/>
      </c>
      <c r="AX863" s="177"/>
      <c r="AY863" s="169"/>
      <c r="AZ863" s="158"/>
      <c r="BA863" s="169"/>
      <c r="BB863" s="182"/>
      <c r="BC863" s="182"/>
      <c r="BD863" s="185"/>
      <c r="BE863" s="185"/>
      <c r="BF863" s="158" t="str">
        <f t="shared" si="1504"/>
        <v/>
      </c>
      <c r="BG863" s="191"/>
    </row>
    <row r="864" spans="1:59" x14ac:dyDescent="0.25">
      <c r="A864" s="167"/>
      <c r="B864" s="167"/>
      <c r="C864" s="161"/>
      <c r="D864" s="160"/>
      <c r="E864" s="162"/>
      <c r="F864" s="164"/>
      <c r="G864" s="161"/>
      <c r="H864" s="161"/>
      <c r="I864" s="161"/>
      <c r="J864" s="161"/>
      <c r="K864" s="161"/>
      <c r="L864" s="166"/>
      <c r="M864" s="166"/>
      <c r="N864" s="166"/>
      <c r="O864" s="166"/>
      <c r="P864" s="166"/>
      <c r="Q864" s="166"/>
      <c r="R864" s="166"/>
      <c r="S864" s="167"/>
      <c r="T864" s="167"/>
      <c r="U864" s="167"/>
      <c r="V864" s="167"/>
      <c r="W864" s="167"/>
      <c r="X864" s="164"/>
      <c r="Y864" s="164"/>
      <c r="Z864" s="172"/>
      <c r="AA864" s="188"/>
      <c r="AB864" s="172"/>
      <c r="AC864" s="172"/>
      <c r="AD864" s="175"/>
      <c r="AE864" s="62" t="s">
        <v>115</v>
      </c>
      <c r="AF864" s="133"/>
      <c r="AG864" s="65"/>
      <c r="AH864" s="64"/>
      <c r="AI864" s="64"/>
      <c r="AJ864" s="64"/>
      <c r="AK864" s="64"/>
      <c r="AL864" s="64"/>
      <c r="AM864" s="80" t="str">
        <f>IFERROR((Tablas!$C$1*VLOOKUP(AH864, tipo_control, 2, 0)+Tablas!$E$1*VLOOKUP(AI864, nat_control, 2, 0)+Tablas!$G$1*VLOOKUP(AJ864, ev_control, 2, 0)+Tablas!$I$1*VLOOKUP(AK864, frec_control, 2, 0)+Tablas!$K$1*VLOOKUP(AL864, doc_control, 2, 0))*0.1*peso_dis, "")</f>
        <v/>
      </c>
      <c r="AN864" s="64"/>
      <c r="AO864" s="64"/>
      <c r="AP864" s="64"/>
      <c r="AQ864" s="80" t="str">
        <f>IFERROR((Tablas!$C$9*VLOOKUP(AN864, amb_control, 2, 0)+Tablas!$E$9*VLOOKUP(AO864, ejec_control, 2, 0)+Tablas!$G$9*VLOOKUP(AP864, cub_control, 2, 0))*0.1*peso_ejec, "")</f>
        <v/>
      </c>
      <c r="AR864" s="91" t="str">
        <f t="shared" si="1497"/>
        <v/>
      </c>
      <c r="AS864" s="85" t="str">
        <f t="shared" si="1481"/>
        <v/>
      </c>
      <c r="AT864" s="85" t="str">
        <f t="shared" si="1482"/>
        <v/>
      </c>
      <c r="AU864" s="85" t="str">
        <f>IF(AR864&lt;Tablas!$G$19, 0, IF(AND(AR864&gt;=Tablas!$G$19, AR864&lt;Tablas!$G$20), 1,  IF(AND(AR864&gt;=Tablas!$G$20, AR864&lt;Tablas!$G$21), 2,  IF(AND(AR864&gt;=Tablas!$G$21, AR864&lt;=Tablas!$G$22), 3,  ""))))</f>
        <v/>
      </c>
      <c r="AV864" s="85" t="str">
        <f t="shared" si="1498"/>
        <v/>
      </c>
      <c r="AW864" s="101" t="str">
        <f t="shared" si="1499"/>
        <v/>
      </c>
      <c r="AX864" s="177"/>
      <c r="AY864" s="169"/>
      <c r="AZ864" s="158"/>
      <c r="BA864" s="169"/>
      <c r="BB864" s="182"/>
      <c r="BC864" s="182"/>
      <c r="BD864" s="185"/>
      <c r="BE864" s="185"/>
      <c r="BF864" s="158" t="str">
        <f t="shared" si="1504"/>
        <v/>
      </c>
      <c r="BG864" s="191"/>
    </row>
    <row r="865" spans="1:59" x14ac:dyDescent="0.25">
      <c r="A865" s="167"/>
      <c r="B865" s="167"/>
      <c r="C865" s="161"/>
      <c r="D865" s="160"/>
      <c r="E865" s="162"/>
      <c r="F865" s="164"/>
      <c r="G865" s="161"/>
      <c r="H865" s="161"/>
      <c r="I865" s="161"/>
      <c r="J865" s="161"/>
      <c r="K865" s="161"/>
      <c r="L865" s="166"/>
      <c r="M865" s="166"/>
      <c r="N865" s="166"/>
      <c r="O865" s="166"/>
      <c r="P865" s="166"/>
      <c r="Q865" s="166"/>
      <c r="R865" s="166"/>
      <c r="S865" s="167"/>
      <c r="T865" s="167"/>
      <c r="U865" s="167"/>
      <c r="V865" s="167"/>
      <c r="W865" s="167"/>
      <c r="X865" s="164"/>
      <c r="Y865" s="164"/>
      <c r="Z865" s="172"/>
      <c r="AA865" s="188"/>
      <c r="AB865" s="172"/>
      <c r="AC865" s="172"/>
      <c r="AD865" s="175"/>
      <c r="AE865" s="62" t="s">
        <v>153</v>
      </c>
      <c r="AF865" s="133"/>
      <c r="AG865" s="65"/>
      <c r="AH865" s="64"/>
      <c r="AI865" s="64"/>
      <c r="AJ865" s="64"/>
      <c r="AK865" s="64"/>
      <c r="AL865" s="64"/>
      <c r="AM865" s="80" t="str">
        <f>IFERROR((Tablas!$C$1*VLOOKUP(AH865, tipo_control, 2, 0)+Tablas!$E$1*VLOOKUP(AI865, nat_control, 2, 0)+Tablas!$G$1*VLOOKUP(AJ865, ev_control, 2, 0)+Tablas!$I$1*VLOOKUP(AK865, frec_control, 2, 0)+Tablas!$K$1*VLOOKUP(AL865, doc_control, 2, 0))*0.1*peso_dis, "")</f>
        <v/>
      </c>
      <c r="AN865" s="64"/>
      <c r="AO865" s="64"/>
      <c r="AP865" s="64"/>
      <c r="AQ865" s="80" t="str">
        <f>IFERROR((Tablas!$C$9*VLOOKUP(AN865, amb_control, 2, 0)+Tablas!$E$9*VLOOKUP(AO865, ejec_control, 2, 0)+Tablas!$G$9*VLOOKUP(AP865, cub_control, 2, 0))*0.1*peso_ejec, "")</f>
        <v/>
      </c>
      <c r="AR865" s="91" t="str">
        <f t="shared" si="1497"/>
        <v/>
      </c>
      <c r="AS865" s="85" t="str">
        <f t="shared" si="1481"/>
        <v/>
      </c>
      <c r="AT865" s="85" t="str">
        <f t="shared" si="1482"/>
        <v/>
      </c>
      <c r="AU865" s="85" t="str">
        <f>IF(AR865&lt;Tablas!$G$19, 0, IF(AND(AR865&gt;=Tablas!$G$19, AR865&lt;Tablas!$G$20), 1,  IF(AND(AR865&gt;=Tablas!$G$20, AR865&lt;Tablas!$G$21), 2,  IF(AND(AR865&gt;=Tablas!$G$21, AR865&lt;=Tablas!$G$22), 3,  ""))))</f>
        <v/>
      </c>
      <c r="AV865" s="85" t="str">
        <f t="shared" si="1498"/>
        <v/>
      </c>
      <c r="AW865" s="101" t="str">
        <f t="shared" si="1499"/>
        <v/>
      </c>
      <c r="AX865" s="177"/>
      <c r="AY865" s="169"/>
      <c r="AZ865" s="158"/>
      <c r="BA865" s="169"/>
      <c r="BB865" s="182"/>
      <c r="BC865" s="182"/>
      <c r="BD865" s="185"/>
      <c r="BE865" s="185"/>
      <c r="BF865" s="158"/>
      <c r="BG865" s="191"/>
    </row>
    <row r="866" spans="1:59" ht="15.75" thickBot="1" x14ac:dyDescent="0.3">
      <c r="A866" s="167"/>
      <c r="B866" s="167"/>
      <c r="C866" s="161"/>
      <c r="D866" s="160"/>
      <c r="E866" s="162"/>
      <c r="F866" s="165"/>
      <c r="G866" s="161"/>
      <c r="H866" s="161"/>
      <c r="I866" s="161"/>
      <c r="J866" s="161"/>
      <c r="K866" s="161"/>
      <c r="L866" s="166"/>
      <c r="M866" s="166"/>
      <c r="N866" s="166"/>
      <c r="O866" s="166"/>
      <c r="P866" s="166"/>
      <c r="Q866" s="166"/>
      <c r="R866" s="166"/>
      <c r="S866" s="149"/>
      <c r="T866" s="149"/>
      <c r="U866" s="149"/>
      <c r="V866" s="149"/>
      <c r="W866" s="149"/>
      <c r="X866" s="165"/>
      <c r="Y866" s="165"/>
      <c r="Z866" s="172"/>
      <c r="AA866" s="188"/>
      <c r="AB866" s="172"/>
      <c r="AC866" s="172"/>
      <c r="AD866" s="175"/>
      <c r="AE866" s="66" t="s">
        <v>154</v>
      </c>
      <c r="AF866" s="134"/>
      <c r="AG866" s="67"/>
      <c r="AH866" s="69"/>
      <c r="AI866" s="69"/>
      <c r="AJ866" s="69"/>
      <c r="AK866" s="69"/>
      <c r="AL866" s="69"/>
      <c r="AM866" s="81" t="str">
        <f>IFERROR((Tablas!$C$1*VLOOKUP(AH866, tipo_control, 2, 0)+Tablas!$E$1*VLOOKUP(AI866, nat_control, 2, 0)+Tablas!$G$1*VLOOKUP(AJ866, ev_control, 2, 0)+Tablas!$I$1*VLOOKUP(AK866, frec_control, 2, 0)+Tablas!$K$1*VLOOKUP(AL866, doc_control, 2, 0))*0.1*peso_dis, "")</f>
        <v/>
      </c>
      <c r="AN866" s="69"/>
      <c r="AO866" s="69"/>
      <c r="AP866" s="69"/>
      <c r="AQ866" s="81" t="str">
        <f>IFERROR((Tablas!$C$9*VLOOKUP(AN866, amb_control, 2, 0)+Tablas!$E$9*VLOOKUP(AO866, ejec_control, 2, 0)+Tablas!$G$9*VLOOKUP(AP866, cub_control, 2, 0))*0.1*peso_ejec, "")</f>
        <v/>
      </c>
      <c r="AR866" s="93" t="str">
        <f t="shared" si="1497"/>
        <v/>
      </c>
      <c r="AS866" s="94" t="str">
        <f t="shared" si="1481"/>
        <v/>
      </c>
      <c r="AT866" s="94" t="str">
        <f t="shared" si="1482"/>
        <v/>
      </c>
      <c r="AU866" s="94" t="str">
        <f>IF(AR866&lt;Tablas!$G$19, 0, IF(AND(AR866&gt;=Tablas!$G$19, AR866&lt;Tablas!$G$20), 1,  IF(AND(AR866&gt;=Tablas!$G$20, AR866&lt;Tablas!$G$21), 2,  IF(AND(AR866&gt;=Tablas!$G$21, AR866&lt;=Tablas!$G$22), 3,  ""))))</f>
        <v/>
      </c>
      <c r="AV866" s="94" t="str">
        <f t="shared" si="1498"/>
        <v/>
      </c>
      <c r="AW866" s="102" t="str">
        <f t="shared" si="1499"/>
        <v/>
      </c>
      <c r="AX866" s="157"/>
      <c r="AY866" s="170"/>
      <c r="AZ866" s="179"/>
      <c r="BA866" s="170"/>
      <c r="BB866" s="182"/>
      <c r="BC866" s="182"/>
      <c r="BD866" s="185"/>
      <c r="BE866" s="185"/>
      <c r="BF866" s="159"/>
      <c r="BG866" s="191"/>
    </row>
    <row r="867" spans="1:59" x14ac:dyDescent="0.25">
      <c r="A867" s="167"/>
      <c r="B867" s="167"/>
      <c r="C867" s="161" t="s">
        <v>16</v>
      </c>
      <c r="D867" s="160" t="s">
        <v>158</v>
      </c>
      <c r="E867" s="162"/>
      <c r="F867" s="163" t="str">
        <f t="shared" si="1483"/>
        <v/>
      </c>
      <c r="G867" s="149"/>
      <c r="H867" s="149"/>
      <c r="I867" s="149"/>
      <c r="J867" s="149"/>
      <c r="K867" s="149"/>
      <c r="L867" s="165" t="str">
        <f>IFERROR(VLOOKUP(G867, tabla02, 2, 0), "")</f>
        <v/>
      </c>
      <c r="M867" s="165" t="str">
        <f>IFERROR(VLOOKUP(H867, tabla02, 2, 0), "")</f>
        <v/>
      </c>
      <c r="N867" s="165" t="str">
        <f>IFERROR(VLOOKUP(I867, tabla02, 2, 0), "")</f>
        <v/>
      </c>
      <c r="O867" s="165" t="str">
        <f>IFERROR(VLOOKUP(J867, tabla02, 2, 0), "")</f>
        <v/>
      </c>
      <c r="P867" s="165" t="str">
        <f>IFERROR(VLOOKUP(K867, tabla02, 2, 0), "")</f>
        <v/>
      </c>
      <c r="Q867" s="165" t="str">
        <f t="shared" ref="Q867" si="1505">IF(SUM(L867:O871)=0, "", MAX(L867:P867))</f>
        <v/>
      </c>
      <c r="R867" s="165" t="str">
        <f>IFERROR(VLOOKUP(Q867, tabla04, 3, 0), "")</f>
        <v/>
      </c>
      <c r="S867" s="148"/>
      <c r="T867" s="148"/>
      <c r="U867" s="148"/>
      <c r="V867" s="148"/>
      <c r="W867" s="148"/>
      <c r="X867" s="163" t="str">
        <f>IFERROR(VLOOKUP(CONCATENATE(F867, "-", Q867), cuadrante_sev, 3, 0), "")</f>
        <v/>
      </c>
      <c r="Y867" s="163" t="str">
        <f t="shared" ref="Y867" si="1506">IFERROR(IF(X867="Baja", 1, IF(X867="Moderada", 2, IF(X867="Alta", 3, IF(X867="Extrema", 4, "")))), "")</f>
        <v/>
      </c>
      <c r="Z867" s="172"/>
      <c r="AA867" s="188"/>
      <c r="AB867" s="172"/>
      <c r="AC867" s="172"/>
      <c r="AD867" s="175"/>
      <c r="AE867" s="70" t="s">
        <v>113</v>
      </c>
      <c r="AF867" s="135"/>
      <c r="AG867" s="77"/>
      <c r="AH867" s="61"/>
      <c r="AI867" s="61"/>
      <c r="AJ867" s="61"/>
      <c r="AK867" s="61"/>
      <c r="AL867" s="61"/>
      <c r="AM867" s="82" t="str">
        <f>IFERROR((Tablas!$C$1*VLOOKUP(AH867, tipo_control, 2, 0)+Tablas!$E$1*VLOOKUP(AI867, nat_control, 2, 0)+Tablas!$G$1*VLOOKUP(AJ867, ev_control, 2, 0)+Tablas!$I$1*VLOOKUP(AK867, frec_control, 2, 0)+Tablas!$K$1*VLOOKUP(AL867, doc_control, 2, 0))*0.1*peso_dis, "")</f>
        <v/>
      </c>
      <c r="AN867" s="61"/>
      <c r="AO867" s="61"/>
      <c r="AP867" s="61"/>
      <c r="AQ867" s="82" t="str">
        <f>IFERROR((Tablas!$C$9*VLOOKUP(AN867, amb_control, 2, 0)+Tablas!$E$9*VLOOKUP(AO867, ejec_control, 2, 0)+Tablas!$G$9*VLOOKUP(AP867, cub_control, 2, 0))*0.1*peso_ejec, "")</f>
        <v/>
      </c>
      <c r="AR867" s="96" t="str">
        <f t="shared" si="1497"/>
        <v/>
      </c>
      <c r="AS867" s="97" t="str">
        <f t="shared" si="1481"/>
        <v/>
      </c>
      <c r="AT867" s="87" t="str">
        <f t="shared" si="1482"/>
        <v/>
      </c>
      <c r="AU867" s="97" t="str">
        <f>IF(AR867&lt;Tablas!$G$19, 0, IF(AND(AR867&gt;=Tablas!$G$19, AR867&lt;Tablas!$G$20), 1,  IF(AND(AR867&gt;=Tablas!$G$20, AR867&lt;Tablas!$G$21), 2,  IF(AND(AR867&gt;=Tablas!$G$21, AR867&lt;=Tablas!$G$22), 3,  ""))))</f>
        <v/>
      </c>
      <c r="AV867" s="97" t="str">
        <f t="shared" si="1498"/>
        <v/>
      </c>
      <c r="AW867" s="103" t="str">
        <f t="shared" si="1499"/>
        <v/>
      </c>
      <c r="AX867" s="176" t="str">
        <f t="shared" ref="AX867" si="1507">IFERROR(VLOOKUP(AY867, tabla04, 2, 0), "")</f>
        <v/>
      </c>
      <c r="AY867" s="168" t="str">
        <f>IF(F867="", "", IF((F867-MAX(AV867:AV871))&lt;=0, 1, F867-MAX(AV867:AV871)))</f>
        <v/>
      </c>
      <c r="AZ867" s="178" t="str">
        <f t="shared" ref="AZ867" si="1508">IFERROR(VLOOKUP(BA867, tabla04, 3, 0), "")</f>
        <v/>
      </c>
      <c r="BA867" s="168" t="str">
        <f>IF(Q867="", "", IF((Q867-MAX(AW867:AW871))&lt;=0, 1, Q867-MAX(AW867:AW871)))</f>
        <v/>
      </c>
      <c r="BB867" s="182"/>
      <c r="BC867" s="182"/>
      <c r="BD867" s="185"/>
      <c r="BE867" s="185"/>
      <c r="BF867" s="158" t="str">
        <f t="shared" ref="BF867:BF869" si="1509">IFERROR(VLOOKUP(CONCATENATE(AY867, "-", BA867), cuadrante_sev, 3, 0), "")</f>
        <v/>
      </c>
      <c r="BG867" s="191"/>
    </row>
    <row r="868" spans="1:59" x14ac:dyDescent="0.25">
      <c r="A868" s="167"/>
      <c r="B868" s="167"/>
      <c r="C868" s="161"/>
      <c r="D868" s="160"/>
      <c r="E868" s="162"/>
      <c r="F868" s="164"/>
      <c r="G868" s="161"/>
      <c r="H868" s="161"/>
      <c r="I868" s="161"/>
      <c r="J868" s="161"/>
      <c r="K868" s="161"/>
      <c r="L868" s="166"/>
      <c r="M868" s="166"/>
      <c r="N868" s="166"/>
      <c r="O868" s="166"/>
      <c r="P868" s="166"/>
      <c r="Q868" s="166"/>
      <c r="R868" s="166"/>
      <c r="S868" s="167"/>
      <c r="T868" s="167"/>
      <c r="U868" s="167"/>
      <c r="V868" s="167"/>
      <c r="W868" s="167"/>
      <c r="X868" s="164"/>
      <c r="Y868" s="164"/>
      <c r="Z868" s="172"/>
      <c r="AA868" s="188"/>
      <c r="AB868" s="172"/>
      <c r="AC868" s="172"/>
      <c r="AD868" s="175"/>
      <c r="AE868" s="62" t="s">
        <v>114</v>
      </c>
      <c r="AF868" s="133"/>
      <c r="AG868" s="65"/>
      <c r="AH868" s="64"/>
      <c r="AI868" s="64"/>
      <c r="AJ868" s="64"/>
      <c r="AK868" s="64"/>
      <c r="AL868" s="64"/>
      <c r="AM868" s="80" t="str">
        <f>IFERROR((Tablas!$C$1*VLOOKUP(AH868, tipo_control, 2, 0)+Tablas!$E$1*VLOOKUP(AI868, nat_control, 2, 0)+Tablas!$G$1*VLOOKUP(AJ868, ev_control, 2, 0)+Tablas!$I$1*VLOOKUP(AK868, frec_control, 2, 0)+Tablas!$K$1*VLOOKUP(AL868, doc_control, 2, 0))*0.1*peso_dis, "")</f>
        <v/>
      </c>
      <c r="AN868" s="64"/>
      <c r="AO868" s="64"/>
      <c r="AP868" s="64"/>
      <c r="AQ868" s="80" t="str">
        <f>IFERROR((Tablas!$C$9*VLOOKUP(AN868, amb_control, 2, 0)+Tablas!$E$9*VLOOKUP(AO868, ejec_control, 2, 0)+Tablas!$G$9*VLOOKUP(AP868, cub_control, 2, 0))*0.1*peso_ejec, "")</f>
        <v/>
      </c>
      <c r="AR868" s="91" t="str">
        <f t="shared" si="1497"/>
        <v/>
      </c>
      <c r="AS868" s="85" t="str">
        <f t="shared" si="1481"/>
        <v/>
      </c>
      <c r="AT868" s="85" t="str">
        <f t="shared" si="1482"/>
        <v/>
      </c>
      <c r="AU868" s="85" t="str">
        <f>IF(AR868&lt;Tablas!$G$19, 0, IF(AND(AR868&gt;=Tablas!$G$19, AR868&lt;Tablas!$G$20), 1,  IF(AND(AR868&gt;=Tablas!$G$20, AR868&lt;Tablas!$G$21), 2,  IF(AND(AR868&gt;=Tablas!$G$21, AR868&lt;=Tablas!$G$22), 3,  ""))))</f>
        <v/>
      </c>
      <c r="AV868" s="85" t="str">
        <f t="shared" si="1498"/>
        <v/>
      </c>
      <c r="AW868" s="101" t="str">
        <f t="shared" si="1499"/>
        <v/>
      </c>
      <c r="AX868" s="177"/>
      <c r="AY868" s="169"/>
      <c r="AZ868" s="158"/>
      <c r="BA868" s="169"/>
      <c r="BB868" s="182"/>
      <c r="BC868" s="182"/>
      <c r="BD868" s="185"/>
      <c r="BE868" s="185"/>
      <c r="BF868" s="158" t="str">
        <f t="shared" si="1509"/>
        <v/>
      </c>
      <c r="BG868" s="191"/>
    </row>
    <row r="869" spans="1:59" x14ac:dyDescent="0.25">
      <c r="A869" s="167"/>
      <c r="B869" s="167"/>
      <c r="C869" s="161"/>
      <c r="D869" s="160"/>
      <c r="E869" s="162"/>
      <c r="F869" s="164"/>
      <c r="G869" s="161"/>
      <c r="H869" s="161"/>
      <c r="I869" s="161"/>
      <c r="J869" s="161"/>
      <c r="K869" s="161"/>
      <c r="L869" s="166"/>
      <c r="M869" s="166"/>
      <c r="N869" s="166"/>
      <c r="O869" s="166"/>
      <c r="P869" s="166"/>
      <c r="Q869" s="166"/>
      <c r="R869" s="166"/>
      <c r="S869" s="167"/>
      <c r="T869" s="167"/>
      <c r="U869" s="167"/>
      <c r="V869" s="167"/>
      <c r="W869" s="167"/>
      <c r="X869" s="164"/>
      <c r="Y869" s="164"/>
      <c r="Z869" s="172"/>
      <c r="AA869" s="188"/>
      <c r="AB869" s="172"/>
      <c r="AC869" s="172"/>
      <c r="AD869" s="175"/>
      <c r="AE869" s="62" t="s">
        <v>115</v>
      </c>
      <c r="AF869" s="133"/>
      <c r="AG869" s="65"/>
      <c r="AH869" s="64"/>
      <c r="AI869" s="64"/>
      <c r="AJ869" s="64"/>
      <c r="AK869" s="64"/>
      <c r="AL869" s="64"/>
      <c r="AM869" s="80" t="str">
        <f>IFERROR((Tablas!$C$1*VLOOKUP(AH869, tipo_control, 2, 0)+Tablas!$E$1*VLOOKUP(AI869, nat_control, 2, 0)+Tablas!$G$1*VLOOKUP(AJ869, ev_control, 2, 0)+Tablas!$I$1*VLOOKUP(AK869, frec_control, 2, 0)+Tablas!$K$1*VLOOKUP(AL869, doc_control, 2, 0))*0.1*peso_dis, "")</f>
        <v/>
      </c>
      <c r="AN869" s="64"/>
      <c r="AO869" s="64"/>
      <c r="AP869" s="64"/>
      <c r="AQ869" s="80" t="str">
        <f>IFERROR((Tablas!$C$9*VLOOKUP(AN869, amb_control, 2, 0)+Tablas!$E$9*VLOOKUP(AO869, ejec_control, 2, 0)+Tablas!$G$9*VLOOKUP(AP869, cub_control, 2, 0))*0.1*peso_ejec, "")</f>
        <v/>
      </c>
      <c r="AR869" s="91" t="str">
        <f t="shared" si="1497"/>
        <v/>
      </c>
      <c r="AS869" s="85" t="str">
        <f t="shared" si="1481"/>
        <v/>
      </c>
      <c r="AT869" s="85" t="str">
        <f t="shared" si="1482"/>
        <v/>
      </c>
      <c r="AU869" s="85" t="str">
        <f>IF(AR869&lt;Tablas!$G$19, 0, IF(AND(AR869&gt;=Tablas!$G$19, AR869&lt;Tablas!$G$20), 1,  IF(AND(AR869&gt;=Tablas!$G$20, AR869&lt;Tablas!$G$21), 2,  IF(AND(AR869&gt;=Tablas!$G$21, AR869&lt;=Tablas!$G$22), 3,  ""))))</f>
        <v/>
      </c>
      <c r="AV869" s="85" t="str">
        <f t="shared" si="1498"/>
        <v/>
      </c>
      <c r="AW869" s="101" t="str">
        <f t="shared" si="1499"/>
        <v/>
      </c>
      <c r="AX869" s="177"/>
      <c r="AY869" s="169"/>
      <c r="AZ869" s="158"/>
      <c r="BA869" s="169"/>
      <c r="BB869" s="182"/>
      <c r="BC869" s="182"/>
      <c r="BD869" s="185"/>
      <c r="BE869" s="185"/>
      <c r="BF869" s="158" t="str">
        <f t="shared" si="1509"/>
        <v/>
      </c>
      <c r="BG869" s="191"/>
    </row>
    <row r="870" spans="1:59" x14ac:dyDescent="0.25">
      <c r="A870" s="167"/>
      <c r="B870" s="167"/>
      <c r="C870" s="161"/>
      <c r="D870" s="160"/>
      <c r="E870" s="162"/>
      <c r="F870" s="164"/>
      <c r="G870" s="161"/>
      <c r="H870" s="161"/>
      <c r="I870" s="161"/>
      <c r="J870" s="161"/>
      <c r="K870" s="161"/>
      <c r="L870" s="166"/>
      <c r="M870" s="166"/>
      <c r="N870" s="166"/>
      <c r="O870" s="166"/>
      <c r="P870" s="166"/>
      <c r="Q870" s="166"/>
      <c r="R870" s="166"/>
      <c r="S870" s="167"/>
      <c r="T870" s="167"/>
      <c r="U870" s="167"/>
      <c r="V870" s="167"/>
      <c r="W870" s="167"/>
      <c r="X870" s="164"/>
      <c r="Y870" s="164"/>
      <c r="Z870" s="172"/>
      <c r="AA870" s="188"/>
      <c r="AB870" s="172"/>
      <c r="AC870" s="172"/>
      <c r="AD870" s="175"/>
      <c r="AE870" s="62" t="s">
        <v>153</v>
      </c>
      <c r="AF870" s="133"/>
      <c r="AG870" s="65"/>
      <c r="AH870" s="64"/>
      <c r="AI870" s="64"/>
      <c r="AJ870" s="64"/>
      <c r="AK870" s="64"/>
      <c r="AL870" s="64"/>
      <c r="AM870" s="80" t="str">
        <f>IFERROR((Tablas!$C$1*VLOOKUP(AH870, tipo_control, 2, 0)+Tablas!$E$1*VLOOKUP(AI870, nat_control, 2, 0)+Tablas!$G$1*VLOOKUP(AJ870, ev_control, 2, 0)+Tablas!$I$1*VLOOKUP(AK870, frec_control, 2, 0)+Tablas!$K$1*VLOOKUP(AL870, doc_control, 2, 0))*0.1*peso_dis, "")</f>
        <v/>
      </c>
      <c r="AN870" s="64"/>
      <c r="AO870" s="64"/>
      <c r="AP870" s="64"/>
      <c r="AQ870" s="80" t="str">
        <f>IFERROR((Tablas!$C$9*VLOOKUP(AN870, amb_control, 2, 0)+Tablas!$E$9*VLOOKUP(AO870, ejec_control, 2, 0)+Tablas!$G$9*VLOOKUP(AP870, cub_control, 2, 0))*0.1*peso_ejec, "")</f>
        <v/>
      </c>
      <c r="AR870" s="91" t="str">
        <f t="shared" si="1497"/>
        <v/>
      </c>
      <c r="AS870" s="85" t="str">
        <f t="shared" si="1481"/>
        <v/>
      </c>
      <c r="AT870" s="85" t="str">
        <f t="shared" si="1482"/>
        <v/>
      </c>
      <c r="AU870" s="85" t="str">
        <f>IF(AR870&lt;Tablas!$G$19, 0, IF(AND(AR870&gt;=Tablas!$G$19, AR870&lt;Tablas!$G$20), 1,  IF(AND(AR870&gt;=Tablas!$G$20, AR870&lt;Tablas!$G$21), 2,  IF(AND(AR870&gt;=Tablas!$G$21, AR870&lt;=Tablas!$G$22), 3,  ""))))</f>
        <v/>
      </c>
      <c r="AV870" s="85" t="str">
        <f t="shared" si="1498"/>
        <v/>
      </c>
      <c r="AW870" s="101" t="str">
        <f t="shared" si="1499"/>
        <v/>
      </c>
      <c r="AX870" s="177"/>
      <c r="AY870" s="169"/>
      <c r="AZ870" s="158"/>
      <c r="BA870" s="169"/>
      <c r="BB870" s="182"/>
      <c r="BC870" s="182"/>
      <c r="BD870" s="185"/>
      <c r="BE870" s="185"/>
      <c r="BF870" s="158"/>
      <c r="BG870" s="191"/>
    </row>
    <row r="871" spans="1:59" ht="15.75" thickBot="1" x14ac:dyDescent="0.3">
      <c r="A871" s="167"/>
      <c r="B871" s="167"/>
      <c r="C871" s="161"/>
      <c r="D871" s="160"/>
      <c r="E871" s="162"/>
      <c r="F871" s="165"/>
      <c r="G871" s="161"/>
      <c r="H871" s="161"/>
      <c r="I871" s="161"/>
      <c r="J871" s="161"/>
      <c r="K871" s="161"/>
      <c r="L871" s="166"/>
      <c r="M871" s="166"/>
      <c r="N871" s="166"/>
      <c r="O871" s="166"/>
      <c r="P871" s="166"/>
      <c r="Q871" s="166"/>
      <c r="R871" s="166"/>
      <c r="S871" s="149"/>
      <c r="T871" s="149"/>
      <c r="U871" s="149"/>
      <c r="V871" s="149"/>
      <c r="W871" s="149"/>
      <c r="X871" s="165"/>
      <c r="Y871" s="165"/>
      <c r="Z871" s="172"/>
      <c r="AA871" s="188"/>
      <c r="AB871" s="172"/>
      <c r="AC871" s="172"/>
      <c r="AD871" s="175"/>
      <c r="AE871" s="66" t="s">
        <v>154</v>
      </c>
      <c r="AF871" s="134"/>
      <c r="AG871" s="67"/>
      <c r="AH871" s="69"/>
      <c r="AI871" s="69"/>
      <c r="AJ871" s="69"/>
      <c r="AK871" s="69"/>
      <c r="AL871" s="69"/>
      <c r="AM871" s="81" t="str">
        <f>IFERROR((Tablas!$C$1*VLOOKUP(AH871, tipo_control, 2, 0)+Tablas!$E$1*VLOOKUP(AI871, nat_control, 2, 0)+Tablas!$G$1*VLOOKUP(AJ871, ev_control, 2, 0)+Tablas!$I$1*VLOOKUP(AK871, frec_control, 2, 0)+Tablas!$K$1*VLOOKUP(AL871, doc_control, 2, 0))*0.1*peso_dis, "")</f>
        <v/>
      </c>
      <c r="AN871" s="69"/>
      <c r="AO871" s="69"/>
      <c r="AP871" s="69"/>
      <c r="AQ871" s="81" t="str">
        <f>IFERROR((Tablas!$C$9*VLOOKUP(AN871, amb_control, 2, 0)+Tablas!$E$9*VLOOKUP(AO871, ejec_control, 2, 0)+Tablas!$G$9*VLOOKUP(AP871, cub_control, 2, 0))*0.1*peso_ejec, "")</f>
        <v/>
      </c>
      <c r="AR871" s="93" t="str">
        <f t="shared" si="1497"/>
        <v/>
      </c>
      <c r="AS871" s="94" t="str">
        <f t="shared" si="1481"/>
        <v/>
      </c>
      <c r="AT871" s="94" t="str">
        <f t="shared" si="1482"/>
        <v/>
      </c>
      <c r="AU871" s="94" t="str">
        <f>IF(AR871&lt;Tablas!$G$19, 0, IF(AND(AR871&gt;=Tablas!$G$19, AR871&lt;Tablas!$G$20), 1,  IF(AND(AR871&gt;=Tablas!$G$20, AR871&lt;Tablas!$G$21), 2,  IF(AND(AR871&gt;=Tablas!$G$21, AR871&lt;=Tablas!$G$22), 3,  ""))))</f>
        <v/>
      </c>
      <c r="AV871" s="94" t="str">
        <f t="shared" si="1498"/>
        <v/>
      </c>
      <c r="AW871" s="102" t="str">
        <f t="shared" si="1499"/>
        <v/>
      </c>
      <c r="AX871" s="157"/>
      <c r="AY871" s="170"/>
      <c r="AZ871" s="179"/>
      <c r="BA871" s="170"/>
      <c r="BB871" s="182"/>
      <c r="BC871" s="182"/>
      <c r="BD871" s="185"/>
      <c r="BE871" s="185"/>
      <c r="BF871" s="159"/>
      <c r="BG871" s="191"/>
    </row>
    <row r="872" spans="1:59" x14ac:dyDescent="0.25">
      <c r="A872" s="167"/>
      <c r="B872" s="167"/>
      <c r="C872" s="161" t="s">
        <v>18</v>
      </c>
      <c r="D872" s="160" t="s">
        <v>158</v>
      </c>
      <c r="E872" s="162"/>
      <c r="F872" s="163" t="str">
        <f t="shared" si="1483"/>
        <v/>
      </c>
      <c r="G872" s="149"/>
      <c r="H872" s="149"/>
      <c r="I872" s="149"/>
      <c r="J872" s="149"/>
      <c r="K872" s="149"/>
      <c r="L872" s="165" t="str">
        <f t="shared" ref="L872" si="1510">IFERROR(VLOOKUP(G872, tabla02, 2, 0), "")</f>
        <v/>
      </c>
      <c r="M872" s="165" t="str">
        <f t="shared" ref="M872" si="1511">IFERROR(VLOOKUP(H872, tabla02, 2, 0), "")</f>
        <v/>
      </c>
      <c r="N872" s="165" t="str">
        <f t="shared" ref="N872" si="1512">IFERROR(VLOOKUP(I872, tabla02, 2, 0), "")</f>
        <v/>
      </c>
      <c r="O872" s="165" t="str">
        <f t="shared" ref="O872" si="1513">IFERROR(VLOOKUP(J872, tabla02, 2, 0), "")</f>
        <v/>
      </c>
      <c r="P872" s="165" t="str">
        <f t="shared" ref="P872" si="1514">IFERROR(VLOOKUP(K872, tabla02, 2, 0), "")</f>
        <v/>
      </c>
      <c r="Q872" s="165" t="str">
        <f t="shared" ref="Q872" si="1515">IF(SUM(L872:O876)=0, "", MAX(L872:P872))</f>
        <v/>
      </c>
      <c r="R872" s="165" t="str">
        <f>IFERROR(VLOOKUP(Q872, tabla04, 3, 0), "")</f>
        <v/>
      </c>
      <c r="S872" s="148"/>
      <c r="T872" s="148"/>
      <c r="U872" s="148"/>
      <c r="V872" s="148"/>
      <c r="W872" s="148"/>
      <c r="X872" s="163" t="str">
        <f>IFERROR(VLOOKUP(CONCATENATE(F872, "-", Q872), cuadrante_sev, 3, 0), "")</f>
        <v/>
      </c>
      <c r="Y872" s="163" t="str">
        <f t="shared" ref="Y872" si="1516">IFERROR(IF(X872="Baja", 1, IF(X872="Moderada", 2, IF(X872="Alta", 3, IF(X872="Extrema", 4, "")))), "")</f>
        <v/>
      </c>
      <c r="Z872" s="172"/>
      <c r="AA872" s="188"/>
      <c r="AB872" s="172"/>
      <c r="AC872" s="172"/>
      <c r="AD872" s="175"/>
      <c r="AE872" s="70" t="s">
        <v>113</v>
      </c>
      <c r="AF872" s="135"/>
      <c r="AG872" s="77"/>
      <c r="AH872" s="61"/>
      <c r="AI872" s="61"/>
      <c r="AJ872" s="61"/>
      <c r="AK872" s="61"/>
      <c r="AL872" s="61"/>
      <c r="AM872" s="82" t="str">
        <f>IFERROR((Tablas!$C$1*VLOOKUP(AH872, tipo_control, 2, 0)+Tablas!$E$1*VLOOKUP(AI872, nat_control, 2, 0)+Tablas!$G$1*VLOOKUP(AJ872, ev_control, 2, 0)+Tablas!$I$1*VLOOKUP(AK872, frec_control, 2, 0)+Tablas!$K$1*VLOOKUP(AL872, doc_control, 2, 0))*0.1*peso_dis, "")</f>
        <v/>
      </c>
      <c r="AN872" s="61"/>
      <c r="AO872" s="61"/>
      <c r="AP872" s="61"/>
      <c r="AQ872" s="82" t="str">
        <f>IFERROR((Tablas!$C$9*VLOOKUP(AN872, amb_control, 2, 0)+Tablas!$E$9*VLOOKUP(AO872, ejec_control, 2, 0)+Tablas!$G$9*VLOOKUP(AP872, cub_control, 2, 0))*0.1*peso_ejec, "")</f>
        <v/>
      </c>
      <c r="AR872" s="96" t="str">
        <f t="shared" si="1497"/>
        <v/>
      </c>
      <c r="AS872" s="97" t="str">
        <f t="shared" si="1481"/>
        <v/>
      </c>
      <c r="AT872" s="87" t="str">
        <f t="shared" si="1482"/>
        <v/>
      </c>
      <c r="AU872" s="97" t="str">
        <f>IF(AR872&lt;Tablas!$G$19, 0, IF(AND(AR872&gt;=Tablas!$G$19, AR872&lt;Tablas!$G$20), 1,  IF(AND(AR872&gt;=Tablas!$G$20, AR872&lt;Tablas!$G$21), 2,  IF(AND(AR872&gt;=Tablas!$G$21, AR872&lt;=Tablas!$G$22), 3,  ""))))</f>
        <v/>
      </c>
      <c r="AV872" s="97" t="str">
        <f t="shared" si="1498"/>
        <v/>
      </c>
      <c r="AW872" s="103" t="str">
        <f t="shared" si="1499"/>
        <v/>
      </c>
      <c r="AX872" s="176" t="str">
        <f t="shared" ref="AX872" si="1517">IFERROR(VLOOKUP(AY872, tabla04, 2, 0), "")</f>
        <v/>
      </c>
      <c r="AY872" s="168" t="str">
        <f>IF(F872="", "", IF((F872-MAX(AV872:AV876))&lt;=0, 1, F872-MAX(AV872:AV876)))</f>
        <v/>
      </c>
      <c r="AZ872" s="178" t="str">
        <f t="shared" ref="AZ872" si="1518">IFERROR(VLOOKUP(BA872, tabla04, 3, 0), "")</f>
        <v/>
      </c>
      <c r="BA872" s="168" t="str">
        <f>IF(Q872="", "", IF((Q872-MAX(AW872:AW876))&lt;=0, 1, Q872-MAX(AW872:AW876)))</f>
        <v/>
      </c>
      <c r="BB872" s="182"/>
      <c r="BC872" s="182"/>
      <c r="BD872" s="185"/>
      <c r="BE872" s="185"/>
      <c r="BF872" s="158" t="str">
        <f t="shared" ref="BF872:BF874" si="1519">IFERROR(VLOOKUP(CONCATENATE(AY872, "-", BA872), cuadrante_sev, 3, 0), "")</f>
        <v/>
      </c>
      <c r="BG872" s="191"/>
    </row>
    <row r="873" spans="1:59" x14ac:dyDescent="0.25">
      <c r="A873" s="167"/>
      <c r="B873" s="167"/>
      <c r="C873" s="161"/>
      <c r="D873" s="160"/>
      <c r="E873" s="162"/>
      <c r="F873" s="164"/>
      <c r="G873" s="161"/>
      <c r="H873" s="161"/>
      <c r="I873" s="161"/>
      <c r="J873" s="161"/>
      <c r="K873" s="161"/>
      <c r="L873" s="166"/>
      <c r="M873" s="166"/>
      <c r="N873" s="166"/>
      <c r="O873" s="166"/>
      <c r="P873" s="166"/>
      <c r="Q873" s="166"/>
      <c r="R873" s="166"/>
      <c r="S873" s="167"/>
      <c r="T873" s="167"/>
      <c r="U873" s="167"/>
      <c r="V873" s="167"/>
      <c r="W873" s="167"/>
      <c r="X873" s="164"/>
      <c r="Y873" s="164"/>
      <c r="Z873" s="172"/>
      <c r="AA873" s="188"/>
      <c r="AB873" s="172"/>
      <c r="AC873" s="172"/>
      <c r="AD873" s="175"/>
      <c r="AE873" s="62" t="s">
        <v>114</v>
      </c>
      <c r="AF873" s="133"/>
      <c r="AG873" s="65"/>
      <c r="AH873" s="64"/>
      <c r="AI873" s="64"/>
      <c r="AJ873" s="64"/>
      <c r="AK873" s="64"/>
      <c r="AL873" s="64"/>
      <c r="AM873" s="80" t="str">
        <f>IFERROR((Tablas!$C$1*VLOOKUP(AH873, tipo_control, 2, 0)+Tablas!$E$1*VLOOKUP(AI873, nat_control, 2, 0)+Tablas!$G$1*VLOOKUP(AJ873, ev_control, 2, 0)+Tablas!$I$1*VLOOKUP(AK873, frec_control, 2, 0)+Tablas!$K$1*VLOOKUP(AL873, doc_control, 2, 0))*0.1*peso_dis, "")</f>
        <v/>
      </c>
      <c r="AN873" s="64"/>
      <c r="AO873" s="64"/>
      <c r="AP873" s="64"/>
      <c r="AQ873" s="80" t="str">
        <f>IFERROR((Tablas!$C$9*VLOOKUP(AN873, amb_control, 2, 0)+Tablas!$E$9*VLOOKUP(AO873, ejec_control, 2, 0)+Tablas!$G$9*VLOOKUP(AP873, cub_control, 2, 0))*0.1*peso_ejec, "")</f>
        <v/>
      </c>
      <c r="AR873" s="91" t="str">
        <f t="shared" si="1497"/>
        <v/>
      </c>
      <c r="AS873" s="85" t="str">
        <f t="shared" si="1481"/>
        <v/>
      </c>
      <c r="AT873" s="85" t="str">
        <f t="shared" si="1482"/>
        <v/>
      </c>
      <c r="AU873" s="85" t="str">
        <f>IF(AR873&lt;Tablas!$G$19, 0, IF(AND(AR873&gt;=Tablas!$G$19, AR873&lt;Tablas!$G$20), 1,  IF(AND(AR873&gt;=Tablas!$G$20, AR873&lt;Tablas!$G$21), 2,  IF(AND(AR873&gt;=Tablas!$G$21, AR873&lt;=Tablas!$G$22), 3,  ""))))</f>
        <v/>
      </c>
      <c r="AV873" s="85" t="str">
        <f t="shared" si="1498"/>
        <v/>
      </c>
      <c r="AW873" s="101" t="str">
        <f t="shared" si="1499"/>
        <v/>
      </c>
      <c r="AX873" s="177"/>
      <c r="AY873" s="169"/>
      <c r="AZ873" s="158"/>
      <c r="BA873" s="169"/>
      <c r="BB873" s="182"/>
      <c r="BC873" s="182"/>
      <c r="BD873" s="185"/>
      <c r="BE873" s="185"/>
      <c r="BF873" s="158" t="str">
        <f t="shared" si="1519"/>
        <v/>
      </c>
      <c r="BG873" s="191"/>
    </row>
    <row r="874" spans="1:59" x14ac:dyDescent="0.25">
      <c r="A874" s="167"/>
      <c r="B874" s="167"/>
      <c r="C874" s="161"/>
      <c r="D874" s="160"/>
      <c r="E874" s="162"/>
      <c r="F874" s="164"/>
      <c r="G874" s="161"/>
      <c r="H874" s="161"/>
      <c r="I874" s="161"/>
      <c r="J874" s="161"/>
      <c r="K874" s="161"/>
      <c r="L874" s="166"/>
      <c r="M874" s="166"/>
      <c r="N874" s="166"/>
      <c r="O874" s="166"/>
      <c r="P874" s="166"/>
      <c r="Q874" s="166"/>
      <c r="R874" s="166"/>
      <c r="S874" s="167"/>
      <c r="T874" s="167"/>
      <c r="U874" s="167"/>
      <c r="V874" s="167"/>
      <c r="W874" s="167"/>
      <c r="X874" s="164"/>
      <c r="Y874" s="164"/>
      <c r="Z874" s="172"/>
      <c r="AA874" s="188"/>
      <c r="AB874" s="172"/>
      <c r="AC874" s="172"/>
      <c r="AD874" s="175"/>
      <c r="AE874" s="62" t="s">
        <v>115</v>
      </c>
      <c r="AF874" s="133"/>
      <c r="AG874" s="65"/>
      <c r="AH874" s="64"/>
      <c r="AI874" s="64"/>
      <c r="AJ874" s="64"/>
      <c r="AK874" s="64"/>
      <c r="AL874" s="64"/>
      <c r="AM874" s="80" t="str">
        <f>IFERROR((Tablas!$C$1*VLOOKUP(AH874, tipo_control, 2, 0)+Tablas!$E$1*VLOOKUP(AI874, nat_control, 2, 0)+Tablas!$G$1*VLOOKUP(AJ874, ev_control, 2, 0)+Tablas!$I$1*VLOOKUP(AK874, frec_control, 2, 0)+Tablas!$K$1*VLOOKUP(AL874, doc_control, 2, 0))*0.1*peso_dis, "")</f>
        <v/>
      </c>
      <c r="AN874" s="64"/>
      <c r="AO874" s="64"/>
      <c r="AP874" s="64"/>
      <c r="AQ874" s="80" t="str">
        <f>IFERROR((Tablas!$C$9*VLOOKUP(AN874, amb_control, 2, 0)+Tablas!$E$9*VLOOKUP(AO874, ejec_control, 2, 0)+Tablas!$G$9*VLOOKUP(AP874, cub_control, 2, 0))*0.1*peso_ejec, "")</f>
        <v/>
      </c>
      <c r="AR874" s="91" t="str">
        <f t="shared" si="1497"/>
        <v/>
      </c>
      <c r="AS874" s="85" t="str">
        <f t="shared" si="1481"/>
        <v/>
      </c>
      <c r="AT874" s="85" t="str">
        <f t="shared" si="1482"/>
        <v/>
      </c>
      <c r="AU874" s="85" t="str">
        <f>IF(AR874&lt;Tablas!$G$19, 0, IF(AND(AR874&gt;=Tablas!$G$19, AR874&lt;Tablas!$G$20), 1,  IF(AND(AR874&gt;=Tablas!$G$20, AR874&lt;Tablas!$G$21), 2,  IF(AND(AR874&gt;=Tablas!$G$21, AR874&lt;=Tablas!$G$22), 3,  ""))))</f>
        <v/>
      </c>
      <c r="AV874" s="85" t="str">
        <f t="shared" si="1498"/>
        <v/>
      </c>
      <c r="AW874" s="101" t="str">
        <f t="shared" si="1499"/>
        <v/>
      </c>
      <c r="AX874" s="177"/>
      <c r="AY874" s="169"/>
      <c r="AZ874" s="158"/>
      <c r="BA874" s="169"/>
      <c r="BB874" s="182"/>
      <c r="BC874" s="182"/>
      <c r="BD874" s="185"/>
      <c r="BE874" s="185"/>
      <c r="BF874" s="158" t="str">
        <f t="shared" si="1519"/>
        <v/>
      </c>
      <c r="BG874" s="191"/>
    </row>
    <row r="875" spans="1:59" x14ac:dyDescent="0.25">
      <c r="A875" s="167"/>
      <c r="B875" s="167"/>
      <c r="C875" s="161"/>
      <c r="D875" s="160"/>
      <c r="E875" s="162"/>
      <c r="F875" s="164"/>
      <c r="G875" s="161"/>
      <c r="H875" s="161"/>
      <c r="I875" s="161"/>
      <c r="J875" s="161"/>
      <c r="K875" s="161"/>
      <c r="L875" s="166"/>
      <c r="M875" s="166"/>
      <c r="N875" s="166"/>
      <c r="O875" s="166"/>
      <c r="P875" s="166"/>
      <c r="Q875" s="166"/>
      <c r="R875" s="166"/>
      <c r="S875" s="167"/>
      <c r="T875" s="167"/>
      <c r="U875" s="167"/>
      <c r="V875" s="167"/>
      <c r="W875" s="167"/>
      <c r="X875" s="164"/>
      <c r="Y875" s="164"/>
      <c r="Z875" s="172"/>
      <c r="AA875" s="188"/>
      <c r="AB875" s="172"/>
      <c r="AC875" s="172"/>
      <c r="AD875" s="175"/>
      <c r="AE875" s="62" t="s">
        <v>153</v>
      </c>
      <c r="AF875" s="133"/>
      <c r="AG875" s="65"/>
      <c r="AH875" s="64"/>
      <c r="AI875" s="64"/>
      <c r="AJ875" s="64"/>
      <c r="AK875" s="64"/>
      <c r="AL875" s="64"/>
      <c r="AM875" s="80" t="str">
        <f>IFERROR((Tablas!$C$1*VLOOKUP(AH875, tipo_control, 2, 0)+Tablas!$E$1*VLOOKUP(AI875, nat_control, 2, 0)+Tablas!$G$1*VLOOKUP(AJ875, ev_control, 2, 0)+Tablas!$I$1*VLOOKUP(AK875, frec_control, 2, 0)+Tablas!$K$1*VLOOKUP(AL875, doc_control, 2, 0))*0.1*peso_dis, "")</f>
        <v/>
      </c>
      <c r="AN875" s="64"/>
      <c r="AO875" s="64"/>
      <c r="AP875" s="64"/>
      <c r="AQ875" s="80" t="str">
        <f>IFERROR((Tablas!$C$9*VLOOKUP(AN875, amb_control, 2, 0)+Tablas!$E$9*VLOOKUP(AO875, ejec_control, 2, 0)+Tablas!$G$9*VLOOKUP(AP875, cub_control, 2, 0))*0.1*peso_ejec, "")</f>
        <v/>
      </c>
      <c r="AR875" s="91" t="str">
        <f t="shared" si="1497"/>
        <v/>
      </c>
      <c r="AS875" s="85" t="str">
        <f t="shared" si="1481"/>
        <v/>
      </c>
      <c r="AT875" s="85" t="str">
        <f t="shared" si="1482"/>
        <v/>
      </c>
      <c r="AU875" s="85" t="str">
        <f>IF(AR875&lt;Tablas!$G$19, 0, IF(AND(AR875&gt;=Tablas!$G$19, AR875&lt;Tablas!$G$20), 1,  IF(AND(AR875&gt;=Tablas!$G$20, AR875&lt;Tablas!$G$21), 2,  IF(AND(AR875&gt;=Tablas!$G$21, AR875&lt;=Tablas!$G$22), 3,  ""))))</f>
        <v/>
      </c>
      <c r="AV875" s="85" t="str">
        <f t="shared" si="1498"/>
        <v/>
      </c>
      <c r="AW875" s="101" t="str">
        <f t="shared" si="1499"/>
        <v/>
      </c>
      <c r="AX875" s="177"/>
      <c r="AY875" s="169"/>
      <c r="AZ875" s="158"/>
      <c r="BA875" s="169"/>
      <c r="BB875" s="182"/>
      <c r="BC875" s="182"/>
      <c r="BD875" s="185"/>
      <c r="BE875" s="185"/>
      <c r="BF875" s="158"/>
      <c r="BG875" s="191"/>
    </row>
    <row r="876" spans="1:59" ht="15.75" thickBot="1" x14ac:dyDescent="0.3">
      <c r="A876" s="167"/>
      <c r="B876" s="167"/>
      <c r="C876" s="161"/>
      <c r="D876" s="160"/>
      <c r="E876" s="162"/>
      <c r="F876" s="165"/>
      <c r="G876" s="161"/>
      <c r="H876" s="161"/>
      <c r="I876" s="161"/>
      <c r="J876" s="161"/>
      <c r="K876" s="161"/>
      <c r="L876" s="166"/>
      <c r="M876" s="166"/>
      <c r="N876" s="166"/>
      <c r="O876" s="166"/>
      <c r="P876" s="166"/>
      <c r="Q876" s="166"/>
      <c r="R876" s="166"/>
      <c r="S876" s="149"/>
      <c r="T876" s="149"/>
      <c r="U876" s="149"/>
      <c r="V876" s="149"/>
      <c r="W876" s="149"/>
      <c r="X876" s="165"/>
      <c r="Y876" s="165"/>
      <c r="Z876" s="172"/>
      <c r="AA876" s="188"/>
      <c r="AB876" s="172"/>
      <c r="AC876" s="172"/>
      <c r="AD876" s="175"/>
      <c r="AE876" s="66" t="s">
        <v>154</v>
      </c>
      <c r="AF876" s="134"/>
      <c r="AG876" s="67"/>
      <c r="AH876" s="69"/>
      <c r="AI876" s="69"/>
      <c r="AJ876" s="69"/>
      <c r="AK876" s="69"/>
      <c r="AL876" s="69"/>
      <c r="AM876" s="81" t="str">
        <f>IFERROR((Tablas!$C$1*VLOOKUP(AH876, tipo_control, 2, 0)+Tablas!$E$1*VLOOKUP(AI876, nat_control, 2, 0)+Tablas!$G$1*VLOOKUP(AJ876, ev_control, 2, 0)+Tablas!$I$1*VLOOKUP(AK876, frec_control, 2, 0)+Tablas!$K$1*VLOOKUP(AL876, doc_control, 2, 0))*0.1*peso_dis, "")</f>
        <v/>
      </c>
      <c r="AN876" s="69"/>
      <c r="AO876" s="69"/>
      <c r="AP876" s="69"/>
      <c r="AQ876" s="81" t="str">
        <f>IFERROR((Tablas!$C$9*VLOOKUP(AN876, amb_control, 2, 0)+Tablas!$E$9*VLOOKUP(AO876, ejec_control, 2, 0)+Tablas!$G$9*VLOOKUP(AP876, cub_control, 2, 0))*0.1*peso_ejec, "")</f>
        <v/>
      </c>
      <c r="AR876" s="93" t="str">
        <f t="shared" si="1497"/>
        <v/>
      </c>
      <c r="AS876" s="94" t="str">
        <f t="shared" si="1481"/>
        <v/>
      </c>
      <c r="AT876" s="94" t="str">
        <f t="shared" si="1482"/>
        <v/>
      </c>
      <c r="AU876" s="94" t="str">
        <f>IF(AR876&lt;Tablas!$G$19, 0, IF(AND(AR876&gt;=Tablas!$G$19, AR876&lt;Tablas!$G$20), 1,  IF(AND(AR876&gt;=Tablas!$G$20, AR876&lt;Tablas!$G$21), 2,  IF(AND(AR876&gt;=Tablas!$G$21, AR876&lt;=Tablas!$G$22), 3,  ""))))</f>
        <v/>
      </c>
      <c r="AV876" s="94" t="str">
        <f t="shared" si="1498"/>
        <v/>
      </c>
      <c r="AW876" s="102" t="str">
        <f t="shared" si="1499"/>
        <v/>
      </c>
      <c r="AX876" s="157"/>
      <c r="AY876" s="170"/>
      <c r="AZ876" s="179"/>
      <c r="BA876" s="170"/>
      <c r="BB876" s="182"/>
      <c r="BC876" s="182"/>
      <c r="BD876" s="185"/>
      <c r="BE876" s="185"/>
      <c r="BF876" s="159"/>
      <c r="BG876" s="191"/>
    </row>
    <row r="877" spans="1:59" x14ac:dyDescent="0.25">
      <c r="A877" s="167"/>
      <c r="B877" s="167"/>
      <c r="C877" s="161" t="s">
        <v>19</v>
      </c>
      <c r="D877" s="160" t="s">
        <v>158</v>
      </c>
      <c r="E877" s="162"/>
      <c r="F877" s="163" t="str">
        <f t="shared" si="1483"/>
        <v/>
      </c>
      <c r="G877" s="149"/>
      <c r="H877" s="149"/>
      <c r="I877" s="149"/>
      <c r="J877" s="149"/>
      <c r="K877" s="149"/>
      <c r="L877" s="165" t="str">
        <f t="shared" ref="L877" si="1520">IFERROR(VLOOKUP(G877, tabla02, 2, 0), "")</f>
        <v/>
      </c>
      <c r="M877" s="165" t="str">
        <f t="shared" ref="M877" si="1521">IFERROR(VLOOKUP(H877, tabla02, 2, 0), "")</f>
        <v/>
      </c>
      <c r="N877" s="165" t="str">
        <f t="shared" ref="N877" si="1522">IFERROR(VLOOKUP(I877, tabla02, 2, 0), "")</f>
        <v/>
      </c>
      <c r="O877" s="165" t="str">
        <f t="shared" ref="O877" si="1523">IFERROR(VLOOKUP(J877, tabla02, 2, 0), "")</f>
        <v/>
      </c>
      <c r="P877" s="165" t="str">
        <f t="shared" ref="P877" si="1524">IFERROR(VLOOKUP(K877, tabla02, 2, 0), "")</f>
        <v/>
      </c>
      <c r="Q877" s="165" t="str">
        <f t="shared" ref="Q877" si="1525">IF(SUM(L877:O881)=0, "", MAX(L877:P877))</f>
        <v/>
      </c>
      <c r="R877" s="165" t="str">
        <f>IFERROR(VLOOKUP(Q877, tabla04, 3, 0), "")</f>
        <v/>
      </c>
      <c r="S877" s="148"/>
      <c r="T877" s="148"/>
      <c r="U877" s="148"/>
      <c r="V877" s="148"/>
      <c r="W877" s="148"/>
      <c r="X877" s="163" t="str">
        <f>IFERROR(VLOOKUP(CONCATENATE(F877, "-", Q877), cuadrante_sev, 3, 0), "")</f>
        <v/>
      </c>
      <c r="Y877" s="163" t="str">
        <f t="shared" ref="Y877" si="1526">IFERROR(IF(X877="Baja", 1, IF(X877="Moderada", 2, IF(X877="Alta", 3, IF(X877="Extrema", 4, "")))), "")</f>
        <v/>
      </c>
      <c r="Z877" s="172"/>
      <c r="AA877" s="188"/>
      <c r="AB877" s="172"/>
      <c r="AC877" s="172"/>
      <c r="AD877" s="175"/>
      <c r="AE877" s="70" t="s">
        <v>113</v>
      </c>
      <c r="AF877" s="135"/>
      <c r="AG877" s="74"/>
      <c r="AH877" s="72"/>
      <c r="AI877" s="72"/>
      <c r="AJ877" s="72"/>
      <c r="AK877" s="72"/>
      <c r="AL877" s="72"/>
      <c r="AM877" s="82" t="str">
        <f>IFERROR((Tablas!$C$1*VLOOKUP(AH877, tipo_control, 2, 0)+Tablas!$E$1*VLOOKUP(AI877, nat_control, 2, 0)+Tablas!$G$1*VLOOKUP(AJ877, ev_control, 2, 0)+Tablas!$I$1*VLOOKUP(AK877, frec_control, 2, 0)+Tablas!$K$1*VLOOKUP(AL877, doc_control, 2, 0))*0.1*peso_dis, "")</f>
        <v/>
      </c>
      <c r="AN877" s="72"/>
      <c r="AO877" s="72"/>
      <c r="AP877" s="72"/>
      <c r="AQ877" s="82" t="str">
        <f>IFERROR((Tablas!$C$9*VLOOKUP(AN877, amb_control, 2, 0)+Tablas!$E$9*VLOOKUP(AO877, ejec_control, 2, 0)+Tablas!$G$9*VLOOKUP(AP877, cub_control, 2, 0))*0.1*peso_ejec, "")</f>
        <v/>
      </c>
      <c r="AR877" s="96" t="str">
        <f t="shared" si="1497"/>
        <v/>
      </c>
      <c r="AS877" s="97" t="str">
        <f t="shared" si="1481"/>
        <v/>
      </c>
      <c r="AT877" s="87" t="str">
        <f t="shared" si="1482"/>
        <v/>
      </c>
      <c r="AU877" s="97" t="str">
        <f>IF(AR877&lt;Tablas!$G$19, 0, IF(AND(AR877&gt;=Tablas!$G$19, AR877&lt;Tablas!$G$20), 1,  IF(AND(AR877&gt;=Tablas!$G$20, AR877&lt;Tablas!$G$21), 2,  IF(AND(AR877&gt;=Tablas!$G$21, AR877&lt;=Tablas!$G$22), 3,  ""))))</f>
        <v/>
      </c>
      <c r="AV877" s="97" t="str">
        <f t="shared" si="1498"/>
        <v/>
      </c>
      <c r="AW877" s="103" t="str">
        <f t="shared" si="1499"/>
        <v/>
      </c>
      <c r="AX877" s="176" t="str">
        <f t="shared" ref="AX877" si="1527">IFERROR(VLOOKUP(AY877, tabla04, 2, 0), "")</f>
        <v/>
      </c>
      <c r="AY877" s="168" t="str">
        <f>IF(F877="", "", IF((F877-MAX(AV877:AV881))&lt;=0, 1, F877-MAX(AV877:AV881)))</f>
        <v/>
      </c>
      <c r="AZ877" s="178" t="str">
        <f t="shared" ref="AZ877" si="1528">IFERROR(VLOOKUP(BA877, tabla04, 3, 0), "")</f>
        <v/>
      </c>
      <c r="BA877" s="168" t="str">
        <f>IF(Q877="", "", IF((Q877-MAX(AW877:AW881))&lt;=0, 1, Q877-MAX(AW877:AW881)))</f>
        <v/>
      </c>
      <c r="BB877" s="182"/>
      <c r="BC877" s="182"/>
      <c r="BD877" s="185"/>
      <c r="BE877" s="185"/>
      <c r="BF877" s="158" t="str">
        <f t="shared" ref="BF877:BF879" si="1529">IFERROR(VLOOKUP(CONCATENATE(AY877, "-", BA877), cuadrante_sev, 3, 0), "")</f>
        <v/>
      </c>
      <c r="BG877" s="191"/>
    </row>
    <row r="878" spans="1:59" x14ac:dyDescent="0.25">
      <c r="A878" s="167"/>
      <c r="B878" s="167"/>
      <c r="C878" s="161"/>
      <c r="D878" s="160"/>
      <c r="E878" s="162"/>
      <c r="F878" s="164"/>
      <c r="G878" s="161"/>
      <c r="H878" s="161"/>
      <c r="I878" s="161"/>
      <c r="J878" s="161"/>
      <c r="K878" s="161"/>
      <c r="L878" s="166"/>
      <c r="M878" s="166"/>
      <c r="N878" s="166"/>
      <c r="O878" s="166"/>
      <c r="P878" s="166"/>
      <c r="Q878" s="166"/>
      <c r="R878" s="166"/>
      <c r="S878" s="167"/>
      <c r="T878" s="167"/>
      <c r="U878" s="167"/>
      <c r="V878" s="167"/>
      <c r="W878" s="167"/>
      <c r="X878" s="164"/>
      <c r="Y878" s="164"/>
      <c r="Z878" s="172"/>
      <c r="AA878" s="188"/>
      <c r="AB878" s="172"/>
      <c r="AC878" s="172"/>
      <c r="AD878" s="175"/>
      <c r="AE878" s="62" t="s">
        <v>114</v>
      </c>
      <c r="AF878" s="133"/>
      <c r="AG878" s="65"/>
      <c r="AH878" s="64"/>
      <c r="AI878" s="64"/>
      <c r="AJ878" s="64"/>
      <c r="AK878" s="64"/>
      <c r="AL878" s="64"/>
      <c r="AM878" s="80" t="str">
        <f>IFERROR((Tablas!$C$1*VLOOKUP(AH878, tipo_control, 2, 0)+Tablas!$E$1*VLOOKUP(AI878, nat_control, 2, 0)+Tablas!$G$1*VLOOKUP(AJ878, ev_control, 2, 0)+Tablas!$I$1*VLOOKUP(AK878, frec_control, 2, 0)+Tablas!$K$1*VLOOKUP(AL878, doc_control, 2, 0))*0.1*peso_dis, "")</f>
        <v/>
      </c>
      <c r="AN878" s="64"/>
      <c r="AO878" s="64"/>
      <c r="AP878" s="64"/>
      <c r="AQ878" s="80" t="str">
        <f>IFERROR((Tablas!$C$9*VLOOKUP(AN878, amb_control, 2, 0)+Tablas!$E$9*VLOOKUP(AO878, ejec_control, 2, 0)+Tablas!$G$9*VLOOKUP(AP878, cub_control, 2, 0))*0.1*peso_ejec, "")</f>
        <v/>
      </c>
      <c r="AR878" s="91" t="str">
        <f t="shared" si="1497"/>
        <v/>
      </c>
      <c r="AS878" s="85" t="str">
        <f t="shared" si="1481"/>
        <v/>
      </c>
      <c r="AT878" s="85" t="str">
        <f t="shared" si="1482"/>
        <v/>
      </c>
      <c r="AU878" s="85" t="str">
        <f>IF(AR878&lt;Tablas!$G$19, 0, IF(AND(AR878&gt;=Tablas!$G$19, AR878&lt;Tablas!$G$20), 1,  IF(AND(AR878&gt;=Tablas!$G$20, AR878&lt;Tablas!$G$21), 2,  IF(AND(AR878&gt;=Tablas!$G$21, AR878&lt;=Tablas!$G$22), 3,  ""))))</f>
        <v/>
      </c>
      <c r="AV878" s="85" t="str">
        <f t="shared" si="1498"/>
        <v/>
      </c>
      <c r="AW878" s="101" t="str">
        <f t="shared" si="1499"/>
        <v/>
      </c>
      <c r="AX878" s="177"/>
      <c r="AY878" s="169"/>
      <c r="AZ878" s="158"/>
      <c r="BA878" s="169"/>
      <c r="BB878" s="182"/>
      <c r="BC878" s="182"/>
      <c r="BD878" s="185"/>
      <c r="BE878" s="185"/>
      <c r="BF878" s="158" t="str">
        <f t="shared" si="1529"/>
        <v/>
      </c>
      <c r="BG878" s="191"/>
    </row>
    <row r="879" spans="1:59" x14ac:dyDescent="0.25">
      <c r="A879" s="167"/>
      <c r="B879" s="167"/>
      <c r="C879" s="161"/>
      <c r="D879" s="160"/>
      <c r="E879" s="162"/>
      <c r="F879" s="164"/>
      <c r="G879" s="161"/>
      <c r="H879" s="161"/>
      <c r="I879" s="161"/>
      <c r="J879" s="161"/>
      <c r="K879" s="161"/>
      <c r="L879" s="166"/>
      <c r="M879" s="166"/>
      <c r="N879" s="166"/>
      <c r="O879" s="166"/>
      <c r="P879" s="166"/>
      <c r="Q879" s="166"/>
      <c r="R879" s="166"/>
      <c r="S879" s="167"/>
      <c r="T879" s="167"/>
      <c r="U879" s="167"/>
      <c r="V879" s="167"/>
      <c r="W879" s="167"/>
      <c r="X879" s="164"/>
      <c r="Y879" s="164"/>
      <c r="Z879" s="172"/>
      <c r="AA879" s="188"/>
      <c r="AB879" s="172"/>
      <c r="AC879" s="172"/>
      <c r="AD879" s="175"/>
      <c r="AE879" s="62" t="s">
        <v>115</v>
      </c>
      <c r="AF879" s="133"/>
      <c r="AG879" s="65"/>
      <c r="AH879" s="64"/>
      <c r="AI879" s="64"/>
      <c r="AJ879" s="64"/>
      <c r="AK879" s="64"/>
      <c r="AL879" s="64"/>
      <c r="AM879" s="80" t="str">
        <f>IFERROR((Tablas!$C$1*VLOOKUP(AH879, tipo_control, 2, 0)+Tablas!$E$1*VLOOKUP(AI879, nat_control, 2, 0)+Tablas!$G$1*VLOOKUP(AJ879, ev_control, 2, 0)+Tablas!$I$1*VLOOKUP(AK879, frec_control, 2, 0)+Tablas!$K$1*VLOOKUP(AL879, doc_control, 2, 0))*0.1*peso_dis, "")</f>
        <v/>
      </c>
      <c r="AN879" s="64"/>
      <c r="AO879" s="64"/>
      <c r="AP879" s="64"/>
      <c r="AQ879" s="80" t="str">
        <f>IFERROR((Tablas!$C$9*VLOOKUP(AN879, amb_control, 2, 0)+Tablas!$E$9*VLOOKUP(AO879, ejec_control, 2, 0)+Tablas!$G$9*VLOOKUP(AP879, cub_control, 2, 0))*0.1*peso_ejec, "")</f>
        <v/>
      </c>
      <c r="AR879" s="91" t="str">
        <f t="shared" si="1497"/>
        <v/>
      </c>
      <c r="AS879" s="85" t="str">
        <f t="shared" si="1481"/>
        <v/>
      </c>
      <c r="AT879" s="85" t="str">
        <f t="shared" si="1482"/>
        <v/>
      </c>
      <c r="AU879" s="85" t="str">
        <f>IF(AR879&lt;Tablas!$G$19, 0, IF(AND(AR879&gt;=Tablas!$G$19, AR879&lt;Tablas!$G$20), 1,  IF(AND(AR879&gt;=Tablas!$G$20, AR879&lt;Tablas!$G$21), 2,  IF(AND(AR879&gt;=Tablas!$G$21, AR879&lt;=Tablas!$G$22), 3,  ""))))</f>
        <v/>
      </c>
      <c r="AV879" s="85" t="str">
        <f t="shared" si="1498"/>
        <v/>
      </c>
      <c r="AW879" s="101" t="str">
        <f t="shared" si="1499"/>
        <v/>
      </c>
      <c r="AX879" s="177"/>
      <c r="AY879" s="169"/>
      <c r="AZ879" s="158"/>
      <c r="BA879" s="169"/>
      <c r="BB879" s="182"/>
      <c r="BC879" s="182"/>
      <c r="BD879" s="185"/>
      <c r="BE879" s="185"/>
      <c r="BF879" s="158" t="str">
        <f t="shared" si="1529"/>
        <v/>
      </c>
      <c r="BG879" s="191"/>
    </row>
    <row r="880" spans="1:59" x14ac:dyDescent="0.25">
      <c r="A880" s="167"/>
      <c r="B880" s="167"/>
      <c r="C880" s="161"/>
      <c r="D880" s="160"/>
      <c r="E880" s="162"/>
      <c r="F880" s="164"/>
      <c r="G880" s="161"/>
      <c r="H880" s="161"/>
      <c r="I880" s="161"/>
      <c r="J880" s="161"/>
      <c r="K880" s="161"/>
      <c r="L880" s="166"/>
      <c r="M880" s="166"/>
      <c r="N880" s="166"/>
      <c r="O880" s="166"/>
      <c r="P880" s="166"/>
      <c r="Q880" s="166"/>
      <c r="R880" s="166"/>
      <c r="S880" s="167"/>
      <c r="T880" s="167"/>
      <c r="U880" s="167"/>
      <c r="V880" s="167"/>
      <c r="W880" s="167"/>
      <c r="X880" s="164"/>
      <c r="Y880" s="164"/>
      <c r="Z880" s="172"/>
      <c r="AA880" s="188"/>
      <c r="AB880" s="172"/>
      <c r="AC880" s="172"/>
      <c r="AD880" s="175"/>
      <c r="AE880" s="62" t="s">
        <v>153</v>
      </c>
      <c r="AF880" s="133"/>
      <c r="AG880" s="65"/>
      <c r="AH880" s="64"/>
      <c r="AI880" s="64"/>
      <c r="AJ880" s="64"/>
      <c r="AK880" s="64"/>
      <c r="AL880" s="64"/>
      <c r="AM880" s="80" t="str">
        <f>IFERROR((Tablas!$C$1*VLOOKUP(AH880, tipo_control, 2, 0)+Tablas!$E$1*VLOOKUP(AI880, nat_control, 2, 0)+Tablas!$G$1*VLOOKUP(AJ880, ev_control, 2, 0)+Tablas!$I$1*VLOOKUP(AK880, frec_control, 2, 0)+Tablas!$K$1*VLOOKUP(AL880, doc_control, 2, 0))*0.1*peso_dis, "")</f>
        <v/>
      </c>
      <c r="AN880" s="64"/>
      <c r="AO880" s="64"/>
      <c r="AP880" s="64"/>
      <c r="AQ880" s="80" t="str">
        <f>IFERROR((Tablas!$C$9*VLOOKUP(AN880, amb_control, 2, 0)+Tablas!$E$9*VLOOKUP(AO880, ejec_control, 2, 0)+Tablas!$G$9*VLOOKUP(AP880, cub_control, 2, 0))*0.1*peso_ejec, "")</f>
        <v/>
      </c>
      <c r="AR880" s="91" t="str">
        <f t="shared" si="1497"/>
        <v/>
      </c>
      <c r="AS880" s="85" t="str">
        <f t="shared" si="1481"/>
        <v/>
      </c>
      <c r="AT880" s="85" t="str">
        <f t="shared" si="1482"/>
        <v/>
      </c>
      <c r="AU880" s="85" t="str">
        <f>IF(AR880&lt;Tablas!$G$19, 0, IF(AND(AR880&gt;=Tablas!$G$19, AR880&lt;Tablas!$G$20), 1,  IF(AND(AR880&gt;=Tablas!$G$20, AR880&lt;Tablas!$G$21), 2,  IF(AND(AR880&gt;=Tablas!$G$21, AR880&lt;=Tablas!$G$22), 3,  ""))))</f>
        <v/>
      </c>
      <c r="AV880" s="85" t="str">
        <f t="shared" si="1498"/>
        <v/>
      </c>
      <c r="AW880" s="101" t="str">
        <f t="shared" si="1499"/>
        <v/>
      </c>
      <c r="AX880" s="177"/>
      <c r="AY880" s="169"/>
      <c r="AZ880" s="158"/>
      <c r="BA880" s="169"/>
      <c r="BB880" s="182"/>
      <c r="BC880" s="182"/>
      <c r="BD880" s="185"/>
      <c r="BE880" s="185"/>
      <c r="BF880" s="158"/>
      <c r="BG880" s="191"/>
    </row>
    <row r="881" spans="1:59" ht="15.75" thickBot="1" x14ac:dyDescent="0.3">
      <c r="A881" s="167"/>
      <c r="B881" s="167"/>
      <c r="C881" s="161"/>
      <c r="D881" s="160"/>
      <c r="E881" s="162"/>
      <c r="F881" s="165"/>
      <c r="G881" s="161"/>
      <c r="H881" s="161"/>
      <c r="I881" s="161"/>
      <c r="J881" s="161"/>
      <c r="K881" s="161"/>
      <c r="L881" s="166"/>
      <c r="M881" s="166"/>
      <c r="N881" s="166"/>
      <c r="O881" s="166"/>
      <c r="P881" s="166"/>
      <c r="Q881" s="166"/>
      <c r="R881" s="166"/>
      <c r="S881" s="149"/>
      <c r="T881" s="149"/>
      <c r="U881" s="149"/>
      <c r="V881" s="149"/>
      <c r="W881" s="149"/>
      <c r="X881" s="165"/>
      <c r="Y881" s="165"/>
      <c r="Z881" s="172"/>
      <c r="AA881" s="188"/>
      <c r="AB881" s="172"/>
      <c r="AC881" s="172"/>
      <c r="AD881" s="175"/>
      <c r="AE881" s="66" t="s">
        <v>154</v>
      </c>
      <c r="AF881" s="134"/>
      <c r="AG881" s="67"/>
      <c r="AH881" s="69"/>
      <c r="AI881" s="69"/>
      <c r="AJ881" s="69"/>
      <c r="AK881" s="69"/>
      <c r="AL881" s="69"/>
      <c r="AM881" s="81" t="str">
        <f>IFERROR((Tablas!$C$1*VLOOKUP(AH881, tipo_control, 2, 0)+Tablas!$E$1*VLOOKUP(AI881, nat_control, 2, 0)+Tablas!$G$1*VLOOKUP(AJ881, ev_control, 2, 0)+Tablas!$I$1*VLOOKUP(AK881, frec_control, 2, 0)+Tablas!$K$1*VLOOKUP(AL881, doc_control, 2, 0))*0.1*peso_dis, "")</f>
        <v/>
      </c>
      <c r="AN881" s="69"/>
      <c r="AO881" s="69"/>
      <c r="AP881" s="69"/>
      <c r="AQ881" s="81" t="str">
        <f>IFERROR((Tablas!$C$9*VLOOKUP(AN881, amb_control, 2, 0)+Tablas!$E$9*VLOOKUP(AO881, ejec_control, 2, 0)+Tablas!$G$9*VLOOKUP(AP881, cub_control, 2, 0))*0.1*peso_ejec, "")</f>
        <v/>
      </c>
      <c r="AR881" s="93" t="str">
        <f t="shared" si="1497"/>
        <v/>
      </c>
      <c r="AS881" s="94" t="str">
        <f t="shared" si="1481"/>
        <v/>
      </c>
      <c r="AT881" s="94" t="str">
        <f t="shared" si="1482"/>
        <v/>
      </c>
      <c r="AU881" s="94" t="str">
        <f>IF(AR881&lt;Tablas!$G$19, 0, IF(AND(AR881&gt;=Tablas!$G$19, AR881&lt;Tablas!$G$20), 1,  IF(AND(AR881&gt;=Tablas!$G$20, AR881&lt;Tablas!$G$21), 2,  IF(AND(AR881&gt;=Tablas!$G$21, AR881&lt;=Tablas!$G$22), 3,  ""))))</f>
        <v/>
      </c>
      <c r="AV881" s="94" t="str">
        <f t="shared" si="1498"/>
        <v/>
      </c>
      <c r="AW881" s="102" t="str">
        <f t="shared" si="1499"/>
        <v/>
      </c>
      <c r="AX881" s="157"/>
      <c r="AY881" s="170"/>
      <c r="AZ881" s="179"/>
      <c r="BA881" s="170"/>
      <c r="BB881" s="182"/>
      <c r="BC881" s="182"/>
      <c r="BD881" s="185"/>
      <c r="BE881" s="185"/>
      <c r="BF881" s="159"/>
      <c r="BG881" s="191"/>
    </row>
    <row r="882" spans="1:59" x14ac:dyDescent="0.25">
      <c r="A882" s="167"/>
      <c r="B882" s="167"/>
      <c r="C882" s="161" t="s">
        <v>20</v>
      </c>
      <c r="D882" s="160" t="s">
        <v>158</v>
      </c>
      <c r="E882" s="162"/>
      <c r="F882" s="163" t="str">
        <f t="shared" si="1483"/>
        <v/>
      </c>
      <c r="G882" s="149"/>
      <c r="H882" s="149"/>
      <c r="I882" s="149"/>
      <c r="J882" s="149"/>
      <c r="K882" s="149"/>
      <c r="L882" s="165" t="str">
        <f t="shared" ref="L882" si="1530">IFERROR(VLOOKUP(G882, tabla02, 2, 0), "")</f>
        <v/>
      </c>
      <c r="M882" s="165" t="str">
        <f t="shared" ref="M882" si="1531">IFERROR(VLOOKUP(H882, tabla02, 2, 0), "")</f>
        <v/>
      </c>
      <c r="N882" s="165" t="str">
        <f t="shared" ref="N882" si="1532">IFERROR(VLOOKUP(I882, tabla02, 2, 0), "")</f>
        <v/>
      </c>
      <c r="O882" s="165" t="str">
        <f t="shared" ref="O882" si="1533">IFERROR(VLOOKUP(J882, tabla02, 2, 0), "")</f>
        <v/>
      </c>
      <c r="P882" s="165" t="str">
        <f t="shared" ref="P882" si="1534">IFERROR(VLOOKUP(K882, tabla02, 2, 0), "")</f>
        <v/>
      </c>
      <c r="Q882" s="165" t="str">
        <f t="shared" ref="Q882" si="1535">IF(SUM(L882:O886)=0, "", MAX(L882:P882))</f>
        <v/>
      </c>
      <c r="R882" s="165" t="str">
        <f>IFERROR(VLOOKUP(Q882, tabla04, 3, 0), "")</f>
        <v/>
      </c>
      <c r="S882" s="148"/>
      <c r="T882" s="148"/>
      <c r="U882" s="148"/>
      <c r="V882" s="148"/>
      <c r="W882" s="148"/>
      <c r="X882" s="163" t="str">
        <f>IFERROR(VLOOKUP(CONCATENATE(F882, "-", Q882), cuadrante_sev, 3, 0), "")</f>
        <v/>
      </c>
      <c r="Y882" s="163" t="str">
        <f t="shared" ref="Y882" si="1536">IFERROR(IF(X882="Baja", 1, IF(X882="Moderada", 2, IF(X882="Alta", 3, IF(X882="Extrema", 4, "")))), "")</f>
        <v/>
      </c>
      <c r="Z882" s="172"/>
      <c r="AA882" s="188"/>
      <c r="AB882" s="172"/>
      <c r="AC882" s="172"/>
      <c r="AD882" s="175"/>
      <c r="AE882" s="70" t="s">
        <v>113</v>
      </c>
      <c r="AF882" s="135"/>
      <c r="AG882" s="74"/>
      <c r="AH882" s="72"/>
      <c r="AI882" s="72"/>
      <c r="AJ882" s="72"/>
      <c r="AK882" s="72"/>
      <c r="AL882" s="72"/>
      <c r="AM882" s="82" t="str">
        <f>IFERROR((Tablas!$C$1*VLOOKUP(AH882, tipo_control, 2, 0)+Tablas!$E$1*VLOOKUP(AI882, nat_control, 2, 0)+Tablas!$G$1*VLOOKUP(AJ882, ev_control, 2, 0)+Tablas!$I$1*VLOOKUP(AK882, frec_control, 2, 0)+Tablas!$K$1*VLOOKUP(AL882, doc_control, 2, 0))*0.1*peso_dis, "")</f>
        <v/>
      </c>
      <c r="AN882" s="72"/>
      <c r="AO882" s="72"/>
      <c r="AP882" s="72"/>
      <c r="AQ882" s="82" t="str">
        <f>IFERROR((Tablas!$C$9*VLOOKUP(AN882, amb_control, 2, 0)+Tablas!$E$9*VLOOKUP(AO882, ejec_control, 2, 0)+Tablas!$G$9*VLOOKUP(AP882, cub_control, 2, 0))*0.1*peso_ejec, "")</f>
        <v/>
      </c>
      <c r="AR882" s="96" t="str">
        <f t="shared" si="1497"/>
        <v/>
      </c>
      <c r="AS882" s="97" t="str">
        <f t="shared" si="1481"/>
        <v/>
      </c>
      <c r="AT882" s="87" t="str">
        <f t="shared" si="1482"/>
        <v/>
      </c>
      <c r="AU882" s="97" t="str">
        <f>IF(AR882&lt;Tablas!$G$19, 0, IF(AND(AR882&gt;=Tablas!$G$19, AR882&lt;Tablas!$G$20), 1,  IF(AND(AR882&gt;=Tablas!$G$20, AR882&lt;Tablas!$G$21), 2,  IF(AND(AR882&gt;=Tablas!$G$21, AR882&lt;=Tablas!$G$22), 3,  ""))))</f>
        <v/>
      </c>
      <c r="AV882" s="97" t="str">
        <f t="shared" si="1498"/>
        <v/>
      </c>
      <c r="AW882" s="103" t="str">
        <f t="shared" si="1499"/>
        <v/>
      </c>
      <c r="AX882" s="176" t="str">
        <f t="shared" ref="AX882" si="1537">IFERROR(VLOOKUP(AY882, tabla04, 2, 0), "")</f>
        <v/>
      </c>
      <c r="AY882" s="168" t="str">
        <f>IF(F882="", "", IF((F882-MAX(AV882:AV886))&lt;=0, 1, F882-MAX(AV882:AV886)))</f>
        <v/>
      </c>
      <c r="AZ882" s="178" t="str">
        <f t="shared" ref="AZ882" si="1538">IFERROR(VLOOKUP(BA882, tabla04, 3, 0), "")</f>
        <v/>
      </c>
      <c r="BA882" s="168" t="str">
        <f>IF(Q882="", "", IF((Q882-MAX(AW882:AW886))&lt;=0, 1, Q882-MAX(AW882:AW886)))</f>
        <v/>
      </c>
      <c r="BB882" s="182"/>
      <c r="BC882" s="182"/>
      <c r="BD882" s="185"/>
      <c r="BE882" s="185"/>
      <c r="BF882" s="158" t="str">
        <f t="shared" ref="BF882:BF884" si="1539">IFERROR(VLOOKUP(CONCATENATE(AY882, "-", BA882), cuadrante_sev, 3, 0), "")</f>
        <v/>
      </c>
      <c r="BG882" s="191"/>
    </row>
    <row r="883" spans="1:59" x14ac:dyDescent="0.25">
      <c r="A883" s="167"/>
      <c r="B883" s="167"/>
      <c r="C883" s="161"/>
      <c r="D883" s="160"/>
      <c r="E883" s="162"/>
      <c r="F883" s="164"/>
      <c r="G883" s="161"/>
      <c r="H883" s="161"/>
      <c r="I883" s="161"/>
      <c r="J883" s="161"/>
      <c r="K883" s="161"/>
      <c r="L883" s="166"/>
      <c r="M883" s="166"/>
      <c r="N883" s="166"/>
      <c r="O883" s="166"/>
      <c r="P883" s="166"/>
      <c r="Q883" s="166"/>
      <c r="R883" s="166"/>
      <c r="S883" s="167"/>
      <c r="T883" s="167"/>
      <c r="U883" s="167"/>
      <c r="V883" s="167"/>
      <c r="W883" s="167"/>
      <c r="X883" s="164"/>
      <c r="Y883" s="164"/>
      <c r="Z883" s="172"/>
      <c r="AA883" s="188"/>
      <c r="AB883" s="172"/>
      <c r="AC883" s="172"/>
      <c r="AD883" s="175"/>
      <c r="AE883" s="62" t="s">
        <v>114</v>
      </c>
      <c r="AF883" s="133"/>
      <c r="AG883" s="65"/>
      <c r="AH883" s="64"/>
      <c r="AI883" s="64"/>
      <c r="AJ883" s="64"/>
      <c r="AK883" s="64"/>
      <c r="AL883" s="64"/>
      <c r="AM883" s="80" t="str">
        <f>IFERROR((Tablas!$C$1*VLOOKUP(AH883, tipo_control, 2, 0)+Tablas!$E$1*VLOOKUP(AI883, nat_control, 2, 0)+Tablas!$G$1*VLOOKUP(AJ883, ev_control, 2, 0)+Tablas!$I$1*VLOOKUP(AK883, frec_control, 2, 0)+Tablas!$K$1*VLOOKUP(AL883, doc_control, 2, 0))*0.1*peso_dis, "")</f>
        <v/>
      </c>
      <c r="AN883" s="64"/>
      <c r="AO883" s="64"/>
      <c r="AP883" s="64"/>
      <c r="AQ883" s="80" t="str">
        <f>IFERROR((Tablas!$C$9*VLOOKUP(AN883, amb_control, 2, 0)+Tablas!$E$9*VLOOKUP(AO883, ejec_control, 2, 0)+Tablas!$G$9*VLOOKUP(AP883, cub_control, 2, 0))*0.1*peso_ejec, "")</f>
        <v/>
      </c>
      <c r="AR883" s="91" t="str">
        <f t="shared" si="1497"/>
        <v/>
      </c>
      <c r="AS883" s="85" t="str">
        <f t="shared" si="1481"/>
        <v/>
      </c>
      <c r="AT883" s="85" t="str">
        <f t="shared" si="1482"/>
        <v/>
      </c>
      <c r="AU883" s="85" t="str">
        <f>IF(AR883&lt;Tablas!$G$19, 0, IF(AND(AR883&gt;=Tablas!$G$19, AR883&lt;Tablas!$G$20), 1,  IF(AND(AR883&gt;=Tablas!$G$20, AR883&lt;Tablas!$G$21), 2,  IF(AND(AR883&gt;=Tablas!$G$21, AR883&lt;=Tablas!$G$22), 3,  ""))))</f>
        <v/>
      </c>
      <c r="AV883" s="85" t="str">
        <f t="shared" si="1498"/>
        <v/>
      </c>
      <c r="AW883" s="101" t="str">
        <f t="shared" si="1499"/>
        <v/>
      </c>
      <c r="AX883" s="177"/>
      <c r="AY883" s="169"/>
      <c r="AZ883" s="158"/>
      <c r="BA883" s="169"/>
      <c r="BB883" s="182"/>
      <c r="BC883" s="182"/>
      <c r="BD883" s="185"/>
      <c r="BE883" s="185"/>
      <c r="BF883" s="158" t="str">
        <f t="shared" si="1539"/>
        <v/>
      </c>
      <c r="BG883" s="191"/>
    </row>
    <row r="884" spans="1:59" x14ac:dyDescent="0.25">
      <c r="A884" s="167"/>
      <c r="B884" s="167"/>
      <c r="C884" s="161"/>
      <c r="D884" s="160"/>
      <c r="E884" s="162"/>
      <c r="F884" s="164"/>
      <c r="G884" s="161"/>
      <c r="H884" s="161"/>
      <c r="I884" s="161"/>
      <c r="J884" s="161"/>
      <c r="K884" s="161"/>
      <c r="L884" s="166"/>
      <c r="M884" s="166"/>
      <c r="N884" s="166"/>
      <c r="O884" s="166"/>
      <c r="P884" s="166"/>
      <c r="Q884" s="166"/>
      <c r="R884" s="166"/>
      <c r="S884" s="167"/>
      <c r="T884" s="167"/>
      <c r="U884" s="167"/>
      <c r="V884" s="167"/>
      <c r="W884" s="167"/>
      <c r="X884" s="164"/>
      <c r="Y884" s="164"/>
      <c r="Z884" s="172"/>
      <c r="AA884" s="188"/>
      <c r="AB884" s="172"/>
      <c r="AC884" s="172"/>
      <c r="AD884" s="175"/>
      <c r="AE884" s="62" t="s">
        <v>115</v>
      </c>
      <c r="AF884" s="133"/>
      <c r="AG884" s="65"/>
      <c r="AH884" s="64"/>
      <c r="AI884" s="64"/>
      <c r="AJ884" s="64"/>
      <c r="AK884" s="64"/>
      <c r="AL884" s="64"/>
      <c r="AM884" s="80" t="str">
        <f>IFERROR((Tablas!$C$1*VLOOKUP(AH884, tipo_control, 2, 0)+Tablas!$E$1*VLOOKUP(AI884, nat_control, 2, 0)+Tablas!$G$1*VLOOKUP(AJ884, ev_control, 2, 0)+Tablas!$I$1*VLOOKUP(AK884, frec_control, 2, 0)+Tablas!$K$1*VLOOKUP(AL884, doc_control, 2, 0))*0.1*peso_dis, "")</f>
        <v/>
      </c>
      <c r="AN884" s="64"/>
      <c r="AO884" s="64"/>
      <c r="AP884" s="64"/>
      <c r="AQ884" s="80" t="str">
        <f>IFERROR((Tablas!$C$9*VLOOKUP(AN884, amb_control, 2, 0)+Tablas!$E$9*VLOOKUP(AO884, ejec_control, 2, 0)+Tablas!$G$9*VLOOKUP(AP884, cub_control, 2, 0))*0.1*peso_ejec, "")</f>
        <v/>
      </c>
      <c r="AR884" s="91" t="str">
        <f t="shared" si="1497"/>
        <v/>
      </c>
      <c r="AS884" s="85" t="str">
        <f t="shared" si="1481"/>
        <v/>
      </c>
      <c r="AT884" s="85" t="str">
        <f t="shared" si="1482"/>
        <v/>
      </c>
      <c r="AU884" s="85" t="str">
        <f>IF(AR884&lt;Tablas!$G$19, 0, IF(AND(AR884&gt;=Tablas!$G$19, AR884&lt;Tablas!$G$20), 1,  IF(AND(AR884&gt;=Tablas!$G$20, AR884&lt;Tablas!$G$21), 2,  IF(AND(AR884&gt;=Tablas!$G$21, AR884&lt;=Tablas!$G$22), 3,  ""))))</f>
        <v/>
      </c>
      <c r="AV884" s="85" t="str">
        <f t="shared" si="1498"/>
        <v/>
      </c>
      <c r="AW884" s="101" t="str">
        <f t="shared" si="1499"/>
        <v/>
      </c>
      <c r="AX884" s="177"/>
      <c r="AY884" s="169"/>
      <c r="AZ884" s="158"/>
      <c r="BA884" s="169"/>
      <c r="BB884" s="182"/>
      <c r="BC884" s="182"/>
      <c r="BD884" s="185"/>
      <c r="BE884" s="185"/>
      <c r="BF884" s="158" t="str">
        <f t="shared" si="1539"/>
        <v/>
      </c>
      <c r="BG884" s="191"/>
    </row>
    <row r="885" spans="1:59" x14ac:dyDescent="0.25">
      <c r="A885" s="167"/>
      <c r="B885" s="167"/>
      <c r="C885" s="161"/>
      <c r="D885" s="160"/>
      <c r="E885" s="162"/>
      <c r="F885" s="164"/>
      <c r="G885" s="161"/>
      <c r="H885" s="161"/>
      <c r="I885" s="161"/>
      <c r="J885" s="161"/>
      <c r="K885" s="161"/>
      <c r="L885" s="166"/>
      <c r="M885" s="166"/>
      <c r="N885" s="166"/>
      <c r="O885" s="166"/>
      <c r="P885" s="166"/>
      <c r="Q885" s="166"/>
      <c r="R885" s="166"/>
      <c r="S885" s="167"/>
      <c r="T885" s="167"/>
      <c r="U885" s="167"/>
      <c r="V885" s="167"/>
      <c r="W885" s="167"/>
      <c r="X885" s="164"/>
      <c r="Y885" s="164"/>
      <c r="Z885" s="172"/>
      <c r="AA885" s="188"/>
      <c r="AB885" s="172"/>
      <c r="AC885" s="172"/>
      <c r="AD885" s="175"/>
      <c r="AE885" s="62" t="s">
        <v>153</v>
      </c>
      <c r="AF885" s="133"/>
      <c r="AG885" s="65"/>
      <c r="AH885" s="64"/>
      <c r="AI885" s="64"/>
      <c r="AJ885" s="64"/>
      <c r="AK885" s="64"/>
      <c r="AL885" s="64"/>
      <c r="AM885" s="80" t="str">
        <f>IFERROR((Tablas!$C$1*VLOOKUP(AH885, tipo_control, 2, 0)+Tablas!$E$1*VLOOKUP(AI885, nat_control, 2, 0)+Tablas!$G$1*VLOOKUP(AJ885, ev_control, 2, 0)+Tablas!$I$1*VLOOKUP(AK885, frec_control, 2, 0)+Tablas!$K$1*VLOOKUP(AL885, doc_control, 2, 0))*0.1*peso_dis, "")</f>
        <v/>
      </c>
      <c r="AN885" s="64"/>
      <c r="AO885" s="64"/>
      <c r="AP885" s="64"/>
      <c r="AQ885" s="80" t="str">
        <f>IFERROR((Tablas!$C$9*VLOOKUP(AN885, amb_control, 2, 0)+Tablas!$E$9*VLOOKUP(AO885, ejec_control, 2, 0)+Tablas!$G$9*VLOOKUP(AP885, cub_control, 2, 0))*0.1*peso_ejec, "")</f>
        <v/>
      </c>
      <c r="AR885" s="91" t="str">
        <f t="shared" si="1497"/>
        <v/>
      </c>
      <c r="AS885" s="85" t="str">
        <f t="shared" si="1481"/>
        <v/>
      </c>
      <c r="AT885" s="85" t="str">
        <f t="shared" si="1482"/>
        <v/>
      </c>
      <c r="AU885" s="85" t="str">
        <f>IF(AR885&lt;Tablas!$G$19, 0, IF(AND(AR885&gt;=Tablas!$G$19, AR885&lt;Tablas!$G$20), 1,  IF(AND(AR885&gt;=Tablas!$G$20, AR885&lt;Tablas!$G$21), 2,  IF(AND(AR885&gt;=Tablas!$G$21, AR885&lt;=Tablas!$G$22), 3,  ""))))</f>
        <v/>
      </c>
      <c r="AV885" s="85" t="str">
        <f t="shared" si="1498"/>
        <v/>
      </c>
      <c r="AW885" s="101" t="str">
        <f t="shared" si="1499"/>
        <v/>
      </c>
      <c r="AX885" s="177"/>
      <c r="AY885" s="169"/>
      <c r="AZ885" s="158"/>
      <c r="BA885" s="169"/>
      <c r="BB885" s="182"/>
      <c r="BC885" s="182"/>
      <c r="BD885" s="185"/>
      <c r="BE885" s="185"/>
      <c r="BF885" s="158"/>
      <c r="BG885" s="191"/>
    </row>
    <row r="886" spans="1:59" ht="15.75" thickBot="1" x14ac:dyDescent="0.3">
      <c r="A886" s="167"/>
      <c r="B886" s="167"/>
      <c r="C886" s="161"/>
      <c r="D886" s="160"/>
      <c r="E886" s="162"/>
      <c r="F886" s="165"/>
      <c r="G886" s="161"/>
      <c r="H886" s="161"/>
      <c r="I886" s="161"/>
      <c r="J886" s="161"/>
      <c r="K886" s="161"/>
      <c r="L886" s="166"/>
      <c r="M886" s="166"/>
      <c r="N886" s="166"/>
      <c r="O886" s="166"/>
      <c r="P886" s="166"/>
      <c r="Q886" s="166"/>
      <c r="R886" s="166"/>
      <c r="S886" s="149"/>
      <c r="T886" s="149"/>
      <c r="U886" s="149"/>
      <c r="V886" s="149"/>
      <c r="W886" s="149"/>
      <c r="X886" s="165"/>
      <c r="Y886" s="165"/>
      <c r="Z886" s="172"/>
      <c r="AA886" s="188"/>
      <c r="AB886" s="172"/>
      <c r="AC886" s="172"/>
      <c r="AD886" s="175"/>
      <c r="AE886" s="66" t="s">
        <v>154</v>
      </c>
      <c r="AF886" s="134"/>
      <c r="AG886" s="67"/>
      <c r="AH886" s="69"/>
      <c r="AI886" s="69"/>
      <c r="AJ886" s="69"/>
      <c r="AK886" s="69"/>
      <c r="AL886" s="69"/>
      <c r="AM886" s="81" t="str">
        <f>IFERROR((Tablas!$C$1*VLOOKUP(AH886, tipo_control, 2, 0)+Tablas!$E$1*VLOOKUP(AI886, nat_control, 2, 0)+Tablas!$G$1*VLOOKUP(AJ886, ev_control, 2, 0)+Tablas!$I$1*VLOOKUP(AK886, frec_control, 2, 0)+Tablas!$K$1*VLOOKUP(AL886, doc_control, 2, 0))*0.1*peso_dis, "")</f>
        <v/>
      </c>
      <c r="AN886" s="69"/>
      <c r="AO886" s="69"/>
      <c r="AP886" s="69"/>
      <c r="AQ886" s="81" t="str">
        <f>IFERROR((Tablas!$C$9*VLOOKUP(AN886, amb_control, 2, 0)+Tablas!$E$9*VLOOKUP(AO886, ejec_control, 2, 0)+Tablas!$G$9*VLOOKUP(AP886, cub_control, 2, 0))*0.1*peso_ejec, "")</f>
        <v/>
      </c>
      <c r="AR886" s="93" t="str">
        <f t="shared" si="1497"/>
        <v/>
      </c>
      <c r="AS886" s="94" t="str">
        <f t="shared" si="1481"/>
        <v/>
      </c>
      <c r="AT886" s="94" t="str">
        <f t="shared" si="1482"/>
        <v/>
      </c>
      <c r="AU886" s="94" t="str">
        <f>IF(AR886&lt;Tablas!$G$19, 0, IF(AND(AR886&gt;=Tablas!$G$19, AR886&lt;Tablas!$G$20), 1,  IF(AND(AR886&gt;=Tablas!$G$20, AR886&lt;Tablas!$G$21), 2,  IF(AND(AR886&gt;=Tablas!$G$21, AR886&lt;=Tablas!$G$22), 3,  ""))))</f>
        <v/>
      </c>
      <c r="AV886" s="94" t="str">
        <f t="shared" si="1498"/>
        <v/>
      </c>
      <c r="AW886" s="102" t="str">
        <f t="shared" si="1499"/>
        <v/>
      </c>
      <c r="AX886" s="157"/>
      <c r="AY886" s="170"/>
      <c r="AZ886" s="179"/>
      <c r="BA886" s="170"/>
      <c r="BB886" s="182"/>
      <c r="BC886" s="182"/>
      <c r="BD886" s="185"/>
      <c r="BE886" s="185"/>
      <c r="BF886" s="159"/>
      <c r="BG886" s="191"/>
    </row>
    <row r="887" spans="1:59" x14ac:dyDescent="0.25">
      <c r="A887" s="167"/>
      <c r="B887" s="167"/>
      <c r="C887" s="161" t="s">
        <v>180</v>
      </c>
      <c r="D887" s="160" t="s">
        <v>158</v>
      </c>
      <c r="E887" s="162"/>
      <c r="F887" s="163" t="str">
        <f t="shared" si="1483"/>
        <v/>
      </c>
      <c r="G887" s="149"/>
      <c r="H887" s="149"/>
      <c r="I887" s="149"/>
      <c r="J887" s="149"/>
      <c r="K887" s="149"/>
      <c r="L887" s="165" t="str">
        <f t="shared" ref="L887" si="1540">IFERROR(VLOOKUP(G887, tabla02, 2, 0), "")</f>
        <v/>
      </c>
      <c r="M887" s="165" t="str">
        <f t="shared" ref="M887" si="1541">IFERROR(VLOOKUP(H887, tabla02, 2, 0), "")</f>
        <v/>
      </c>
      <c r="N887" s="165" t="str">
        <f t="shared" ref="N887" si="1542">IFERROR(VLOOKUP(I887, tabla02, 2, 0), "")</f>
        <v/>
      </c>
      <c r="O887" s="165" t="str">
        <f t="shared" ref="O887" si="1543">IFERROR(VLOOKUP(J887, tabla02, 2, 0), "")</f>
        <v/>
      </c>
      <c r="P887" s="165" t="str">
        <f t="shared" ref="P887" si="1544">IFERROR(VLOOKUP(K887, tabla02, 2, 0), "")</f>
        <v/>
      </c>
      <c r="Q887" s="165" t="str">
        <f t="shared" ref="Q887" si="1545">IF(SUM(L887:O891)=0, "", MAX(L887:P887))</f>
        <v/>
      </c>
      <c r="R887" s="165" t="str">
        <f>IFERROR(VLOOKUP(Q887, tabla04, 3, 0), "")</f>
        <v/>
      </c>
      <c r="S887" s="148"/>
      <c r="T887" s="148"/>
      <c r="U887" s="148"/>
      <c r="V887" s="148"/>
      <c r="W887" s="148"/>
      <c r="X887" s="163" t="str">
        <f>IFERROR(VLOOKUP(CONCATENATE(F887, "-", Q887), cuadrante_sev, 3, 0), "")</f>
        <v/>
      </c>
      <c r="Y887" s="163" t="str">
        <f t="shared" ref="Y887" si="1546">IFERROR(IF(X887="Baja", 1, IF(X887="Moderada", 2, IF(X887="Alta", 3, IF(X887="Extrema", 4, "")))), "")</f>
        <v/>
      </c>
      <c r="Z887" s="172"/>
      <c r="AA887" s="188"/>
      <c r="AB887" s="172"/>
      <c r="AC887" s="172"/>
      <c r="AD887" s="175"/>
      <c r="AE887" s="70" t="s">
        <v>113</v>
      </c>
      <c r="AF887" s="135"/>
      <c r="AG887" s="74"/>
      <c r="AH887" s="72"/>
      <c r="AI887" s="72"/>
      <c r="AJ887" s="72"/>
      <c r="AK887" s="72"/>
      <c r="AL887" s="72"/>
      <c r="AM887" s="82" t="str">
        <f>IFERROR((Tablas!$C$1*VLOOKUP(AH887, tipo_control, 2, 0)+Tablas!$E$1*VLOOKUP(AI887, nat_control, 2, 0)+Tablas!$G$1*VLOOKUP(AJ887, ev_control, 2, 0)+Tablas!$I$1*VLOOKUP(AK887, frec_control, 2, 0)+Tablas!$K$1*VLOOKUP(AL887, doc_control, 2, 0))*0.1*peso_dis, "")</f>
        <v/>
      </c>
      <c r="AN887" s="72"/>
      <c r="AO887" s="72"/>
      <c r="AP887" s="72"/>
      <c r="AQ887" s="82" t="str">
        <f>IFERROR((Tablas!$C$9*VLOOKUP(AN887, amb_control, 2, 0)+Tablas!$E$9*VLOOKUP(AO887, ejec_control, 2, 0)+Tablas!$G$9*VLOOKUP(AP887, cub_control, 2, 0))*0.1*peso_ejec, "")</f>
        <v/>
      </c>
      <c r="AR887" s="96" t="str">
        <f t="shared" si="1497"/>
        <v/>
      </c>
      <c r="AS887" s="97" t="str">
        <f t="shared" si="1481"/>
        <v/>
      </c>
      <c r="AT887" s="87" t="str">
        <f t="shared" si="1482"/>
        <v/>
      </c>
      <c r="AU887" s="97" t="str">
        <f>IF(AR887&lt;Tablas!$G$19, 0, IF(AND(AR887&gt;=Tablas!$G$19, AR887&lt;Tablas!$G$20), 1,  IF(AND(AR887&gt;=Tablas!$G$20, AR887&lt;Tablas!$G$21), 2,  IF(AND(AR887&gt;=Tablas!$G$21, AR887&lt;=Tablas!$G$22), 3,  ""))))</f>
        <v/>
      </c>
      <c r="AV887" s="97" t="str">
        <f t="shared" si="1498"/>
        <v/>
      </c>
      <c r="AW887" s="103" t="str">
        <f t="shared" si="1499"/>
        <v/>
      </c>
      <c r="AX887" s="176" t="str">
        <f t="shared" ref="AX887" si="1547">IFERROR(VLOOKUP(AY887, tabla04, 2, 0), "")</f>
        <v/>
      </c>
      <c r="AY887" s="168" t="str">
        <f>IF(F887="", "", IF((F887-MAX(AV887:AV891))&lt;=0, 1, F887-MAX(AV887:AV891)))</f>
        <v/>
      </c>
      <c r="AZ887" s="178" t="str">
        <f t="shared" ref="AZ887" si="1548">IFERROR(VLOOKUP(BA887, tabla04, 3, 0), "")</f>
        <v/>
      </c>
      <c r="BA887" s="168" t="str">
        <f>IF(Q887="", "", IF((Q887-MAX(AW887:AW891))&lt;=0, 1, Q887-MAX(AW887:AW891)))</f>
        <v/>
      </c>
      <c r="BB887" s="182"/>
      <c r="BC887" s="182"/>
      <c r="BD887" s="185"/>
      <c r="BE887" s="185"/>
      <c r="BF887" s="158" t="str">
        <f t="shared" ref="BF887:BF889" si="1549">IFERROR(VLOOKUP(CONCATENATE(AY887, "-", BA887), cuadrante_sev, 3, 0), "")</f>
        <v/>
      </c>
      <c r="BG887" s="191"/>
    </row>
    <row r="888" spans="1:59" x14ac:dyDescent="0.25">
      <c r="A888" s="167"/>
      <c r="B888" s="167"/>
      <c r="C888" s="161"/>
      <c r="D888" s="160"/>
      <c r="E888" s="162"/>
      <c r="F888" s="164"/>
      <c r="G888" s="161"/>
      <c r="H888" s="161"/>
      <c r="I888" s="161"/>
      <c r="J888" s="161"/>
      <c r="K888" s="161"/>
      <c r="L888" s="166"/>
      <c r="M888" s="166"/>
      <c r="N888" s="166"/>
      <c r="O888" s="166"/>
      <c r="P888" s="166"/>
      <c r="Q888" s="166"/>
      <c r="R888" s="166"/>
      <c r="S888" s="167"/>
      <c r="T888" s="167"/>
      <c r="U888" s="167"/>
      <c r="V888" s="167"/>
      <c r="W888" s="167"/>
      <c r="X888" s="164"/>
      <c r="Y888" s="164"/>
      <c r="Z888" s="172"/>
      <c r="AA888" s="188"/>
      <c r="AB888" s="172"/>
      <c r="AC888" s="172"/>
      <c r="AD888" s="175"/>
      <c r="AE888" s="62" t="s">
        <v>114</v>
      </c>
      <c r="AF888" s="133"/>
      <c r="AG888" s="65"/>
      <c r="AH888" s="64"/>
      <c r="AI888" s="64"/>
      <c r="AJ888" s="64"/>
      <c r="AK888" s="64"/>
      <c r="AL888" s="64"/>
      <c r="AM888" s="80" t="str">
        <f>IFERROR((Tablas!$C$1*VLOOKUP(AH888, tipo_control, 2, 0)+Tablas!$E$1*VLOOKUP(AI888, nat_control, 2, 0)+Tablas!$G$1*VLOOKUP(AJ888, ev_control, 2, 0)+Tablas!$I$1*VLOOKUP(AK888, frec_control, 2, 0)+Tablas!$K$1*VLOOKUP(AL888, doc_control, 2, 0))*0.1*peso_dis, "")</f>
        <v/>
      </c>
      <c r="AN888" s="64"/>
      <c r="AO888" s="64"/>
      <c r="AP888" s="64"/>
      <c r="AQ888" s="80" t="str">
        <f>IFERROR((Tablas!$C$9*VLOOKUP(AN888, amb_control, 2, 0)+Tablas!$E$9*VLOOKUP(AO888, ejec_control, 2, 0)+Tablas!$G$9*VLOOKUP(AP888, cub_control, 2, 0))*0.1*peso_ejec, "")</f>
        <v/>
      </c>
      <c r="AR888" s="91" t="str">
        <f t="shared" si="1497"/>
        <v/>
      </c>
      <c r="AS888" s="85" t="str">
        <f t="shared" si="1481"/>
        <v/>
      </c>
      <c r="AT888" s="85" t="str">
        <f t="shared" si="1482"/>
        <v/>
      </c>
      <c r="AU888" s="85" t="str">
        <f>IF(AR888&lt;Tablas!$G$19, 0, IF(AND(AR888&gt;=Tablas!$G$19, AR888&lt;Tablas!$G$20), 1,  IF(AND(AR888&gt;=Tablas!$G$20, AR888&lt;Tablas!$G$21), 2,  IF(AND(AR888&gt;=Tablas!$G$21, AR888&lt;=Tablas!$G$22), 3,  ""))))</f>
        <v/>
      </c>
      <c r="AV888" s="85" t="str">
        <f t="shared" si="1498"/>
        <v/>
      </c>
      <c r="AW888" s="101" t="str">
        <f t="shared" si="1499"/>
        <v/>
      </c>
      <c r="AX888" s="177"/>
      <c r="AY888" s="169"/>
      <c r="AZ888" s="158"/>
      <c r="BA888" s="169"/>
      <c r="BB888" s="182"/>
      <c r="BC888" s="182"/>
      <c r="BD888" s="185"/>
      <c r="BE888" s="185"/>
      <c r="BF888" s="158" t="str">
        <f t="shared" si="1549"/>
        <v/>
      </c>
      <c r="BG888" s="191"/>
    </row>
    <row r="889" spans="1:59" x14ac:dyDescent="0.25">
      <c r="A889" s="167"/>
      <c r="B889" s="167"/>
      <c r="C889" s="161"/>
      <c r="D889" s="160"/>
      <c r="E889" s="162"/>
      <c r="F889" s="164"/>
      <c r="G889" s="161"/>
      <c r="H889" s="161"/>
      <c r="I889" s="161"/>
      <c r="J889" s="161"/>
      <c r="K889" s="161"/>
      <c r="L889" s="166"/>
      <c r="M889" s="166"/>
      <c r="N889" s="166"/>
      <c r="O889" s="166"/>
      <c r="P889" s="166"/>
      <c r="Q889" s="166"/>
      <c r="R889" s="166"/>
      <c r="S889" s="167"/>
      <c r="T889" s="167"/>
      <c r="U889" s="167"/>
      <c r="V889" s="167"/>
      <c r="W889" s="167"/>
      <c r="X889" s="164"/>
      <c r="Y889" s="164"/>
      <c r="Z889" s="172"/>
      <c r="AA889" s="188"/>
      <c r="AB889" s="172"/>
      <c r="AC889" s="172"/>
      <c r="AD889" s="175"/>
      <c r="AE889" s="62" t="s">
        <v>115</v>
      </c>
      <c r="AF889" s="133"/>
      <c r="AG889" s="65"/>
      <c r="AH889" s="64"/>
      <c r="AI889" s="64"/>
      <c r="AJ889" s="64"/>
      <c r="AK889" s="64"/>
      <c r="AL889" s="64"/>
      <c r="AM889" s="80" t="str">
        <f>IFERROR((Tablas!$C$1*VLOOKUP(AH889, tipo_control, 2, 0)+Tablas!$E$1*VLOOKUP(AI889, nat_control, 2, 0)+Tablas!$G$1*VLOOKUP(AJ889, ev_control, 2, 0)+Tablas!$I$1*VLOOKUP(AK889, frec_control, 2, 0)+Tablas!$K$1*VLOOKUP(AL889, doc_control, 2, 0))*0.1*peso_dis, "")</f>
        <v/>
      </c>
      <c r="AN889" s="64"/>
      <c r="AO889" s="64"/>
      <c r="AP889" s="64"/>
      <c r="AQ889" s="80" t="str">
        <f>IFERROR((Tablas!$C$9*VLOOKUP(AN889, amb_control, 2, 0)+Tablas!$E$9*VLOOKUP(AO889, ejec_control, 2, 0)+Tablas!$G$9*VLOOKUP(AP889, cub_control, 2, 0))*0.1*peso_ejec, "")</f>
        <v/>
      </c>
      <c r="AR889" s="91" t="str">
        <f t="shared" si="1497"/>
        <v/>
      </c>
      <c r="AS889" s="85" t="str">
        <f t="shared" si="1481"/>
        <v/>
      </c>
      <c r="AT889" s="85" t="str">
        <f t="shared" si="1482"/>
        <v/>
      </c>
      <c r="AU889" s="85" t="str">
        <f>IF(AR889&lt;Tablas!$G$19, 0, IF(AND(AR889&gt;=Tablas!$G$19, AR889&lt;Tablas!$G$20), 1,  IF(AND(AR889&gt;=Tablas!$G$20, AR889&lt;Tablas!$G$21), 2,  IF(AND(AR889&gt;=Tablas!$G$21, AR889&lt;=Tablas!$G$22), 3,  ""))))</f>
        <v/>
      </c>
      <c r="AV889" s="85" t="str">
        <f t="shared" si="1498"/>
        <v/>
      </c>
      <c r="AW889" s="101" t="str">
        <f t="shared" si="1499"/>
        <v/>
      </c>
      <c r="AX889" s="177"/>
      <c r="AY889" s="169"/>
      <c r="AZ889" s="158"/>
      <c r="BA889" s="169"/>
      <c r="BB889" s="182"/>
      <c r="BC889" s="182"/>
      <c r="BD889" s="185"/>
      <c r="BE889" s="185"/>
      <c r="BF889" s="158" t="str">
        <f t="shared" si="1549"/>
        <v/>
      </c>
      <c r="BG889" s="191"/>
    </row>
    <row r="890" spans="1:59" x14ac:dyDescent="0.25">
      <c r="A890" s="167"/>
      <c r="B890" s="167"/>
      <c r="C890" s="161"/>
      <c r="D890" s="160"/>
      <c r="E890" s="162"/>
      <c r="F890" s="164"/>
      <c r="G890" s="161"/>
      <c r="H890" s="161"/>
      <c r="I890" s="161"/>
      <c r="J890" s="161"/>
      <c r="K890" s="161"/>
      <c r="L890" s="166"/>
      <c r="M890" s="166"/>
      <c r="N890" s="166"/>
      <c r="O890" s="166"/>
      <c r="P890" s="166"/>
      <c r="Q890" s="166"/>
      <c r="R890" s="166"/>
      <c r="S890" s="167"/>
      <c r="T890" s="167"/>
      <c r="U890" s="167"/>
      <c r="V890" s="167"/>
      <c r="W890" s="167"/>
      <c r="X890" s="164"/>
      <c r="Y890" s="164"/>
      <c r="Z890" s="172"/>
      <c r="AA890" s="188"/>
      <c r="AB890" s="172"/>
      <c r="AC890" s="172"/>
      <c r="AD890" s="175"/>
      <c r="AE890" s="62" t="s">
        <v>153</v>
      </c>
      <c r="AF890" s="133"/>
      <c r="AG890" s="65"/>
      <c r="AH890" s="64"/>
      <c r="AI890" s="64"/>
      <c r="AJ890" s="64"/>
      <c r="AK890" s="64"/>
      <c r="AL890" s="64"/>
      <c r="AM890" s="80" t="str">
        <f>IFERROR((Tablas!$C$1*VLOOKUP(AH890, tipo_control, 2, 0)+Tablas!$E$1*VLOOKUP(AI890, nat_control, 2, 0)+Tablas!$G$1*VLOOKUP(AJ890, ev_control, 2, 0)+Tablas!$I$1*VLOOKUP(AK890, frec_control, 2, 0)+Tablas!$K$1*VLOOKUP(AL890, doc_control, 2, 0))*0.1*peso_dis, "")</f>
        <v/>
      </c>
      <c r="AN890" s="64"/>
      <c r="AO890" s="64"/>
      <c r="AP890" s="64"/>
      <c r="AQ890" s="80" t="str">
        <f>IFERROR((Tablas!$C$9*VLOOKUP(AN890, amb_control, 2, 0)+Tablas!$E$9*VLOOKUP(AO890, ejec_control, 2, 0)+Tablas!$G$9*VLOOKUP(AP890, cub_control, 2, 0))*0.1*peso_ejec, "")</f>
        <v/>
      </c>
      <c r="AR890" s="91" t="str">
        <f t="shared" si="1497"/>
        <v/>
      </c>
      <c r="AS890" s="85" t="str">
        <f t="shared" si="1481"/>
        <v/>
      </c>
      <c r="AT890" s="85" t="str">
        <f t="shared" si="1482"/>
        <v/>
      </c>
      <c r="AU890" s="85" t="str">
        <f>IF(AR890&lt;Tablas!$G$19, 0, IF(AND(AR890&gt;=Tablas!$G$19, AR890&lt;Tablas!$G$20), 1,  IF(AND(AR890&gt;=Tablas!$G$20, AR890&lt;Tablas!$G$21), 2,  IF(AND(AR890&gt;=Tablas!$G$21, AR890&lt;=Tablas!$G$22), 3,  ""))))</f>
        <v/>
      </c>
      <c r="AV890" s="85" t="str">
        <f t="shared" si="1498"/>
        <v/>
      </c>
      <c r="AW890" s="101" t="str">
        <f t="shared" si="1499"/>
        <v/>
      </c>
      <c r="AX890" s="177"/>
      <c r="AY890" s="169"/>
      <c r="AZ890" s="158"/>
      <c r="BA890" s="169"/>
      <c r="BB890" s="182"/>
      <c r="BC890" s="182"/>
      <c r="BD890" s="185"/>
      <c r="BE890" s="185"/>
      <c r="BF890" s="158"/>
      <c r="BG890" s="191"/>
    </row>
    <row r="891" spans="1:59" ht="15.75" thickBot="1" x14ac:dyDescent="0.3">
      <c r="A891" s="167"/>
      <c r="B891" s="167"/>
      <c r="C891" s="161"/>
      <c r="D891" s="160"/>
      <c r="E891" s="162"/>
      <c r="F891" s="165"/>
      <c r="G891" s="161"/>
      <c r="H891" s="161"/>
      <c r="I891" s="161"/>
      <c r="J891" s="161"/>
      <c r="K891" s="161"/>
      <c r="L891" s="166"/>
      <c r="M891" s="166"/>
      <c r="N891" s="166"/>
      <c r="O891" s="166"/>
      <c r="P891" s="166"/>
      <c r="Q891" s="166"/>
      <c r="R891" s="166"/>
      <c r="S891" s="149"/>
      <c r="T891" s="149"/>
      <c r="U891" s="149"/>
      <c r="V891" s="149"/>
      <c r="W891" s="149"/>
      <c r="X891" s="165"/>
      <c r="Y891" s="165"/>
      <c r="Z891" s="172"/>
      <c r="AA891" s="188"/>
      <c r="AB891" s="172"/>
      <c r="AC891" s="172"/>
      <c r="AD891" s="175"/>
      <c r="AE891" s="66" t="s">
        <v>154</v>
      </c>
      <c r="AF891" s="134"/>
      <c r="AG891" s="67"/>
      <c r="AH891" s="69"/>
      <c r="AI891" s="69"/>
      <c r="AJ891" s="69"/>
      <c r="AK891" s="69"/>
      <c r="AL891" s="69"/>
      <c r="AM891" s="81" t="str">
        <f>IFERROR((Tablas!$C$1*VLOOKUP(AH891, tipo_control, 2, 0)+Tablas!$E$1*VLOOKUP(AI891, nat_control, 2, 0)+Tablas!$G$1*VLOOKUP(AJ891, ev_control, 2, 0)+Tablas!$I$1*VLOOKUP(AK891, frec_control, 2, 0)+Tablas!$K$1*VLOOKUP(AL891, doc_control, 2, 0))*0.1*peso_dis, "")</f>
        <v/>
      </c>
      <c r="AN891" s="69"/>
      <c r="AO891" s="69"/>
      <c r="AP891" s="69"/>
      <c r="AQ891" s="81" t="str">
        <f>IFERROR((Tablas!$C$9*VLOOKUP(AN891, amb_control, 2, 0)+Tablas!$E$9*VLOOKUP(AO891, ejec_control, 2, 0)+Tablas!$G$9*VLOOKUP(AP891, cub_control, 2, 0))*0.1*peso_ejec, "")</f>
        <v/>
      </c>
      <c r="AR891" s="93" t="str">
        <f t="shared" si="1497"/>
        <v/>
      </c>
      <c r="AS891" s="94" t="str">
        <f t="shared" si="1481"/>
        <v/>
      </c>
      <c r="AT891" s="94" t="str">
        <f t="shared" si="1482"/>
        <v/>
      </c>
      <c r="AU891" s="94" t="str">
        <f>IF(AR891&lt;Tablas!$G$19, 0, IF(AND(AR891&gt;=Tablas!$G$19, AR891&lt;Tablas!$G$20), 1,  IF(AND(AR891&gt;=Tablas!$G$20, AR891&lt;Tablas!$G$21), 2,  IF(AND(AR891&gt;=Tablas!$G$21, AR891&lt;=Tablas!$G$22), 3,  ""))))</f>
        <v/>
      </c>
      <c r="AV891" s="94" t="str">
        <f t="shared" si="1498"/>
        <v/>
      </c>
      <c r="AW891" s="102" t="str">
        <f t="shared" si="1499"/>
        <v/>
      </c>
      <c r="AX891" s="157"/>
      <c r="AY891" s="170"/>
      <c r="AZ891" s="179"/>
      <c r="BA891" s="170"/>
      <c r="BB891" s="182"/>
      <c r="BC891" s="182"/>
      <c r="BD891" s="185"/>
      <c r="BE891" s="185"/>
      <c r="BF891" s="159"/>
      <c r="BG891" s="191"/>
    </row>
    <row r="892" spans="1:59" x14ac:dyDescent="0.25">
      <c r="A892" s="167"/>
      <c r="B892" s="167"/>
      <c r="C892" s="161" t="s">
        <v>181</v>
      </c>
      <c r="D892" s="160" t="s">
        <v>158</v>
      </c>
      <c r="E892" s="162"/>
      <c r="F892" s="163" t="str">
        <f t="shared" si="1483"/>
        <v/>
      </c>
      <c r="G892" s="149"/>
      <c r="H892" s="149"/>
      <c r="I892" s="149"/>
      <c r="J892" s="149"/>
      <c r="K892" s="149"/>
      <c r="L892" s="165" t="str">
        <f t="shared" ref="L892" si="1550">IFERROR(VLOOKUP(G892, tabla02, 2, 0), "")</f>
        <v/>
      </c>
      <c r="M892" s="165" t="str">
        <f t="shared" ref="M892" si="1551">IFERROR(VLOOKUP(H892, tabla02, 2, 0), "")</f>
        <v/>
      </c>
      <c r="N892" s="165" t="str">
        <f t="shared" ref="N892" si="1552">IFERROR(VLOOKUP(I892, tabla02, 2, 0), "")</f>
        <v/>
      </c>
      <c r="O892" s="165" t="str">
        <f t="shared" ref="O892" si="1553">IFERROR(VLOOKUP(J892, tabla02, 2, 0), "")</f>
        <v/>
      </c>
      <c r="P892" s="165" t="str">
        <f t="shared" ref="P892" si="1554">IFERROR(VLOOKUP(K892, tabla02, 2, 0), "")</f>
        <v/>
      </c>
      <c r="Q892" s="165" t="str">
        <f t="shared" ref="Q892" si="1555">IF(SUM(L892:O896)=0, "", MAX(L892:P892))</f>
        <v/>
      </c>
      <c r="R892" s="165" t="str">
        <f>IFERROR(VLOOKUP(Q892, tabla04, 3, 0), "")</f>
        <v/>
      </c>
      <c r="S892" s="148"/>
      <c r="T892" s="148"/>
      <c r="U892" s="148"/>
      <c r="V892" s="148"/>
      <c r="W892" s="148"/>
      <c r="X892" s="163" t="str">
        <f>IFERROR(VLOOKUP(CONCATENATE(F892, "-", Q892), cuadrante_sev, 3, 0), "")</f>
        <v/>
      </c>
      <c r="Y892" s="163" t="str">
        <f t="shared" ref="Y892" si="1556">IFERROR(IF(X892="Baja", 1, IF(X892="Moderada", 2, IF(X892="Alta", 3, IF(X892="Extrema", 4, "")))), "")</f>
        <v/>
      </c>
      <c r="Z892" s="172"/>
      <c r="AA892" s="188"/>
      <c r="AB892" s="172"/>
      <c r="AC892" s="172"/>
      <c r="AD892" s="175"/>
      <c r="AE892" s="70" t="s">
        <v>113</v>
      </c>
      <c r="AF892" s="135"/>
      <c r="AG892" s="74"/>
      <c r="AH892" s="72"/>
      <c r="AI892" s="72"/>
      <c r="AJ892" s="72"/>
      <c r="AK892" s="72"/>
      <c r="AL892" s="72"/>
      <c r="AM892" s="82" t="str">
        <f>IFERROR((Tablas!$C$1*VLOOKUP(AH892, tipo_control, 2, 0)+Tablas!$E$1*VLOOKUP(AI892, nat_control, 2, 0)+Tablas!$G$1*VLOOKUP(AJ892, ev_control, 2, 0)+Tablas!$I$1*VLOOKUP(AK892, frec_control, 2, 0)+Tablas!$K$1*VLOOKUP(AL892, doc_control, 2, 0))*0.1*peso_dis, "")</f>
        <v/>
      </c>
      <c r="AN892" s="72"/>
      <c r="AO892" s="72"/>
      <c r="AP892" s="72"/>
      <c r="AQ892" s="82" t="str">
        <f>IFERROR((Tablas!$C$9*VLOOKUP(AN892, amb_control, 2, 0)+Tablas!$E$9*VLOOKUP(AO892, ejec_control, 2, 0)+Tablas!$G$9*VLOOKUP(AP892, cub_control, 2, 0))*0.1*peso_ejec, "")</f>
        <v/>
      </c>
      <c r="AR892" s="96" t="str">
        <f t="shared" si="1497"/>
        <v/>
      </c>
      <c r="AS892" s="97" t="str">
        <f t="shared" si="1481"/>
        <v/>
      </c>
      <c r="AT892" s="87" t="str">
        <f t="shared" si="1482"/>
        <v/>
      </c>
      <c r="AU892" s="97" t="str">
        <f>IF(AR892&lt;Tablas!$G$19, 0, IF(AND(AR892&gt;=Tablas!$G$19, AR892&lt;Tablas!$G$20), 1,  IF(AND(AR892&gt;=Tablas!$G$20, AR892&lt;Tablas!$G$21), 2,  IF(AND(AR892&gt;=Tablas!$G$21, AR892&lt;=Tablas!$G$22), 3,  ""))))</f>
        <v/>
      </c>
      <c r="AV892" s="97" t="str">
        <f t="shared" si="1498"/>
        <v/>
      </c>
      <c r="AW892" s="103" t="str">
        <f t="shared" si="1499"/>
        <v/>
      </c>
      <c r="AX892" s="176" t="str">
        <f t="shared" ref="AX892" si="1557">IFERROR(VLOOKUP(AY892, tabla04, 2, 0), "")</f>
        <v/>
      </c>
      <c r="AY892" s="168" t="str">
        <f>IF(F892="", "", IF((F892-MAX(AV892:AV896))&lt;=0, 1, F892-MAX(AV892:AV896)))</f>
        <v/>
      </c>
      <c r="AZ892" s="178" t="str">
        <f t="shared" ref="AZ892" si="1558">IFERROR(VLOOKUP(BA892, tabla04, 3, 0), "")</f>
        <v/>
      </c>
      <c r="BA892" s="168" t="str">
        <f>IF(Q892="", "", IF((Q892-MAX(AW892:AW896))&lt;=0, 1, Q892-MAX(AW892:AW896)))</f>
        <v/>
      </c>
      <c r="BB892" s="182"/>
      <c r="BC892" s="182"/>
      <c r="BD892" s="185"/>
      <c r="BE892" s="185"/>
      <c r="BF892" s="158" t="str">
        <f t="shared" ref="BF892:BF894" si="1559">IFERROR(VLOOKUP(CONCATENATE(AY892, "-", BA892), cuadrante_sev, 3, 0), "")</f>
        <v/>
      </c>
      <c r="BG892" s="191"/>
    </row>
    <row r="893" spans="1:59" x14ac:dyDescent="0.25">
      <c r="A893" s="167"/>
      <c r="B893" s="167"/>
      <c r="C893" s="161"/>
      <c r="D893" s="160"/>
      <c r="E893" s="162"/>
      <c r="F893" s="164"/>
      <c r="G893" s="161"/>
      <c r="H893" s="161"/>
      <c r="I893" s="161"/>
      <c r="J893" s="161"/>
      <c r="K893" s="161"/>
      <c r="L893" s="166"/>
      <c r="M893" s="166"/>
      <c r="N893" s="166"/>
      <c r="O893" s="166"/>
      <c r="P893" s="166"/>
      <c r="Q893" s="166"/>
      <c r="R893" s="166"/>
      <c r="S893" s="167"/>
      <c r="T893" s="167"/>
      <c r="U893" s="167"/>
      <c r="V893" s="167"/>
      <c r="W893" s="167"/>
      <c r="X893" s="164"/>
      <c r="Y893" s="164"/>
      <c r="Z893" s="172"/>
      <c r="AA893" s="188"/>
      <c r="AB893" s="172"/>
      <c r="AC893" s="172"/>
      <c r="AD893" s="175"/>
      <c r="AE893" s="62" t="s">
        <v>114</v>
      </c>
      <c r="AF893" s="133"/>
      <c r="AG893" s="65"/>
      <c r="AH893" s="64"/>
      <c r="AI893" s="64"/>
      <c r="AJ893" s="64"/>
      <c r="AK893" s="64"/>
      <c r="AL893" s="64"/>
      <c r="AM893" s="80" t="str">
        <f>IFERROR((Tablas!$C$1*VLOOKUP(AH893, tipo_control, 2, 0)+Tablas!$E$1*VLOOKUP(AI893, nat_control, 2, 0)+Tablas!$G$1*VLOOKUP(AJ893, ev_control, 2, 0)+Tablas!$I$1*VLOOKUP(AK893, frec_control, 2, 0)+Tablas!$K$1*VLOOKUP(AL893, doc_control, 2, 0))*0.1*peso_dis, "")</f>
        <v/>
      </c>
      <c r="AN893" s="64"/>
      <c r="AO893" s="64"/>
      <c r="AP893" s="64"/>
      <c r="AQ893" s="80" t="str">
        <f>IFERROR((Tablas!$C$9*VLOOKUP(AN893, amb_control, 2, 0)+Tablas!$E$9*VLOOKUP(AO893, ejec_control, 2, 0)+Tablas!$G$9*VLOOKUP(AP893, cub_control, 2, 0))*0.1*peso_ejec, "")</f>
        <v/>
      </c>
      <c r="AR893" s="91" t="str">
        <f t="shared" si="1497"/>
        <v/>
      </c>
      <c r="AS893" s="85" t="str">
        <f t="shared" si="1481"/>
        <v/>
      </c>
      <c r="AT893" s="85" t="str">
        <f t="shared" si="1482"/>
        <v/>
      </c>
      <c r="AU893" s="85" t="str">
        <f>IF(AR893&lt;Tablas!$G$19, 0, IF(AND(AR893&gt;=Tablas!$G$19, AR893&lt;Tablas!$G$20), 1,  IF(AND(AR893&gt;=Tablas!$G$20, AR893&lt;Tablas!$G$21), 2,  IF(AND(AR893&gt;=Tablas!$G$21, AR893&lt;=Tablas!$G$22), 3,  ""))))</f>
        <v/>
      </c>
      <c r="AV893" s="85" t="str">
        <f t="shared" si="1498"/>
        <v/>
      </c>
      <c r="AW893" s="101" t="str">
        <f t="shared" si="1499"/>
        <v/>
      </c>
      <c r="AX893" s="177"/>
      <c r="AY893" s="169"/>
      <c r="AZ893" s="158"/>
      <c r="BA893" s="169"/>
      <c r="BB893" s="182"/>
      <c r="BC893" s="182"/>
      <c r="BD893" s="185"/>
      <c r="BE893" s="185"/>
      <c r="BF893" s="158" t="str">
        <f t="shared" si="1559"/>
        <v/>
      </c>
      <c r="BG893" s="191"/>
    </row>
    <row r="894" spans="1:59" x14ac:dyDescent="0.25">
      <c r="A894" s="167"/>
      <c r="B894" s="167"/>
      <c r="C894" s="161"/>
      <c r="D894" s="160"/>
      <c r="E894" s="162"/>
      <c r="F894" s="164"/>
      <c r="G894" s="161"/>
      <c r="H894" s="161"/>
      <c r="I894" s="161"/>
      <c r="J894" s="161"/>
      <c r="K894" s="161"/>
      <c r="L894" s="166"/>
      <c r="M894" s="166"/>
      <c r="N894" s="166"/>
      <c r="O894" s="166"/>
      <c r="P894" s="166"/>
      <c r="Q894" s="166"/>
      <c r="R894" s="166"/>
      <c r="S894" s="167"/>
      <c r="T894" s="167"/>
      <c r="U894" s="167"/>
      <c r="V894" s="167"/>
      <c r="W894" s="167"/>
      <c r="X894" s="164"/>
      <c r="Y894" s="164"/>
      <c r="Z894" s="172"/>
      <c r="AA894" s="188"/>
      <c r="AB894" s="172"/>
      <c r="AC894" s="172"/>
      <c r="AD894" s="175"/>
      <c r="AE894" s="62" t="s">
        <v>115</v>
      </c>
      <c r="AF894" s="133"/>
      <c r="AG894" s="65"/>
      <c r="AH894" s="64"/>
      <c r="AI894" s="64"/>
      <c r="AJ894" s="64"/>
      <c r="AK894" s="64"/>
      <c r="AL894" s="64"/>
      <c r="AM894" s="80" t="str">
        <f>IFERROR((Tablas!$C$1*VLOOKUP(AH894, tipo_control, 2, 0)+Tablas!$E$1*VLOOKUP(AI894, nat_control, 2, 0)+Tablas!$G$1*VLOOKUP(AJ894, ev_control, 2, 0)+Tablas!$I$1*VLOOKUP(AK894, frec_control, 2, 0)+Tablas!$K$1*VLOOKUP(AL894, doc_control, 2, 0))*0.1*peso_dis, "")</f>
        <v/>
      </c>
      <c r="AN894" s="64"/>
      <c r="AO894" s="64"/>
      <c r="AP894" s="64"/>
      <c r="AQ894" s="80" t="str">
        <f>IFERROR((Tablas!$C$9*VLOOKUP(AN894, amb_control, 2, 0)+Tablas!$E$9*VLOOKUP(AO894, ejec_control, 2, 0)+Tablas!$G$9*VLOOKUP(AP894, cub_control, 2, 0))*0.1*peso_ejec, "")</f>
        <v/>
      </c>
      <c r="AR894" s="91" t="str">
        <f t="shared" si="1497"/>
        <v/>
      </c>
      <c r="AS894" s="85" t="str">
        <f t="shared" si="1481"/>
        <v/>
      </c>
      <c r="AT894" s="85" t="str">
        <f t="shared" si="1482"/>
        <v/>
      </c>
      <c r="AU894" s="85" t="str">
        <f>IF(AR894&lt;Tablas!$G$19, 0, IF(AND(AR894&gt;=Tablas!$G$19, AR894&lt;Tablas!$G$20), 1,  IF(AND(AR894&gt;=Tablas!$G$20, AR894&lt;Tablas!$G$21), 2,  IF(AND(AR894&gt;=Tablas!$G$21, AR894&lt;=Tablas!$G$22), 3,  ""))))</f>
        <v/>
      </c>
      <c r="AV894" s="85" t="str">
        <f t="shared" si="1498"/>
        <v/>
      </c>
      <c r="AW894" s="101" t="str">
        <f t="shared" si="1499"/>
        <v/>
      </c>
      <c r="AX894" s="177"/>
      <c r="AY894" s="169"/>
      <c r="AZ894" s="158"/>
      <c r="BA894" s="169"/>
      <c r="BB894" s="182"/>
      <c r="BC894" s="182"/>
      <c r="BD894" s="185"/>
      <c r="BE894" s="185"/>
      <c r="BF894" s="158" t="str">
        <f t="shared" si="1559"/>
        <v/>
      </c>
      <c r="BG894" s="191"/>
    </row>
    <row r="895" spans="1:59" x14ac:dyDescent="0.25">
      <c r="A895" s="167"/>
      <c r="B895" s="167"/>
      <c r="C895" s="161"/>
      <c r="D895" s="160"/>
      <c r="E895" s="162"/>
      <c r="F895" s="164"/>
      <c r="G895" s="161"/>
      <c r="H895" s="161"/>
      <c r="I895" s="161"/>
      <c r="J895" s="161"/>
      <c r="K895" s="161"/>
      <c r="L895" s="166"/>
      <c r="M895" s="166"/>
      <c r="N895" s="166"/>
      <c r="O895" s="166"/>
      <c r="P895" s="166"/>
      <c r="Q895" s="166"/>
      <c r="R895" s="166"/>
      <c r="S895" s="167"/>
      <c r="T895" s="167"/>
      <c r="U895" s="167"/>
      <c r="V895" s="167"/>
      <c r="W895" s="167"/>
      <c r="X895" s="164"/>
      <c r="Y895" s="164"/>
      <c r="Z895" s="172"/>
      <c r="AA895" s="188"/>
      <c r="AB895" s="172"/>
      <c r="AC895" s="172"/>
      <c r="AD895" s="175"/>
      <c r="AE895" s="62" t="s">
        <v>153</v>
      </c>
      <c r="AF895" s="133"/>
      <c r="AG895" s="65"/>
      <c r="AH895" s="64"/>
      <c r="AI895" s="64"/>
      <c r="AJ895" s="64"/>
      <c r="AK895" s="64"/>
      <c r="AL895" s="64"/>
      <c r="AM895" s="80" t="str">
        <f>IFERROR((Tablas!$C$1*VLOOKUP(AH895, tipo_control, 2, 0)+Tablas!$E$1*VLOOKUP(AI895, nat_control, 2, 0)+Tablas!$G$1*VLOOKUP(AJ895, ev_control, 2, 0)+Tablas!$I$1*VLOOKUP(AK895, frec_control, 2, 0)+Tablas!$K$1*VLOOKUP(AL895, doc_control, 2, 0))*0.1*peso_dis, "")</f>
        <v/>
      </c>
      <c r="AN895" s="64"/>
      <c r="AO895" s="64"/>
      <c r="AP895" s="64"/>
      <c r="AQ895" s="80" t="str">
        <f>IFERROR((Tablas!$C$9*VLOOKUP(AN895, amb_control, 2, 0)+Tablas!$E$9*VLOOKUP(AO895, ejec_control, 2, 0)+Tablas!$G$9*VLOOKUP(AP895, cub_control, 2, 0))*0.1*peso_ejec, "")</f>
        <v/>
      </c>
      <c r="AR895" s="91" t="str">
        <f t="shared" si="1497"/>
        <v/>
      </c>
      <c r="AS895" s="85" t="str">
        <f t="shared" si="1481"/>
        <v/>
      </c>
      <c r="AT895" s="85" t="str">
        <f t="shared" si="1482"/>
        <v/>
      </c>
      <c r="AU895" s="85" t="str">
        <f>IF(AR895&lt;Tablas!$G$19, 0, IF(AND(AR895&gt;=Tablas!$G$19, AR895&lt;Tablas!$G$20), 1,  IF(AND(AR895&gt;=Tablas!$G$20, AR895&lt;Tablas!$G$21), 2,  IF(AND(AR895&gt;=Tablas!$G$21, AR895&lt;=Tablas!$G$22), 3,  ""))))</f>
        <v/>
      </c>
      <c r="AV895" s="85" t="str">
        <f t="shared" si="1498"/>
        <v/>
      </c>
      <c r="AW895" s="101" t="str">
        <f t="shared" si="1499"/>
        <v/>
      </c>
      <c r="AX895" s="177"/>
      <c r="AY895" s="169"/>
      <c r="AZ895" s="158"/>
      <c r="BA895" s="169"/>
      <c r="BB895" s="182"/>
      <c r="BC895" s="182"/>
      <c r="BD895" s="185"/>
      <c r="BE895" s="185"/>
      <c r="BF895" s="158"/>
      <c r="BG895" s="191"/>
    </row>
    <row r="896" spans="1:59" ht="15.75" thickBot="1" x14ac:dyDescent="0.3">
      <c r="A896" s="167"/>
      <c r="B896" s="167"/>
      <c r="C896" s="161"/>
      <c r="D896" s="160"/>
      <c r="E896" s="162"/>
      <c r="F896" s="165"/>
      <c r="G896" s="161"/>
      <c r="H896" s="161"/>
      <c r="I896" s="161"/>
      <c r="J896" s="161"/>
      <c r="K896" s="161"/>
      <c r="L896" s="166"/>
      <c r="M896" s="166"/>
      <c r="N896" s="166"/>
      <c r="O896" s="166"/>
      <c r="P896" s="166"/>
      <c r="Q896" s="166"/>
      <c r="R896" s="166"/>
      <c r="S896" s="149"/>
      <c r="T896" s="149"/>
      <c r="U896" s="149"/>
      <c r="V896" s="149"/>
      <c r="W896" s="149"/>
      <c r="X896" s="165"/>
      <c r="Y896" s="165"/>
      <c r="Z896" s="172"/>
      <c r="AA896" s="188"/>
      <c r="AB896" s="172"/>
      <c r="AC896" s="172"/>
      <c r="AD896" s="175"/>
      <c r="AE896" s="66" t="s">
        <v>154</v>
      </c>
      <c r="AF896" s="134"/>
      <c r="AG896" s="67"/>
      <c r="AH896" s="69"/>
      <c r="AI896" s="69"/>
      <c r="AJ896" s="69"/>
      <c r="AK896" s="69"/>
      <c r="AL896" s="69"/>
      <c r="AM896" s="81" t="str">
        <f>IFERROR((Tablas!$C$1*VLOOKUP(AH896, tipo_control, 2, 0)+Tablas!$E$1*VLOOKUP(AI896, nat_control, 2, 0)+Tablas!$G$1*VLOOKUP(AJ896, ev_control, 2, 0)+Tablas!$I$1*VLOOKUP(AK896, frec_control, 2, 0)+Tablas!$K$1*VLOOKUP(AL896, doc_control, 2, 0))*0.1*peso_dis, "")</f>
        <v/>
      </c>
      <c r="AN896" s="69"/>
      <c r="AO896" s="69"/>
      <c r="AP896" s="69"/>
      <c r="AQ896" s="81" t="str">
        <f>IFERROR((Tablas!$C$9*VLOOKUP(AN896, amb_control, 2, 0)+Tablas!$E$9*VLOOKUP(AO896, ejec_control, 2, 0)+Tablas!$G$9*VLOOKUP(AP896, cub_control, 2, 0))*0.1*peso_ejec, "")</f>
        <v/>
      </c>
      <c r="AR896" s="93" t="str">
        <f t="shared" si="1497"/>
        <v/>
      </c>
      <c r="AS896" s="94" t="str">
        <f t="shared" si="1481"/>
        <v/>
      </c>
      <c r="AT896" s="94" t="str">
        <f t="shared" si="1482"/>
        <v/>
      </c>
      <c r="AU896" s="94" t="str">
        <f>IF(AR896&lt;Tablas!$G$19, 0, IF(AND(AR896&gt;=Tablas!$G$19, AR896&lt;Tablas!$G$20), 1,  IF(AND(AR896&gt;=Tablas!$G$20, AR896&lt;Tablas!$G$21), 2,  IF(AND(AR896&gt;=Tablas!$G$21, AR896&lt;=Tablas!$G$22), 3,  ""))))</f>
        <v/>
      </c>
      <c r="AV896" s="94" t="str">
        <f t="shared" si="1498"/>
        <v/>
      </c>
      <c r="AW896" s="102" t="str">
        <f t="shared" si="1499"/>
        <v/>
      </c>
      <c r="AX896" s="157"/>
      <c r="AY896" s="170"/>
      <c r="AZ896" s="179"/>
      <c r="BA896" s="170"/>
      <c r="BB896" s="182"/>
      <c r="BC896" s="182"/>
      <c r="BD896" s="185"/>
      <c r="BE896" s="185"/>
      <c r="BF896" s="159"/>
      <c r="BG896" s="191"/>
    </row>
    <row r="897" spans="1:59" x14ac:dyDescent="0.25">
      <c r="A897" s="167"/>
      <c r="B897" s="167"/>
      <c r="C897" s="161" t="s">
        <v>182</v>
      </c>
      <c r="D897" s="160" t="s">
        <v>158</v>
      </c>
      <c r="E897" s="162"/>
      <c r="F897" s="163" t="str">
        <f t="shared" si="1483"/>
        <v/>
      </c>
      <c r="G897" s="149"/>
      <c r="H897" s="149"/>
      <c r="I897" s="149"/>
      <c r="J897" s="149"/>
      <c r="K897" s="149"/>
      <c r="L897" s="165" t="str">
        <f t="shared" ref="L897" si="1560">IFERROR(VLOOKUP(G897, tabla02, 2, 0), "")</f>
        <v/>
      </c>
      <c r="M897" s="165" t="str">
        <f t="shared" ref="M897" si="1561">IFERROR(VLOOKUP(H897, tabla02, 2, 0), "")</f>
        <v/>
      </c>
      <c r="N897" s="165" t="str">
        <f t="shared" ref="N897" si="1562">IFERROR(VLOOKUP(I897, tabla02, 2, 0), "")</f>
        <v/>
      </c>
      <c r="O897" s="165" t="str">
        <f t="shared" ref="O897" si="1563">IFERROR(VLOOKUP(J897, tabla02, 2, 0), "")</f>
        <v/>
      </c>
      <c r="P897" s="165" t="str">
        <f t="shared" ref="P897" si="1564">IFERROR(VLOOKUP(K897, tabla02, 2, 0), "")</f>
        <v/>
      </c>
      <c r="Q897" s="165" t="str">
        <f t="shared" ref="Q897" si="1565">IF(SUM(L897:O901)=0, "", MAX(L897:P897))</f>
        <v/>
      </c>
      <c r="R897" s="165" t="str">
        <f>IFERROR(VLOOKUP(Q897, tabla04, 3, 0), "")</f>
        <v/>
      </c>
      <c r="S897" s="148"/>
      <c r="T897" s="148"/>
      <c r="U897" s="148"/>
      <c r="V897" s="148"/>
      <c r="W897" s="148"/>
      <c r="X897" s="163" t="str">
        <f>IFERROR(VLOOKUP(CONCATENATE(F897, "-", Q897), cuadrante_sev, 3, 0), "")</f>
        <v/>
      </c>
      <c r="Y897" s="163" t="str">
        <f t="shared" ref="Y897" si="1566">IFERROR(IF(X897="Baja", 1, IF(X897="Moderada", 2, IF(X897="Alta", 3, IF(X897="Extrema", 4, "")))), "")</f>
        <v/>
      </c>
      <c r="Z897" s="172"/>
      <c r="AA897" s="188"/>
      <c r="AB897" s="172"/>
      <c r="AC897" s="172"/>
      <c r="AD897" s="175"/>
      <c r="AE897" s="70" t="s">
        <v>113</v>
      </c>
      <c r="AF897" s="135"/>
      <c r="AG897" s="74"/>
      <c r="AH897" s="72"/>
      <c r="AI897" s="72"/>
      <c r="AJ897" s="72"/>
      <c r="AK897" s="72"/>
      <c r="AL897" s="72"/>
      <c r="AM897" s="82" t="str">
        <f>IFERROR((Tablas!$C$1*VLOOKUP(AH897, tipo_control, 2, 0)+Tablas!$E$1*VLOOKUP(AI897, nat_control, 2, 0)+Tablas!$G$1*VLOOKUP(AJ897, ev_control, 2, 0)+Tablas!$I$1*VLOOKUP(AK897, frec_control, 2, 0)+Tablas!$K$1*VLOOKUP(AL897, doc_control, 2, 0))*0.1*peso_dis, "")</f>
        <v/>
      </c>
      <c r="AN897" s="72"/>
      <c r="AO897" s="72"/>
      <c r="AP897" s="72"/>
      <c r="AQ897" s="82" t="str">
        <f>IFERROR((Tablas!$C$9*VLOOKUP(AN897, amb_control, 2, 0)+Tablas!$E$9*VLOOKUP(AO897, ejec_control, 2, 0)+Tablas!$G$9*VLOOKUP(AP897, cub_control, 2, 0))*0.1*peso_ejec, "")</f>
        <v/>
      </c>
      <c r="AR897" s="96" t="str">
        <f t="shared" si="1497"/>
        <v/>
      </c>
      <c r="AS897" s="97" t="str">
        <f t="shared" si="1481"/>
        <v/>
      </c>
      <c r="AT897" s="87" t="str">
        <f t="shared" si="1482"/>
        <v/>
      </c>
      <c r="AU897" s="97" t="str">
        <f>IF(AR897&lt;Tablas!$G$19, 0, IF(AND(AR897&gt;=Tablas!$G$19, AR897&lt;Tablas!$G$20), 1,  IF(AND(AR897&gt;=Tablas!$G$20, AR897&lt;Tablas!$G$21), 2,  IF(AND(AR897&gt;=Tablas!$G$21, AR897&lt;=Tablas!$G$22), 3,  ""))))</f>
        <v/>
      </c>
      <c r="AV897" s="97" t="str">
        <f t="shared" si="1498"/>
        <v/>
      </c>
      <c r="AW897" s="103" t="str">
        <f t="shared" si="1499"/>
        <v/>
      </c>
      <c r="AX897" s="176" t="str">
        <f t="shared" ref="AX897" si="1567">IFERROR(VLOOKUP(AY897, tabla04, 2, 0), "")</f>
        <v/>
      </c>
      <c r="AY897" s="168" t="str">
        <f>IF(F897="", "", IF((F897-MAX(AV897:AV901))&lt;=0, 1, F897-MAX(AV897:AV901)))</f>
        <v/>
      </c>
      <c r="AZ897" s="178" t="str">
        <f t="shared" ref="AZ897" si="1568">IFERROR(VLOOKUP(BA897, tabla04, 3, 0), "")</f>
        <v/>
      </c>
      <c r="BA897" s="168" t="str">
        <f>IF(Q897="", "", IF((Q897-MAX(AW897:AW901))&lt;=0, 1, Q897-MAX(AW897:AW901)))</f>
        <v/>
      </c>
      <c r="BB897" s="182"/>
      <c r="BC897" s="182"/>
      <c r="BD897" s="185"/>
      <c r="BE897" s="185"/>
      <c r="BF897" s="158" t="str">
        <f t="shared" ref="BF897:BF899" si="1569">IFERROR(VLOOKUP(CONCATENATE(AY897, "-", BA897), cuadrante_sev, 3, 0), "")</f>
        <v/>
      </c>
      <c r="BG897" s="191"/>
    </row>
    <row r="898" spans="1:59" x14ac:dyDescent="0.25">
      <c r="A898" s="167"/>
      <c r="B898" s="167"/>
      <c r="C898" s="161"/>
      <c r="D898" s="160"/>
      <c r="E898" s="162"/>
      <c r="F898" s="164"/>
      <c r="G898" s="161"/>
      <c r="H898" s="161"/>
      <c r="I898" s="161"/>
      <c r="J898" s="161"/>
      <c r="K898" s="161"/>
      <c r="L898" s="166"/>
      <c r="M898" s="166"/>
      <c r="N898" s="166"/>
      <c r="O898" s="166"/>
      <c r="P898" s="166"/>
      <c r="Q898" s="166"/>
      <c r="R898" s="166"/>
      <c r="S898" s="167"/>
      <c r="T898" s="167"/>
      <c r="U898" s="167"/>
      <c r="V898" s="167"/>
      <c r="W898" s="167"/>
      <c r="X898" s="164"/>
      <c r="Y898" s="164"/>
      <c r="Z898" s="172"/>
      <c r="AA898" s="188"/>
      <c r="AB898" s="172"/>
      <c r="AC898" s="172"/>
      <c r="AD898" s="175"/>
      <c r="AE898" s="62" t="s">
        <v>114</v>
      </c>
      <c r="AF898" s="133"/>
      <c r="AG898" s="65"/>
      <c r="AH898" s="64"/>
      <c r="AI898" s="64"/>
      <c r="AJ898" s="64"/>
      <c r="AK898" s="64"/>
      <c r="AL898" s="64"/>
      <c r="AM898" s="80" t="str">
        <f>IFERROR((Tablas!$C$1*VLOOKUP(AH898, tipo_control, 2, 0)+Tablas!$E$1*VLOOKUP(AI898, nat_control, 2, 0)+Tablas!$G$1*VLOOKUP(AJ898, ev_control, 2, 0)+Tablas!$I$1*VLOOKUP(AK898, frec_control, 2, 0)+Tablas!$K$1*VLOOKUP(AL898, doc_control, 2, 0))*0.1*peso_dis, "")</f>
        <v/>
      </c>
      <c r="AN898" s="64"/>
      <c r="AO898" s="64"/>
      <c r="AP898" s="64"/>
      <c r="AQ898" s="80" t="str">
        <f>IFERROR((Tablas!$C$9*VLOOKUP(AN898, amb_control, 2, 0)+Tablas!$E$9*VLOOKUP(AO898, ejec_control, 2, 0)+Tablas!$G$9*VLOOKUP(AP898, cub_control, 2, 0))*0.1*peso_ejec, "")</f>
        <v/>
      </c>
      <c r="AR898" s="91" t="str">
        <f t="shared" si="1497"/>
        <v/>
      </c>
      <c r="AS898" s="85" t="str">
        <f t="shared" si="1481"/>
        <v/>
      </c>
      <c r="AT898" s="85" t="str">
        <f t="shared" si="1482"/>
        <v/>
      </c>
      <c r="AU898" s="85" t="str">
        <f>IF(AR898&lt;Tablas!$G$19, 0, IF(AND(AR898&gt;=Tablas!$G$19, AR898&lt;Tablas!$G$20), 1,  IF(AND(AR898&gt;=Tablas!$G$20, AR898&lt;Tablas!$G$21), 2,  IF(AND(AR898&gt;=Tablas!$G$21, AR898&lt;=Tablas!$G$22), 3,  ""))))</f>
        <v/>
      </c>
      <c r="AV898" s="85" t="str">
        <f t="shared" si="1498"/>
        <v/>
      </c>
      <c r="AW898" s="101" t="str">
        <f t="shared" si="1499"/>
        <v/>
      </c>
      <c r="AX898" s="177"/>
      <c r="AY898" s="169"/>
      <c r="AZ898" s="158"/>
      <c r="BA898" s="169"/>
      <c r="BB898" s="182"/>
      <c r="BC898" s="182"/>
      <c r="BD898" s="185"/>
      <c r="BE898" s="185"/>
      <c r="BF898" s="158" t="str">
        <f t="shared" si="1569"/>
        <v/>
      </c>
      <c r="BG898" s="191"/>
    </row>
    <row r="899" spans="1:59" x14ac:dyDescent="0.25">
      <c r="A899" s="167"/>
      <c r="B899" s="167"/>
      <c r="C899" s="161"/>
      <c r="D899" s="160"/>
      <c r="E899" s="162"/>
      <c r="F899" s="164"/>
      <c r="G899" s="161"/>
      <c r="H899" s="161"/>
      <c r="I899" s="161"/>
      <c r="J899" s="161"/>
      <c r="K899" s="161"/>
      <c r="L899" s="166"/>
      <c r="M899" s="166"/>
      <c r="N899" s="166"/>
      <c r="O899" s="166"/>
      <c r="P899" s="166"/>
      <c r="Q899" s="166"/>
      <c r="R899" s="166"/>
      <c r="S899" s="167"/>
      <c r="T899" s="167"/>
      <c r="U899" s="167"/>
      <c r="V899" s="167"/>
      <c r="W899" s="167"/>
      <c r="X899" s="164"/>
      <c r="Y899" s="164"/>
      <c r="Z899" s="172"/>
      <c r="AA899" s="188"/>
      <c r="AB899" s="172"/>
      <c r="AC899" s="172"/>
      <c r="AD899" s="175"/>
      <c r="AE899" s="62" t="s">
        <v>115</v>
      </c>
      <c r="AF899" s="133"/>
      <c r="AG899" s="65"/>
      <c r="AH899" s="64"/>
      <c r="AI899" s="64"/>
      <c r="AJ899" s="64"/>
      <c r="AK899" s="64"/>
      <c r="AL899" s="64"/>
      <c r="AM899" s="80" t="str">
        <f>IFERROR((Tablas!$C$1*VLOOKUP(AH899, tipo_control, 2, 0)+Tablas!$E$1*VLOOKUP(AI899, nat_control, 2, 0)+Tablas!$G$1*VLOOKUP(AJ899, ev_control, 2, 0)+Tablas!$I$1*VLOOKUP(AK899, frec_control, 2, 0)+Tablas!$K$1*VLOOKUP(AL899, doc_control, 2, 0))*0.1*peso_dis, "")</f>
        <v/>
      </c>
      <c r="AN899" s="64"/>
      <c r="AO899" s="64"/>
      <c r="AP899" s="64"/>
      <c r="AQ899" s="80" t="str">
        <f>IFERROR((Tablas!$C$9*VLOOKUP(AN899, amb_control, 2, 0)+Tablas!$E$9*VLOOKUP(AO899, ejec_control, 2, 0)+Tablas!$G$9*VLOOKUP(AP899, cub_control, 2, 0))*0.1*peso_ejec, "")</f>
        <v/>
      </c>
      <c r="AR899" s="91" t="str">
        <f t="shared" si="1497"/>
        <v/>
      </c>
      <c r="AS899" s="85" t="str">
        <f t="shared" si="1481"/>
        <v/>
      </c>
      <c r="AT899" s="85" t="str">
        <f t="shared" si="1482"/>
        <v/>
      </c>
      <c r="AU899" s="85" t="str">
        <f>IF(AR899&lt;Tablas!$G$19, 0, IF(AND(AR899&gt;=Tablas!$G$19, AR899&lt;Tablas!$G$20), 1,  IF(AND(AR899&gt;=Tablas!$G$20, AR899&lt;Tablas!$G$21), 2,  IF(AND(AR899&gt;=Tablas!$G$21, AR899&lt;=Tablas!$G$22), 3,  ""))))</f>
        <v/>
      </c>
      <c r="AV899" s="85" t="str">
        <f t="shared" si="1498"/>
        <v/>
      </c>
      <c r="AW899" s="101" t="str">
        <f t="shared" si="1499"/>
        <v/>
      </c>
      <c r="AX899" s="177"/>
      <c r="AY899" s="169"/>
      <c r="AZ899" s="158"/>
      <c r="BA899" s="169"/>
      <c r="BB899" s="182"/>
      <c r="BC899" s="182"/>
      <c r="BD899" s="185"/>
      <c r="BE899" s="185"/>
      <c r="BF899" s="158" t="str">
        <f t="shared" si="1569"/>
        <v/>
      </c>
      <c r="BG899" s="191"/>
    </row>
    <row r="900" spans="1:59" x14ac:dyDescent="0.25">
      <c r="A900" s="167"/>
      <c r="B900" s="167"/>
      <c r="C900" s="161"/>
      <c r="D900" s="160"/>
      <c r="E900" s="162"/>
      <c r="F900" s="164"/>
      <c r="G900" s="161"/>
      <c r="H900" s="161"/>
      <c r="I900" s="161"/>
      <c r="J900" s="161"/>
      <c r="K900" s="161"/>
      <c r="L900" s="166"/>
      <c r="M900" s="166"/>
      <c r="N900" s="166"/>
      <c r="O900" s="166"/>
      <c r="P900" s="166"/>
      <c r="Q900" s="166"/>
      <c r="R900" s="166"/>
      <c r="S900" s="167"/>
      <c r="T900" s="167"/>
      <c r="U900" s="167"/>
      <c r="V900" s="167"/>
      <c r="W900" s="167"/>
      <c r="X900" s="164"/>
      <c r="Y900" s="164"/>
      <c r="Z900" s="172"/>
      <c r="AA900" s="188"/>
      <c r="AB900" s="172"/>
      <c r="AC900" s="172"/>
      <c r="AD900" s="175"/>
      <c r="AE900" s="62" t="s">
        <v>153</v>
      </c>
      <c r="AF900" s="133"/>
      <c r="AG900" s="65"/>
      <c r="AH900" s="64"/>
      <c r="AI900" s="64"/>
      <c r="AJ900" s="64"/>
      <c r="AK900" s="64"/>
      <c r="AL900" s="64"/>
      <c r="AM900" s="80" t="str">
        <f>IFERROR((Tablas!$C$1*VLOOKUP(AH900, tipo_control, 2, 0)+Tablas!$E$1*VLOOKUP(AI900, nat_control, 2, 0)+Tablas!$G$1*VLOOKUP(AJ900, ev_control, 2, 0)+Tablas!$I$1*VLOOKUP(AK900, frec_control, 2, 0)+Tablas!$K$1*VLOOKUP(AL900, doc_control, 2, 0))*0.1*peso_dis, "")</f>
        <v/>
      </c>
      <c r="AN900" s="64"/>
      <c r="AO900" s="64"/>
      <c r="AP900" s="64"/>
      <c r="AQ900" s="80" t="str">
        <f>IFERROR((Tablas!$C$9*VLOOKUP(AN900, amb_control, 2, 0)+Tablas!$E$9*VLOOKUP(AO900, ejec_control, 2, 0)+Tablas!$G$9*VLOOKUP(AP900, cub_control, 2, 0))*0.1*peso_ejec, "")</f>
        <v/>
      </c>
      <c r="AR900" s="91" t="str">
        <f t="shared" si="1497"/>
        <v/>
      </c>
      <c r="AS900" s="85" t="str">
        <f t="shared" si="1481"/>
        <v/>
      </c>
      <c r="AT900" s="85" t="str">
        <f t="shared" si="1482"/>
        <v/>
      </c>
      <c r="AU900" s="85" t="str">
        <f>IF(AR900&lt;Tablas!$G$19, 0, IF(AND(AR900&gt;=Tablas!$G$19, AR900&lt;Tablas!$G$20), 1,  IF(AND(AR900&gt;=Tablas!$G$20, AR900&lt;Tablas!$G$21), 2,  IF(AND(AR900&gt;=Tablas!$G$21, AR900&lt;=Tablas!$G$22), 3,  ""))))</f>
        <v/>
      </c>
      <c r="AV900" s="85" t="str">
        <f t="shared" si="1498"/>
        <v/>
      </c>
      <c r="AW900" s="101" t="str">
        <f t="shared" si="1499"/>
        <v/>
      </c>
      <c r="AX900" s="177"/>
      <c r="AY900" s="169"/>
      <c r="AZ900" s="158"/>
      <c r="BA900" s="169"/>
      <c r="BB900" s="182"/>
      <c r="BC900" s="182"/>
      <c r="BD900" s="185"/>
      <c r="BE900" s="185"/>
      <c r="BF900" s="158"/>
      <c r="BG900" s="191"/>
    </row>
    <row r="901" spans="1:59" ht="15.75" thickBot="1" x14ac:dyDescent="0.3">
      <c r="A901" s="167"/>
      <c r="B901" s="167"/>
      <c r="C901" s="161"/>
      <c r="D901" s="160"/>
      <c r="E901" s="162"/>
      <c r="F901" s="165"/>
      <c r="G901" s="161"/>
      <c r="H901" s="161"/>
      <c r="I901" s="161"/>
      <c r="J901" s="161"/>
      <c r="K901" s="161"/>
      <c r="L901" s="166"/>
      <c r="M901" s="166"/>
      <c r="N901" s="166"/>
      <c r="O901" s="166"/>
      <c r="P901" s="166"/>
      <c r="Q901" s="166"/>
      <c r="R901" s="166"/>
      <c r="S901" s="149"/>
      <c r="T901" s="149"/>
      <c r="U901" s="149"/>
      <c r="V901" s="149"/>
      <c r="W901" s="149"/>
      <c r="X901" s="165"/>
      <c r="Y901" s="165"/>
      <c r="Z901" s="172"/>
      <c r="AA901" s="188"/>
      <c r="AB901" s="172"/>
      <c r="AC901" s="172"/>
      <c r="AD901" s="175"/>
      <c r="AE901" s="66" t="s">
        <v>154</v>
      </c>
      <c r="AF901" s="134"/>
      <c r="AG901" s="67"/>
      <c r="AH901" s="69"/>
      <c r="AI901" s="69"/>
      <c r="AJ901" s="69"/>
      <c r="AK901" s="69"/>
      <c r="AL901" s="69"/>
      <c r="AM901" s="81" t="str">
        <f>IFERROR((Tablas!$C$1*VLOOKUP(AH901, tipo_control, 2, 0)+Tablas!$E$1*VLOOKUP(AI901, nat_control, 2, 0)+Tablas!$G$1*VLOOKUP(AJ901, ev_control, 2, 0)+Tablas!$I$1*VLOOKUP(AK901, frec_control, 2, 0)+Tablas!$K$1*VLOOKUP(AL901, doc_control, 2, 0))*0.1*peso_dis, "")</f>
        <v/>
      </c>
      <c r="AN901" s="69"/>
      <c r="AO901" s="69"/>
      <c r="AP901" s="69"/>
      <c r="AQ901" s="81" t="str">
        <f>IFERROR((Tablas!$C$9*VLOOKUP(AN901, amb_control, 2, 0)+Tablas!$E$9*VLOOKUP(AO901, ejec_control, 2, 0)+Tablas!$G$9*VLOOKUP(AP901, cub_control, 2, 0))*0.1*peso_ejec, "")</f>
        <v/>
      </c>
      <c r="AR901" s="93" t="str">
        <f t="shared" si="1497"/>
        <v/>
      </c>
      <c r="AS901" s="94" t="str">
        <f t="shared" si="1481"/>
        <v/>
      </c>
      <c r="AT901" s="94" t="str">
        <f t="shared" si="1482"/>
        <v/>
      </c>
      <c r="AU901" s="94" t="str">
        <f>IF(AR901&lt;Tablas!$G$19, 0, IF(AND(AR901&gt;=Tablas!$G$19, AR901&lt;Tablas!$G$20), 1,  IF(AND(AR901&gt;=Tablas!$G$20, AR901&lt;Tablas!$G$21), 2,  IF(AND(AR901&gt;=Tablas!$G$21, AR901&lt;=Tablas!$G$22), 3,  ""))))</f>
        <v/>
      </c>
      <c r="AV901" s="94" t="str">
        <f t="shared" si="1498"/>
        <v/>
      </c>
      <c r="AW901" s="102" t="str">
        <f t="shared" si="1499"/>
        <v/>
      </c>
      <c r="AX901" s="157"/>
      <c r="AY901" s="170"/>
      <c r="AZ901" s="179"/>
      <c r="BA901" s="170"/>
      <c r="BB901" s="182"/>
      <c r="BC901" s="182"/>
      <c r="BD901" s="185"/>
      <c r="BE901" s="185"/>
      <c r="BF901" s="159"/>
      <c r="BG901" s="191"/>
    </row>
    <row r="902" spans="1:59" x14ac:dyDescent="0.25">
      <c r="A902" s="167"/>
      <c r="B902" s="167"/>
      <c r="C902" s="161" t="s">
        <v>183</v>
      </c>
      <c r="D902" s="160" t="s">
        <v>158</v>
      </c>
      <c r="E902" s="162"/>
      <c r="F902" s="163" t="str">
        <f t="shared" si="1483"/>
        <v/>
      </c>
      <c r="G902" s="149"/>
      <c r="H902" s="149"/>
      <c r="I902" s="149"/>
      <c r="J902" s="149"/>
      <c r="K902" s="149"/>
      <c r="L902" s="165" t="str">
        <f t="shared" ref="L902" si="1570">IFERROR(VLOOKUP(G902, tabla02, 2, 0), "")</f>
        <v/>
      </c>
      <c r="M902" s="165" t="str">
        <f t="shared" ref="M902" si="1571">IFERROR(VLOOKUP(H902, tabla02, 2, 0), "")</f>
        <v/>
      </c>
      <c r="N902" s="165" t="str">
        <f t="shared" ref="N902" si="1572">IFERROR(VLOOKUP(I902, tabla02, 2, 0), "")</f>
        <v/>
      </c>
      <c r="O902" s="165" t="str">
        <f t="shared" ref="O902" si="1573">IFERROR(VLOOKUP(J902, tabla02, 2, 0), "")</f>
        <v/>
      </c>
      <c r="P902" s="165" t="str">
        <f t="shared" ref="P902" si="1574">IFERROR(VLOOKUP(K902, tabla02, 2, 0), "")</f>
        <v/>
      </c>
      <c r="Q902" s="165" t="str">
        <f t="shared" ref="Q902" si="1575">IF(SUM(L902:O906)=0, "", MAX(L902:P902))</f>
        <v/>
      </c>
      <c r="R902" s="165" t="str">
        <f>IFERROR(VLOOKUP(Q902, tabla04, 3, 0), "")</f>
        <v/>
      </c>
      <c r="S902" s="148"/>
      <c r="T902" s="148"/>
      <c r="U902" s="148"/>
      <c r="V902" s="148"/>
      <c r="W902" s="148"/>
      <c r="X902" s="163" t="str">
        <f>IFERROR(VLOOKUP(CONCATENATE(F902, "-", Q902), cuadrante_sev, 3, 0), "")</f>
        <v/>
      </c>
      <c r="Y902" s="163" t="str">
        <f t="shared" ref="Y902" si="1576">IFERROR(IF(X902="Baja", 1, IF(X902="Moderada", 2, IF(X902="Alta", 3, IF(X902="Extrema", 4, "")))), "")</f>
        <v/>
      </c>
      <c r="Z902" s="172"/>
      <c r="AA902" s="188"/>
      <c r="AB902" s="172"/>
      <c r="AC902" s="172"/>
      <c r="AD902" s="175"/>
      <c r="AE902" s="70" t="s">
        <v>113</v>
      </c>
      <c r="AF902" s="135"/>
      <c r="AG902" s="74"/>
      <c r="AH902" s="72"/>
      <c r="AI902" s="72"/>
      <c r="AJ902" s="72"/>
      <c r="AK902" s="72"/>
      <c r="AL902" s="72"/>
      <c r="AM902" s="82" t="str">
        <f>IFERROR((Tablas!$C$1*VLOOKUP(AH902, tipo_control, 2, 0)+Tablas!$E$1*VLOOKUP(AI902, nat_control, 2, 0)+Tablas!$G$1*VLOOKUP(AJ902, ev_control, 2, 0)+Tablas!$I$1*VLOOKUP(AK902, frec_control, 2, 0)+Tablas!$K$1*VLOOKUP(AL902, doc_control, 2, 0))*0.1*peso_dis, "")</f>
        <v/>
      </c>
      <c r="AN902" s="72"/>
      <c r="AO902" s="72"/>
      <c r="AP902" s="72"/>
      <c r="AQ902" s="82" t="str">
        <f>IFERROR((Tablas!$C$9*VLOOKUP(AN902, amb_control, 2, 0)+Tablas!$E$9*VLOOKUP(AO902, ejec_control, 2, 0)+Tablas!$G$9*VLOOKUP(AP902, cub_control, 2, 0))*0.1*peso_ejec, "")</f>
        <v/>
      </c>
      <c r="AR902" s="96" t="str">
        <f t="shared" si="1497"/>
        <v/>
      </c>
      <c r="AS902" s="97" t="str">
        <f t="shared" si="1481"/>
        <v/>
      </c>
      <c r="AT902" s="87" t="str">
        <f t="shared" si="1482"/>
        <v/>
      </c>
      <c r="AU902" s="97" t="str">
        <f>IF(AR902&lt;Tablas!$G$19, 0, IF(AND(AR902&gt;=Tablas!$G$19, AR902&lt;Tablas!$G$20), 1,  IF(AND(AR902&gt;=Tablas!$G$20, AR902&lt;Tablas!$G$21), 2,  IF(AND(AR902&gt;=Tablas!$G$21, AR902&lt;=Tablas!$G$22), 3,  ""))))</f>
        <v/>
      </c>
      <c r="AV902" s="97" t="str">
        <f t="shared" si="1498"/>
        <v/>
      </c>
      <c r="AW902" s="103" t="str">
        <f t="shared" si="1499"/>
        <v/>
      </c>
      <c r="AX902" s="176" t="str">
        <f t="shared" ref="AX902" si="1577">IFERROR(VLOOKUP(AY902, tabla04, 2, 0), "")</f>
        <v/>
      </c>
      <c r="AY902" s="168" t="str">
        <f>IF(F902="", "", IF((F902-MAX(AV902:AV906))&lt;=0, 1, F902-MAX(AV902:AV906)))</f>
        <v/>
      </c>
      <c r="AZ902" s="178" t="str">
        <f t="shared" ref="AZ902" si="1578">IFERROR(VLOOKUP(BA902, tabla04, 3, 0), "")</f>
        <v/>
      </c>
      <c r="BA902" s="168" t="str">
        <f>IF(Q902="", "", IF((Q902-MAX(AW902:AW906))&lt;=0, 1, Q902-MAX(AW902:AW906)))</f>
        <v/>
      </c>
      <c r="BB902" s="182"/>
      <c r="BC902" s="182"/>
      <c r="BD902" s="185"/>
      <c r="BE902" s="185"/>
      <c r="BF902" s="158" t="str">
        <f t="shared" ref="BF902:BF904" si="1579">IFERROR(VLOOKUP(CONCATENATE(AY902, "-", BA902), cuadrante_sev, 3, 0), "")</f>
        <v/>
      </c>
      <c r="BG902" s="191"/>
    </row>
    <row r="903" spans="1:59" x14ac:dyDescent="0.25">
      <c r="A903" s="167"/>
      <c r="B903" s="167"/>
      <c r="C903" s="161"/>
      <c r="D903" s="160"/>
      <c r="E903" s="162"/>
      <c r="F903" s="164"/>
      <c r="G903" s="161"/>
      <c r="H903" s="161"/>
      <c r="I903" s="161"/>
      <c r="J903" s="161"/>
      <c r="K903" s="161"/>
      <c r="L903" s="166"/>
      <c r="M903" s="166"/>
      <c r="N903" s="166"/>
      <c r="O903" s="166"/>
      <c r="P903" s="166"/>
      <c r="Q903" s="166"/>
      <c r="R903" s="166"/>
      <c r="S903" s="167"/>
      <c r="T903" s="167"/>
      <c r="U903" s="167"/>
      <c r="V903" s="167"/>
      <c r="W903" s="167"/>
      <c r="X903" s="164"/>
      <c r="Y903" s="164"/>
      <c r="Z903" s="172"/>
      <c r="AA903" s="188"/>
      <c r="AB903" s="172"/>
      <c r="AC903" s="172"/>
      <c r="AD903" s="175"/>
      <c r="AE903" s="62" t="s">
        <v>114</v>
      </c>
      <c r="AF903" s="133"/>
      <c r="AG903" s="65"/>
      <c r="AH903" s="64"/>
      <c r="AI903" s="64"/>
      <c r="AJ903" s="64"/>
      <c r="AK903" s="64"/>
      <c r="AL903" s="64"/>
      <c r="AM903" s="80" t="str">
        <f>IFERROR((Tablas!$C$1*VLOOKUP(AH903, tipo_control, 2, 0)+Tablas!$E$1*VLOOKUP(AI903, nat_control, 2, 0)+Tablas!$G$1*VLOOKUP(AJ903, ev_control, 2, 0)+Tablas!$I$1*VLOOKUP(AK903, frec_control, 2, 0)+Tablas!$K$1*VLOOKUP(AL903, doc_control, 2, 0))*0.1*peso_dis, "")</f>
        <v/>
      </c>
      <c r="AN903" s="64"/>
      <c r="AO903" s="64"/>
      <c r="AP903" s="64"/>
      <c r="AQ903" s="80" t="str">
        <f>IFERROR((Tablas!$C$9*VLOOKUP(AN903, amb_control, 2, 0)+Tablas!$E$9*VLOOKUP(AO903, ejec_control, 2, 0)+Tablas!$G$9*VLOOKUP(AP903, cub_control, 2, 0))*0.1*peso_ejec, "")</f>
        <v/>
      </c>
      <c r="AR903" s="91" t="str">
        <f t="shared" si="1497"/>
        <v/>
      </c>
      <c r="AS903" s="85" t="str">
        <f t="shared" si="1481"/>
        <v/>
      </c>
      <c r="AT903" s="85" t="str">
        <f t="shared" si="1482"/>
        <v/>
      </c>
      <c r="AU903" s="85" t="str">
        <f>IF(AR903&lt;Tablas!$G$19, 0, IF(AND(AR903&gt;=Tablas!$G$19, AR903&lt;Tablas!$G$20), 1,  IF(AND(AR903&gt;=Tablas!$G$20, AR903&lt;Tablas!$G$21), 2,  IF(AND(AR903&gt;=Tablas!$G$21, AR903&lt;=Tablas!$G$22), 3,  ""))))</f>
        <v/>
      </c>
      <c r="AV903" s="85" t="str">
        <f t="shared" si="1498"/>
        <v/>
      </c>
      <c r="AW903" s="101" t="str">
        <f t="shared" si="1499"/>
        <v/>
      </c>
      <c r="AX903" s="177"/>
      <c r="AY903" s="169"/>
      <c r="AZ903" s="158"/>
      <c r="BA903" s="169"/>
      <c r="BB903" s="182"/>
      <c r="BC903" s="182"/>
      <c r="BD903" s="185"/>
      <c r="BE903" s="185"/>
      <c r="BF903" s="158" t="str">
        <f t="shared" si="1579"/>
        <v/>
      </c>
      <c r="BG903" s="191"/>
    </row>
    <row r="904" spans="1:59" x14ac:dyDescent="0.25">
      <c r="A904" s="167"/>
      <c r="B904" s="167"/>
      <c r="C904" s="161"/>
      <c r="D904" s="160"/>
      <c r="E904" s="162"/>
      <c r="F904" s="164"/>
      <c r="G904" s="161"/>
      <c r="H904" s="161"/>
      <c r="I904" s="161"/>
      <c r="J904" s="161"/>
      <c r="K904" s="161"/>
      <c r="L904" s="166"/>
      <c r="M904" s="166"/>
      <c r="N904" s="166"/>
      <c r="O904" s="166"/>
      <c r="P904" s="166"/>
      <c r="Q904" s="166"/>
      <c r="R904" s="166"/>
      <c r="S904" s="167"/>
      <c r="T904" s="167"/>
      <c r="U904" s="167"/>
      <c r="V904" s="167"/>
      <c r="W904" s="167"/>
      <c r="X904" s="164"/>
      <c r="Y904" s="164"/>
      <c r="Z904" s="172"/>
      <c r="AA904" s="188"/>
      <c r="AB904" s="172"/>
      <c r="AC904" s="172"/>
      <c r="AD904" s="175"/>
      <c r="AE904" s="62" t="s">
        <v>115</v>
      </c>
      <c r="AF904" s="133"/>
      <c r="AG904" s="65"/>
      <c r="AH904" s="64"/>
      <c r="AI904" s="64"/>
      <c r="AJ904" s="64"/>
      <c r="AK904" s="64"/>
      <c r="AL904" s="64"/>
      <c r="AM904" s="80" t="str">
        <f>IFERROR((Tablas!$C$1*VLOOKUP(AH904, tipo_control, 2, 0)+Tablas!$E$1*VLOOKUP(AI904, nat_control, 2, 0)+Tablas!$G$1*VLOOKUP(AJ904, ev_control, 2, 0)+Tablas!$I$1*VLOOKUP(AK904, frec_control, 2, 0)+Tablas!$K$1*VLOOKUP(AL904, doc_control, 2, 0))*0.1*peso_dis, "")</f>
        <v/>
      </c>
      <c r="AN904" s="64"/>
      <c r="AO904" s="64"/>
      <c r="AP904" s="64"/>
      <c r="AQ904" s="80" t="str">
        <f>IFERROR((Tablas!$C$9*VLOOKUP(AN904, amb_control, 2, 0)+Tablas!$E$9*VLOOKUP(AO904, ejec_control, 2, 0)+Tablas!$G$9*VLOOKUP(AP904, cub_control, 2, 0))*0.1*peso_ejec, "")</f>
        <v/>
      </c>
      <c r="AR904" s="91" t="str">
        <f t="shared" si="1497"/>
        <v/>
      </c>
      <c r="AS904" s="85" t="str">
        <f t="shared" si="1481"/>
        <v/>
      </c>
      <c r="AT904" s="85" t="str">
        <f t="shared" si="1482"/>
        <v/>
      </c>
      <c r="AU904" s="85" t="str">
        <f>IF(AR904&lt;Tablas!$G$19, 0, IF(AND(AR904&gt;=Tablas!$G$19, AR904&lt;Tablas!$G$20), 1,  IF(AND(AR904&gt;=Tablas!$G$20, AR904&lt;Tablas!$G$21), 2,  IF(AND(AR904&gt;=Tablas!$G$21, AR904&lt;=Tablas!$G$22), 3,  ""))))</f>
        <v/>
      </c>
      <c r="AV904" s="85" t="str">
        <f t="shared" si="1498"/>
        <v/>
      </c>
      <c r="AW904" s="101" t="str">
        <f t="shared" si="1499"/>
        <v/>
      </c>
      <c r="AX904" s="177"/>
      <c r="AY904" s="169"/>
      <c r="AZ904" s="158"/>
      <c r="BA904" s="169"/>
      <c r="BB904" s="182"/>
      <c r="BC904" s="182"/>
      <c r="BD904" s="185"/>
      <c r="BE904" s="185"/>
      <c r="BF904" s="158" t="str">
        <f t="shared" si="1579"/>
        <v/>
      </c>
      <c r="BG904" s="191"/>
    </row>
    <row r="905" spans="1:59" x14ac:dyDescent="0.25">
      <c r="A905" s="167"/>
      <c r="B905" s="167"/>
      <c r="C905" s="161"/>
      <c r="D905" s="160"/>
      <c r="E905" s="162"/>
      <c r="F905" s="164"/>
      <c r="G905" s="161"/>
      <c r="H905" s="161"/>
      <c r="I905" s="161"/>
      <c r="J905" s="161"/>
      <c r="K905" s="161"/>
      <c r="L905" s="166"/>
      <c r="M905" s="166"/>
      <c r="N905" s="166"/>
      <c r="O905" s="166"/>
      <c r="P905" s="166"/>
      <c r="Q905" s="166"/>
      <c r="R905" s="166"/>
      <c r="S905" s="167"/>
      <c r="T905" s="167"/>
      <c r="U905" s="167"/>
      <c r="V905" s="167"/>
      <c r="W905" s="167"/>
      <c r="X905" s="164"/>
      <c r="Y905" s="164"/>
      <c r="Z905" s="172"/>
      <c r="AA905" s="188"/>
      <c r="AB905" s="172"/>
      <c r="AC905" s="172"/>
      <c r="AD905" s="175"/>
      <c r="AE905" s="62" t="s">
        <v>153</v>
      </c>
      <c r="AF905" s="133"/>
      <c r="AG905" s="65"/>
      <c r="AH905" s="64"/>
      <c r="AI905" s="64"/>
      <c r="AJ905" s="64"/>
      <c r="AK905" s="64"/>
      <c r="AL905" s="64"/>
      <c r="AM905" s="80" t="str">
        <f>IFERROR((Tablas!$C$1*VLOOKUP(AH905, tipo_control, 2, 0)+Tablas!$E$1*VLOOKUP(AI905, nat_control, 2, 0)+Tablas!$G$1*VLOOKUP(AJ905, ev_control, 2, 0)+Tablas!$I$1*VLOOKUP(AK905, frec_control, 2, 0)+Tablas!$K$1*VLOOKUP(AL905, doc_control, 2, 0))*0.1*peso_dis, "")</f>
        <v/>
      </c>
      <c r="AN905" s="64"/>
      <c r="AO905" s="64"/>
      <c r="AP905" s="64"/>
      <c r="AQ905" s="80" t="str">
        <f>IFERROR((Tablas!$C$9*VLOOKUP(AN905, amb_control, 2, 0)+Tablas!$E$9*VLOOKUP(AO905, ejec_control, 2, 0)+Tablas!$G$9*VLOOKUP(AP905, cub_control, 2, 0))*0.1*peso_ejec, "")</f>
        <v/>
      </c>
      <c r="AR905" s="91" t="str">
        <f t="shared" si="1497"/>
        <v/>
      </c>
      <c r="AS905" s="85" t="str">
        <f t="shared" si="1481"/>
        <v/>
      </c>
      <c r="AT905" s="85" t="str">
        <f t="shared" si="1482"/>
        <v/>
      </c>
      <c r="AU905" s="85" t="str">
        <f>IF(AR905&lt;Tablas!$G$19, 0, IF(AND(AR905&gt;=Tablas!$G$19, AR905&lt;Tablas!$G$20), 1,  IF(AND(AR905&gt;=Tablas!$G$20, AR905&lt;Tablas!$G$21), 2,  IF(AND(AR905&gt;=Tablas!$G$21, AR905&lt;=Tablas!$G$22), 3,  ""))))</f>
        <v/>
      </c>
      <c r="AV905" s="85" t="str">
        <f t="shared" si="1498"/>
        <v/>
      </c>
      <c r="AW905" s="101" t="str">
        <f t="shared" si="1499"/>
        <v/>
      </c>
      <c r="AX905" s="177"/>
      <c r="AY905" s="169"/>
      <c r="AZ905" s="158"/>
      <c r="BA905" s="169"/>
      <c r="BB905" s="182"/>
      <c r="BC905" s="182"/>
      <c r="BD905" s="185"/>
      <c r="BE905" s="185"/>
      <c r="BF905" s="158"/>
      <c r="BG905" s="191"/>
    </row>
    <row r="906" spans="1:59" ht="15.75" thickBot="1" x14ac:dyDescent="0.3">
      <c r="A906" s="149"/>
      <c r="B906" s="149"/>
      <c r="C906" s="161"/>
      <c r="D906" s="160"/>
      <c r="E906" s="162"/>
      <c r="F906" s="165"/>
      <c r="G906" s="161"/>
      <c r="H906" s="161"/>
      <c r="I906" s="161"/>
      <c r="J906" s="161"/>
      <c r="K906" s="161"/>
      <c r="L906" s="166"/>
      <c r="M906" s="166"/>
      <c r="N906" s="166"/>
      <c r="O906" s="166"/>
      <c r="P906" s="166"/>
      <c r="Q906" s="166"/>
      <c r="R906" s="166"/>
      <c r="S906" s="149"/>
      <c r="T906" s="149"/>
      <c r="U906" s="149"/>
      <c r="V906" s="149"/>
      <c r="W906" s="149"/>
      <c r="X906" s="165"/>
      <c r="Y906" s="165"/>
      <c r="Z906" s="173"/>
      <c r="AA906" s="189"/>
      <c r="AB906" s="173"/>
      <c r="AC906" s="173"/>
      <c r="AD906" s="175"/>
      <c r="AE906" s="75" t="s">
        <v>154</v>
      </c>
      <c r="AF906" s="136"/>
      <c r="AG906" s="68"/>
      <c r="AH906" s="76"/>
      <c r="AI906" s="76"/>
      <c r="AJ906" s="76"/>
      <c r="AK906" s="76"/>
      <c r="AL906" s="76"/>
      <c r="AM906" s="83" t="str">
        <f>IFERROR((Tablas!$C$1*VLOOKUP(AH906, tipo_control, 2, 0)+Tablas!$E$1*VLOOKUP(AI906, nat_control, 2, 0)+Tablas!$G$1*VLOOKUP(AJ906, ev_control, 2, 0)+Tablas!$I$1*VLOOKUP(AK906, frec_control, 2, 0)+Tablas!$K$1*VLOOKUP(AL906, doc_control, 2, 0))*0.1*peso_dis, "")</f>
        <v/>
      </c>
      <c r="AN906" s="76"/>
      <c r="AO906" s="76"/>
      <c r="AP906" s="76"/>
      <c r="AQ906" s="83" t="str">
        <f>IFERROR((Tablas!$C$9*VLOOKUP(AN906, amb_control, 2, 0)+Tablas!$E$9*VLOOKUP(AO906, ejec_control, 2, 0)+Tablas!$G$9*VLOOKUP(AP906, cub_control, 2, 0))*0.1*peso_ejec, "")</f>
        <v/>
      </c>
      <c r="AR906" s="99" t="str">
        <f t="shared" si="1497"/>
        <v/>
      </c>
      <c r="AS906" s="86" t="str">
        <f t="shared" si="1481"/>
        <v/>
      </c>
      <c r="AT906" s="86" t="str">
        <f t="shared" si="1482"/>
        <v/>
      </c>
      <c r="AU906" s="86" t="str">
        <f>IF(AR906&lt;Tablas!$G$19, 0, IF(AND(AR906&gt;=Tablas!$G$19, AR906&lt;Tablas!$G$20), 1,  IF(AND(AR906&gt;=Tablas!$G$20, AR906&lt;Tablas!$G$21), 2,  IF(AND(AR906&gt;=Tablas!$G$21, AR906&lt;=Tablas!$G$22), 3,  ""))))</f>
        <v/>
      </c>
      <c r="AV906" s="86" t="str">
        <f t="shared" si="1498"/>
        <v/>
      </c>
      <c r="AW906" s="84" t="str">
        <f t="shared" si="1499"/>
        <v/>
      </c>
      <c r="AX906" s="157"/>
      <c r="AY906" s="170"/>
      <c r="AZ906" s="179"/>
      <c r="BA906" s="170"/>
      <c r="BB906" s="183"/>
      <c r="BC906" s="183"/>
      <c r="BD906" s="186"/>
      <c r="BE906" s="186"/>
      <c r="BF906" s="159"/>
      <c r="BG906" s="191"/>
    </row>
    <row r="907" spans="1:59" x14ac:dyDescent="0.25">
      <c r="A907" s="148" t="s">
        <v>211</v>
      </c>
      <c r="B907" s="148" t="s">
        <v>212</v>
      </c>
      <c r="C907" s="161" t="s">
        <v>14</v>
      </c>
      <c r="D907" s="160" t="s">
        <v>158</v>
      </c>
      <c r="E907" s="193"/>
      <c r="F907" s="163" t="str">
        <f t="shared" si="1483"/>
        <v/>
      </c>
      <c r="G907" s="149"/>
      <c r="H907" s="149"/>
      <c r="I907" s="149"/>
      <c r="J907" s="149"/>
      <c r="K907" s="149"/>
      <c r="L907" s="165" t="str">
        <f>IFERROR(VLOOKUP(G907, tabla02, 2, 0), "")</f>
        <v/>
      </c>
      <c r="M907" s="165" t="str">
        <f>IFERROR(VLOOKUP(H907, tabla02, 2, 0), "")</f>
        <v/>
      </c>
      <c r="N907" s="165" t="str">
        <f>IFERROR(VLOOKUP(I907, tabla02, 2, 0), "")</f>
        <v/>
      </c>
      <c r="O907" s="165" t="str">
        <f>IFERROR(VLOOKUP(J907, tabla02, 2, 0), "")</f>
        <v/>
      </c>
      <c r="P907" s="165" t="str">
        <f>IFERROR(VLOOKUP(K907, tabla02, 2, 0), "")</f>
        <v/>
      </c>
      <c r="Q907" s="165" t="str">
        <f t="shared" ref="Q907" si="1580">IF(SUM(L907:O911)=0, "", MAX(L907:P907))</f>
        <v/>
      </c>
      <c r="R907" s="165" t="str">
        <f>IFERROR(VLOOKUP(Q907, tabla04, 3, 0), "")</f>
        <v/>
      </c>
      <c r="S907" s="148"/>
      <c r="T907" s="148"/>
      <c r="U907" s="148"/>
      <c r="V907" s="148"/>
      <c r="W907" s="148"/>
      <c r="X907" s="164" t="str">
        <f>IFERROR(VLOOKUP(CONCATENATE(F907, "-", Q907), cuadrante_sev, 3, 0), "")</f>
        <v/>
      </c>
      <c r="Y907" s="163" t="str">
        <f>IFERROR(IF(X907="Baja", 1, IF(X907="Moderada", 2, IF(X907="Alta", 3, IF(X907="Extrema", 4, "")))), "")</f>
        <v/>
      </c>
      <c r="Z907" s="171">
        <f t="shared" ref="Z907" si="1581">MAX(F907:F956)</f>
        <v>0</v>
      </c>
      <c r="AA907" s="187">
        <f t="shared" ref="AA907" si="1582">MAX(Q907:Q956)</f>
        <v>0</v>
      </c>
      <c r="AB907" s="171" t="str">
        <f>IFERROR(VLOOKUP(Z907, tabla04, 2, 0), "")</f>
        <v/>
      </c>
      <c r="AC907" s="171" t="str">
        <f>IFERROR(VLOOKUP(AA907, tabla04, 3, 0), "")</f>
        <v/>
      </c>
      <c r="AD907" s="174" t="str">
        <f>IFERROR(VLOOKUP(CONCATENATE(Z907, "-", AA907), cuadrante_sev, 3, 0), "")</f>
        <v/>
      </c>
      <c r="AE907" s="59" t="s">
        <v>113</v>
      </c>
      <c r="AF907" s="132"/>
      <c r="AG907" s="77"/>
      <c r="AH907" s="61"/>
      <c r="AI907" s="61"/>
      <c r="AJ907" s="61"/>
      <c r="AK907" s="61"/>
      <c r="AL907" s="61"/>
      <c r="AM907" s="79" t="str">
        <f>IFERROR((Tablas!$C$1*VLOOKUP(AH907, tipo_control, 2, 0)+Tablas!$E$1*VLOOKUP(AI907, nat_control, 2, 0)+Tablas!$G$1*VLOOKUP(AJ907, ev_control, 2, 0)+Tablas!$I$1*VLOOKUP(AK907, frec_control, 2, 0)+Tablas!$K$1*VLOOKUP(AL907, doc_control, 2, 0))*0.1*peso_dis, "")</f>
        <v/>
      </c>
      <c r="AN907" s="61"/>
      <c r="AO907" s="61"/>
      <c r="AP907" s="61"/>
      <c r="AQ907" s="79" t="str">
        <f>IFERROR((Tablas!$C$9*VLOOKUP(AN907, amb_control, 2, 0)+Tablas!$E$9*VLOOKUP(AO907, ejec_control, 2, 0)+Tablas!$G$9*VLOOKUP(AP907, cub_control, 2, 0))*0.1*peso_ejec, "")</f>
        <v/>
      </c>
      <c r="AR907" s="89" t="str">
        <f>IFERROR(AM907+AQ907, "")</f>
        <v/>
      </c>
      <c r="AS907" s="87" t="str">
        <f t="shared" si="1481"/>
        <v/>
      </c>
      <c r="AT907" s="87" t="str">
        <f t="shared" si="1482"/>
        <v/>
      </c>
      <c r="AU907" s="87" t="str">
        <f>IF(AR907&lt;Tablas!$G$19, 0, IF(AND(AR907&gt;=Tablas!$G$19, AR907&lt;Tablas!$G$20), 1,  IF(AND(AR907&gt;=Tablas!$G$20, AR907&lt;Tablas!$G$21), 2,  IF(AND(AR907&gt;=Tablas!$G$21, AR907&lt;=Tablas!$G$22), 3,  ""))))</f>
        <v/>
      </c>
      <c r="AV907" s="87" t="str">
        <f>IF(AS907="Sí",AU907,"")</f>
        <v/>
      </c>
      <c r="AW907" s="100" t="str">
        <f>IF(AT907="Sí",AU907,"")</f>
        <v/>
      </c>
      <c r="AX907" s="176" t="str">
        <f>IFERROR(VLOOKUP(AY907, tabla04, 2, 0), "")</f>
        <v/>
      </c>
      <c r="AY907" s="168" t="str">
        <f>IF(F907="", "", IF((F907-MAX(AV907:AV911))&lt;=0, 1, F907-MAX(AV907:AV911)))</f>
        <v/>
      </c>
      <c r="AZ907" s="178" t="str">
        <f>IFERROR(VLOOKUP(BA907, tabla04, 3, 0), "")</f>
        <v/>
      </c>
      <c r="BA907" s="168" t="str">
        <f>IF(Q907="", "", IF((Q907-MAX(AW907:AW911))&lt;=0, 1, Q907-MAX(AW907:AW911)))</f>
        <v/>
      </c>
      <c r="BB907" s="170">
        <f>IFERROR(MAX(AY907:AY956), "")</f>
        <v>0</v>
      </c>
      <c r="BC907" s="170">
        <f>IFERROR(MAX(BA907:BA956), "")</f>
        <v>0</v>
      </c>
      <c r="BD907" s="184" t="str">
        <f>IFERROR(VLOOKUP(BB907, tabla04, 2, 0), "")</f>
        <v/>
      </c>
      <c r="BE907" s="184" t="str">
        <f>IFERROR(VLOOKUP(BC907, tabla04, 3, 0), "")</f>
        <v/>
      </c>
      <c r="BF907" s="158" t="str">
        <f>IFERROR(VLOOKUP(CONCATENATE(AY907, "-", BA907), cuadrante_sev, 3, 0), "")</f>
        <v/>
      </c>
      <c r="BG907" s="190" t="str">
        <f>IFERROR(VLOOKUP(CONCATENATE(BB907, "-", BC907), cuadrante_sev, 3, 0), "")</f>
        <v/>
      </c>
    </row>
    <row r="908" spans="1:59" x14ac:dyDescent="0.25">
      <c r="A908" s="167"/>
      <c r="B908" s="167"/>
      <c r="C908" s="161"/>
      <c r="D908" s="160"/>
      <c r="E908" s="162"/>
      <c r="F908" s="164"/>
      <c r="G908" s="161"/>
      <c r="H908" s="161"/>
      <c r="I908" s="161"/>
      <c r="J908" s="161"/>
      <c r="K908" s="161"/>
      <c r="L908" s="166"/>
      <c r="M908" s="166"/>
      <c r="N908" s="166"/>
      <c r="O908" s="166"/>
      <c r="P908" s="166"/>
      <c r="Q908" s="166"/>
      <c r="R908" s="166"/>
      <c r="S908" s="167"/>
      <c r="T908" s="167"/>
      <c r="U908" s="167"/>
      <c r="V908" s="167"/>
      <c r="W908" s="167"/>
      <c r="X908" s="164"/>
      <c r="Y908" s="164"/>
      <c r="Z908" s="172"/>
      <c r="AA908" s="188"/>
      <c r="AB908" s="172"/>
      <c r="AC908" s="172"/>
      <c r="AD908" s="175"/>
      <c r="AE908" s="62" t="s">
        <v>114</v>
      </c>
      <c r="AF908" s="133"/>
      <c r="AG908" s="65"/>
      <c r="AH908" s="64"/>
      <c r="AI908" s="64"/>
      <c r="AJ908" s="64"/>
      <c r="AK908" s="64"/>
      <c r="AL908" s="64"/>
      <c r="AM908" s="80" t="str">
        <f>IFERROR((Tablas!$C$1*VLOOKUP(AH908, tipo_control, 2, 0)+Tablas!$E$1*VLOOKUP(AI908, nat_control, 2, 0)+Tablas!$G$1*VLOOKUP(AJ908, ev_control, 2, 0)+Tablas!$I$1*VLOOKUP(AK908, frec_control, 2, 0)+Tablas!$K$1*VLOOKUP(AL908, doc_control, 2, 0))*0.1*peso_dis, "")</f>
        <v/>
      </c>
      <c r="AN908" s="64"/>
      <c r="AO908" s="64"/>
      <c r="AP908" s="64"/>
      <c r="AQ908" s="80" t="str">
        <f>IFERROR((Tablas!$C$9*VLOOKUP(AN908, amb_control, 2, 0)+Tablas!$E$9*VLOOKUP(AO908, ejec_control, 2, 0)+Tablas!$G$9*VLOOKUP(AP908, cub_control, 2, 0))*0.1*peso_ejec, "")</f>
        <v/>
      </c>
      <c r="AR908" s="91" t="str">
        <f t="shared" ref="AR908:AR956" si="1583">IFERROR(AM908+AQ908, "")</f>
        <v/>
      </c>
      <c r="AS908" s="87" t="str">
        <f t="shared" si="1481"/>
        <v/>
      </c>
      <c r="AT908" s="85" t="str">
        <f t="shared" si="1482"/>
        <v/>
      </c>
      <c r="AU908" s="85" t="str">
        <f>IF(AR908&lt;Tablas!$G$19, 0, IF(AND(AR908&gt;=Tablas!$G$19, AR908&lt;Tablas!$G$20), 1,  IF(AND(AR908&gt;=Tablas!$G$20, AR908&lt;Tablas!$G$21), 2,  IF(AND(AR908&gt;=Tablas!$G$21, AR908&lt;=Tablas!$G$22), 3,  ""))))</f>
        <v/>
      </c>
      <c r="AV908" s="85" t="str">
        <f t="shared" ref="AV908:AV956" si="1584">IF(AS908="Sí",AU908,"")</f>
        <v/>
      </c>
      <c r="AW908" s="101" t="str">
        <f t="shared" ref="AW908:AW956" si="1585">IF(AT908="Sí",AU908,"")</f>
        <v/>
      </c>
      <c r="AX908" s="177"/>
      <c r="AY908" s="169"/>
      <c r="AZ908" s="158"/>
      <c r="BA908" s="169"/>
      <c r="BB908" s="182"/>
      <c r="BC908" s="182"/>
      <c r="BD908" s="185"/>
      <c r="BE908" s="185"/>
      <c r="BF908" s="158"/>
      <c r="BG908" s="191"/>
    </row>
    <row r="909" spans="1:59" x14ac:dyDescent="0.25">
      <c r="A909" s="167"/>
      <c r="B909" s="167"/>
      <c r="C909" s="161"/>
      <c r="D909" s="160"/>
      <c r="E909" s="162"/>
      <c r="F909" s="164"/>
      <c r="G909" s="161"/>
      <c r="H909" s="161"/>
      <c r="I909" s="161"/>
      <c r="J909" s="161"/>
      <c r="K909" s="161"/>
      <c r="L909" s="166"/>
      <c r="M909" s="166"/>
      <c r="N909" s="166"/>
      <c r="O909" s="166"/>
      <c r="P909" s="166"/>
      <c r="Q909" s="166"/>
      <c r="R909" s="166"/>
      <c r="S909" s="167"/>
      <c r="T909" s="167"/>
      <c r="U909" s="167"/>
      <c r="V909" s="167"/>
      <c r="W909" s="167"/>
      <c r="X909" s="164"/>
      <c r="Y909" s="164"/>
      <c r="Z909" s="172"/>
      <c r="AA909" s="188"/>
      <c r="AB909" s="172"/>
      <c r="AC909" s="172"/>
      <c r="AD909" s="175"/>
      <c r="AE909" s="62" t="s">
        <v>115</v>
      </c>
      <c r="AF909" s="133"/>
      <c r="AG909" s="65"/>
      <c r="AH909" s="64"/>
      <c r="AI909" s="64"/>
      <c r="AJ909" s="64"/>
      <c r="AK909" s="64"/>
      <c r="AL909" s="64"/>
      <c r="AM909" s="80" t="str">
        <f>IFERROR((Tablas!$C$1*VLOOKUP(AH909, tipo_control, 2, 0)+Tablas!$E$1*VLOOKUP(AI909, nat_control, 2, 0)+Tablas!$G$1*VLOOKUP(AJ909, ev_control, 2, 0)+Tablas!$I$1*VLOOKUP(AK909, frec_control, 2, 0)+Tablas!$K$1*VLOOKUP(AL909, doc_control, 2, 0))*0.1*peso_dis, "")</f>
        <v/>
      </c>
      <c r="AN909" s="64"/>
      <c r="AO909" s="64"/>
      <c r="AP909" s="64"/>
      <c r="AQ909" s="80" t="str">
        <f>IFERROR((Tablas!$C$9*VLOOKUP(AN909, amb_control, 2, 0)+Tablas!$E$9*VLOOKUP(AO909, ejec_control, 2, 0)+Tablas!$G$9*VLOOKUP(AP909, cub_control, 2, 0))*0.1*peso_ejec, "")</f>
        <v/>
      </c>
      <c r="AR909" s="91" t="str">
        <f t="shared" si="1583"/>
        <v/>
      </c>
      <c r="AS909" s="87" t="str">
        <f t="shared" si="1481"/>
        <v/>
      </c>
      <c r="AT909" s="85" t="str">
        <f t="shared" si="1482"/>
        <v/>
      </c>
      <c r="AU909" s="85" t="str">
        <f>IF(AR909&lt;Tablas!$G$19, 0, IF(AND(AR909&gt;=Tablas!$G$19, AR909&lt;Tablas!$G$20), 1,  IF(AND(AR909&gt;=Tablas!$G$20, AR909&lt;Tablas!$G$21), 2,  IF(AND(AR909&gt;=Tablas!$G$21, AR909&lt;=Tablas!$G$22), 3,  ""))))</f>
        <v/>
      </c>
      <c r="AV909" s="85" t="str">
        <f t="shared" si="1584"/>
        <v/>
      </c>
      <c r="AW909" s="101" t="str">
        <f t="shared" si="1585"/>
        <v/>
      </c>
      <c r="AX909" s="177"/>
      <c r="AY909" s="169"/>
      <c r="AZ909" s="158"/>
      <c r="BA909" s="169"/>
      <c r="BB909" s="182"/>
      <c r="BC909" s="182"/>
      <c r="BD909" s="185"/>
      <c r="BE909" s="185"/>
      <c r="BF909" s="158"/>
      <c r="BG909" s="191"/>
    </row>
    <row r="910" spans="1:59" x14ac:dyDescent="0.25">
      <c r="A910" s="167"/>
      <c r="B910" s="167"/>
      <c r="C910" s="161"/>
      <c r="D910" s="160"/>
      <c r="E910" s="162"/>
      <c r="F910" s="164"/>
      <c r="G910" s="161"/>
      <c r="H910" s="161"/>
      <c r="I910" s="161"/>
      <c r="J910" s="161"/>
      <c r="K910" s="161"/>
      <c r="L910" s="166"/>
      <c r="M910" s="166"/>
      <c r="N910" s="166"/>
      <c r="O910" s="166"/>
      <c r="P910" s="166"/>
      <c r="Q910" s="166"/>
      <c r="R910" s="166"/>
      <c r="S910" s="167"/>
      <c r="T910" s="167"/>
      <c r="U910" s="167"/>
      <c r="V910" s="167"/>
      <c r="W910" s="167"/>
      <c r="X910" s="164"/>
      <c r="Y910" s="164"/>
      <c r="Z910" s="172"/>
      <c r="AA910" s="188"/>
      <c r="AB910" s="172"/>
      <c r="AC910" s="172"/>
      <c r="AD910" s="175"/>
      <c r="AE910" s="62" t="s">
        <v>153</v>
      </c>
      <c r="AF910" s="133"/>
      <c r="AG910" s="65"/>
      <c r="AH910" s="64"/>
      <c r="AI910" s="64"/>
      <c r="AJ910" s="64"/>
      <c r="AK910" s="64"/>
      <c r="AL910" s="64"/>
      <c r="AM910" s="80" t="str">
        <f>IFERROR((Tablas!$C$1*VLOOKUP(AH910, tipo_control, 2, 0)+Tablas!$E$1*VLOOKUP(AI910, nat_control, 2, 0)+Tablas!$G$1*VLOOKUP(AJ910, ev_control, 2, 0)+Tablas!$I$1*VLOOKUP(AK910, frec_control, 2, 0)+Tablas!$K$1*VLOOKUP(AL910, doc_control, 2, 0))*0.1*peso_dis, "")</f>
        <v/>
      </c>
      <c r="AN910" s="64"/>
      <c r="AO910" s="64"/>
      <c r="AP910" s="64"/>
      <c r="AQ910" s="80" t="str">
        <f>IFERROR((Tablas!$C$9*VLOOKUP(AN910, amb_control, 2, 0)+Tablas!$E$9*VLOOKUP(AO910, ejec_control, 2, 0)+Tablas!$G$9*VLOOKUP(AP910, cub_control, 2, 0))*0.1*peso_ejec, "")</f>
        <v/>
      </c>
      <c r="AR910" s="91" t="str">
        <f t="shared" si="1583"/>
        <v/>
      </c>
      <c r="AS910" s="87" t="str">
        <f t="shared" si="1481"/>
        <v/>
      </c>
      <c r="AT910" s="85" t="str">
        <f t="shared" si="1482"/>
        <v/>
      </c>
      <c r="AU910" s="85" t="str">
        <f>IF(AR910&lt;Tablas!$G$19, 0, IF(AND(AR910&gt;=Tablas!$G$19, AR910&lt;Tablas!$G$20), 1,  IF(AND(AR910&gt;=Tablas!$G$20, AR910&lt;Tablas!$G$21), 2,  IF(AND(AR910&gt;=Tablas!$G$21, AR910&lt;=Tablas!$G$22), 3,  ""))))</f>
        <v/>
      </c>
      <c r="AV910" s="85" t="str">
        <f t="shared" si="1584"/>
        <v/>
      </c>
      <c r="AW910" s="101" t="str">
        <f t="shared" si="1585"/>
        <v/>
      </c>
      <c r="AX910" s="177"/>
      <c r="AY910" s="169"/>
      <c r="AZ910" s="158"/>
      <c r="BA910" s="169"/>
      <c r="BB910" s="182"/>
      <c r="BC910" s="182"/>
      <c r="BD910" s="185"/>
      <c r="BE910" s="185"/>
      <c r="BF910" s="158"/>
      <c r="BG910" s="191"/>
    </row>
    <row r="911" spans="1:59" ht="15.75" thickBot="1" x14ac:dyDescent="0.3">
      <c r="A911" s="167"/>
      <c r="B911" s="167"/>
      <c r="C911" s="161"/>
      <c r="D911" s="160"/>
      <c r="E911" s="162"/>
      <c r="F911" s="165"/>
      <c r="G911" s="161"/>
      <c r="H911" s="161"/>
      <c r="I911" s="161"/>
      <c r="J911" s="161"/>
      <c r="K911" s="161"/>
      <c r="L911" s="166"/>
      <c r="M911" s="166"/>
      <c r="N911" s="166"/>
      <c r="O911" s="166"/>
      <c r="P911" s="166"/>
      <c r="Q911" s="166"/>
      <c r="R911" s="166"/>
      <c r="S911" s="149"/>
      <c r="T911" s="149"/>
      <c r="U911" s="149"/>
      <c r="V911" s="149"/>
      <c r="W911" s="149"/>
      <c r="X911" s="165"/>
      <c r="Y911" s="165"/>
      <c r="Z911" s="172"/>
      <c r="AA911" s="188"/>
      <c r="AB911" s="172"/>
      <c r="AC911" s="172"/>
      <c r="AD911" s="175"/>
      <c r="AE911" s="66" t="s">
        <v>154</v>
      </c>
      <c r="AF911" s="134"/>
      <c r="AG911" s="67"/>
      <c r="AH911" s="69"/>
      <c r="AI911" s="69"/>
      <c r="AJ911" s="69"/>
      <c r="AK911" s="69"/>
      <c r="AL911" s="69"/>
      <c r="AM911" s="81" t="str">
        <f>IFERROR((Tablas!$C$1*VLOOKUP(AH911, tipo_control, 2, 0)+Tablas!$E$1*VLOOKUP(AI911, nat_control, 2, 0)+Tablas!$G$1*VLOOKUP(AJ911, ev_control, 2, 0)+Tablas!$I$1*VLOOKUP(AK911, frec_control, 2, 0)+Tablas!$K$1*VLOOKUP(AL911, doc_control, 2, 0))*0.1*peso_dis, "")</f>
        <v/>
      </c>
      <c r="AN911" s="69"/>
      <c r="AO911" s="69"/>
      <c r="AP911" s="69"/>
      <c r="AQ911" s="81" t="str">
        <f>IFERROR((Tablas!$C$9*VLOOKUP(AN911, amb_control, 2, 0)+Tablas!$E$9*VLOOKUP(AO911, ejec_control, 2, 0)+Tablas!$G$9*VLOOKUP(AP911, cub_control, 2, 0))*0.1*peso_ejec, "")</f>
        <v/>
      </c>
      <c r="AR911" s="93" t="str">
        <f t="shared" si="1583"/>
        <v/>
      </c>
      <c r="AS911" s="87" t="str">
        <f t="shared" si="1481"/>
        <v/>
      </c>
      <c r="AT911" s="94" t="str">
        <f t="shared" si="1482"/>
        <v/>
      </c>
      <c r="AU911" s="94" t="str">
        <f>IF(AR911&lt;Tablas!$G$19, 0, IF(AND(AR911&gt;=Tablas!$G$19, AR911&lt;Tablas!$G$20), 1,  IF(AND(AR911&gt;=Tablas!$G$20, AR911&lt;Tablas!$G$21), 2,  IF(AND(AR911&gt;=Tablas!$G$21, AR911&lt;=Tablas!$G$22), 3,  ""))))</f>
        <v/>
      </c>
      <c r="AV911" s="94" t="str">
        <f t="shared" si="1584"/>
        <v/>
      </c>
      <c r="AW911" s="102" t="str">
        <f t="shared" si="1585"/>
        <v/>
      </c>
      <c r="AX911" s="157"/>
      <c r="AY911" s="170"/>
      <c r="AZ911" s="179"/>
      <c r="BA911" s="170"/>
      <c r="BB911" s="182"/>
      <c r="BC911" s="182"/>
      <c r="BD911" s="185"/>
      <c r="BE911" s="185"/>
      <c r="BF911" s="159"/>
      <c r="BG911" s="191"/>
    </row>
    <row r="912" spans="1:59" x14ac:dyDescent="0.25">
      <c r="A912" s="167"/>
      <c r="B912" s="167"/>
      <c r="C912" s="161" t="s">
        <v>15</v>
      </c>
      <c r="D912" s="160" t="s">
        <v>158</v>
      </c>
      <c r="E912" s="162"/>
      <c r="F912" s="163" t="str">
        <f t="shared" si="1483"/>
        <v/>
      </c>
      <c r="G912" s="149"/>
      <c r="H912" s="149"/>
      <c r="I912" s="149"/>
      <c r="J912" s="149"/>
      <c r="K912" s="149"/>
      <c r="L912" s="165" t="str">
        <f>IFERROR(VLOOKUP(G912, tabla02, 2, 0), "")</f>
        <v/>
      </c>
      <c r="M912" s="165" t="str">
        <f>IFERROR(VLOOKUP(H912, tabla02, 2, 0), "")</f>
        <v/>
      </c>
      <c r="N912" s="165" t="str">
        <f>IFERROR(VLOOKUP(I912, tabla02, 2, 0), "")</f>
        <v/>
      </c>
      <c r="O912" s="165" t="str">
        <f>IFERROR(VLOOKUP(J912, tabla02, 2, 0), "")</f>
        <v/>
      </c>
      <c r="P912" s="165" t="str">
        <f>IFERROR(VLOOKUP(K912, tabla02, 2, 0), "")</f>
        <v/>
      </c>
      <c r="Q912" s="165" t="str">
        <f t="shared" ref="Q912" si="1586">IF(SUM(L912:O916)=0, "", MAX(L912:P912))</f>
        <v/>
      </c>
      <c r="R912" s="165" t="str">
        <f>IFERROR(VLOOKUP(Q912, tabla04, 3, 0), "")</f>
        <v/>
      </c>
      <c r="S912" s="148"/>
      <c r="T912" s="148"/>
      <c r="U912" s="148"/>
      <c r="V912" s="148"/>
      <c r="W912" s="148"/>
      <c r="X912" s="163" t="str">
        <f>IFERROR(VLOOKUP(CONCATENATE(F912, "-", Q912), cuadrante_sev, 3, 0), "")</f>
        <v/>
      </c>
      <c r="Y912" s="163" t="str">
        <f t="shared" ref="Y912" si="1587">IFERROR(IF(X912="Baja", 1, IF(X912="Moderada", 2, IF(X912="Alta", 3, IF(X912="Extrema", 4, "")))), "")</f>
        <v/>
      </c>
      <c r="Z912" s="172"/>
      <c r="AA912" s="188"/>
      <c r="AB912" s="172"/>
      <c r="AC912" s="172"/>
      <c r="AD912" s="175"/>
      <c r="AE912" s="70" t="s">
        <v>113</v>
      </c>
      <c r="AF912" s="135"/>
      <c r="AG912" s="74"/>
      <c r="AH912" s="72"/>
      <c r="AI912" s="72"/>
      <c r="AJ912" s="72"/>
      <c r="AK912" s="72"/>
      <c r="AL912" s="72"/>
      <c r="AM912" s="82" t="str">
        <f>IFERROR((Tablas!$C$1*VLOOKUP(AH912, tipo_control, 2, 0)+Tablas!$E$1*VLOOKUP(AI912, nat_control, 2, 0)+Tablas!$G$1*VLOOKUP(AJ912, ev_control, 2, 0)+Tablas!$I$1*VLOOKUP(AK912, frec_control, 2, 0)+Tablas!$K$1*VLOOKUP(AL912, doc_control, 2, 0))*0.1*peso_dis, "")</f>
        <v/>
      </c>
      <c r="AN912" s="72"/>
      <c r="AO912" s="72"/>
      <c r="AP912" s="72"/>
      <c r="AQ912" s="82" t="str">
        <f>IFERROR((Tablas!$C$9*VLOOKUP(AN912, amb_control, 2, 0)+Tablas!$E$9*VLOOKUP(AO912, ejec_control, 2, 0)+Tablas!$G$9*VLOOKUP(AP912, cub_control, 2, 0))*0.1*peso_ejec, "")</f>
        <v/>
      </c>
      <c r="AR912" s="96" t="str">
        <f t="shared" si="1583"/>
        <v/>
      </c>
      <c r="AS912" s="97" t="str">
        <f t="shared" si="1481"/>
        <v/>
      </c>
      <c r="AT912" s="87" t="str">
        <f t="shared" si="1482"/>
        <v/>
      </c>
      <c r="AU912" s="97" t="str">
        <f>IF(AR912&lt;Tablas!$G$19, 0, IF(AND(AR912&gt;=Tablas!$G$19, AR912&lt;Tablas!$G$20), 1,  IF(AND(AR912&gt;=Tablas!$G$20, AR912&lt;Tablas!$G$21), 2,  IF(AND(AR912&gt;=Tablas!$G$21, AR912&lt;=Tablas!$G$22), 3,  ""))))</f>
        <v/>
      </c>
      <c r="AV912" s="97" t="str">
        <f t="shared" si="1584"/>
        <v/>
      </c>
      <c r="AW912" s="103" t="str">
        <f t="shared" si="1585"/>
        <v/>
      </c>
      <c r="AX912" s="176" t="str">
        <f t="shared" ref="AX912" si="1588">IFERROR(VLOOKUP(AY912, tabla04, 2, 0), "")</f>
        <v/>
      </c>
      <c r="AY912" s="168" t="str">
        <f>IF(F912="", "", IF((F912-MAX(AV912:AV916))&lt;=0, 1, F912-MAX(AV912:AV916)))</f>
        <v/>
      </c>
      <c r="AZ912" s="178" t="str">
        <f t="shared" ref="AZ912" si="1589">IFERROR(VLOOKUP(BA912, tabla04, 3, 0), "")</f>
        <v/>
      </c>
      <c r="BA912" s="168" t="str">
        <f>IF(Q912="", "", IF((Q912-MAX(AW912:AW916))&lt;=0, 1, Q912-MAX(AW912:AW916)))</f>
        <v/>
      </c>
      <c r="BB912" s="182"/>
      <c r="BC912" s="182"/>
      <c r="BD912" s="185"/>
      <c r="BE912" s="185"/>
      <c r="BF912" s="158" t="str">
        <f t="shared" ref="BF912:BF914" si="1590">IFERROR(VLOOKUP(CONCATENATE(AY912, "-", BA912), cuadrante_sev, 3, 0), "")</f>
        <v/>
      </c>
      <c r="BG912" s="191"/>
    </row>
    <row r="913" spans="1:59" x14ac:dyDescent="0.25">
      <c r="A913" s="167"/>
      <c r="B913" s="167"/>
      <c r="C913" s="161"/>
      <c r="D913" s="160"/>
      <c r="E913" s="162"/>
      <c r="F913" s="164"/>
      <c r="G913" s="161"/>
      <c r="H913" s="161"/>
      <c r="I913" s="161"/>
      <c r="J913" s="161"/>
      <c r="K913" s="161"/>
      <c r="L913" s="166"/>
      <c r="M913" s="166"/>
      <c r="N913" s="166"/>
      <c r="O913" s="166"/>
      <c r="P913" s="166"/>
      <c r="Q913" s="166"/>
      <c r="R913" s="166"/>
      <c r="S913" s="167"/>
      <c r="T913" s="167"/>
      <c r="U913" s="167"/>
      <c r="V913" s="167"/>
      <c r="W913" s="167"/>
      <c r="X913" s="164"/>
      <c r="Y913" s="164"/>
      <c r="Z913" s="172"/>
      <c r="AA913" s="188"/>
      <c r="AB913" s="172"/>
      <c r="AC913" s="172"/>
      <c r="AD913" s="175"/>
      <c r="AE913" s="62" t="s">
        <v>114</v>
      </c>
      <c r="AF913" s="133"/>
      <c r="AG913" s="65"/>
      <c r="AH913" s="64"/>
      <c r="AI913" s="64"/>
      <c r="AJ913" s="64"/>
      <c r="AK913" s="64"/>
      <c r="AL913" s="64"/>
      <c r="AM913" s="80" t="str">
        <f>IFERROR((Tablas!$C$1*VLOOKUP(AH913, tipo_control, 2, 0)+Tablas!$E$1*VLOOKUP(AI913, nat_control, 2, 0)+Tablas!$G$1*VLOOKUP(AJ913, ev_control, 2, 0)+Tablas!$I$1*VLOOKUP(AK913, frec_control, 2, 0)+Tablas!$K$1*VLOOKUP(AL913, doc_control, 2, 0))*0.1*peso_dis, "")</f>
        <v/>
      </c>
      <c r="AN913" s="64"/>
      <c r="AO913" s="64"/>
      <c r="AP913" s="64"/>
      <c r="AQ913" s="80" t="str">
        <f>IFERROR((Tablas!$C$9*VLOOKUP(AN913, amb_control, 2, 0)+Tablas!$E$9*VLOOKUP(AO913, ejec_control, 2, 0)+Tablas!$G$9*VLOOKUP(AP913, cub_control, 2, 0))*0.1*peso_ejec, "")</f>
        <v/>
      </c>
      <c r="AR913" s="91" t="str">
        <f t="shared" si="1583"/>
        <v/>
      </c>
      <c r="AS913" s="85" t="str">
        <f t="shared" si="1481"/>
        <v/>
      </c>
      <c r="AT913" s="85" t="str">
        <f t="shared" si="1482"/>
        <v/>
      </c>
      <c r="AU913" s="85" t="str">
        <f>IF(AR913&lt;Tablas!$G$19, 0, IF(AND(AR913&gt;=Tablas!$G$19, AR913&lt;Tablas!$G$20), 1,  IF(AND(AR913&gt;=Tablas!$G$20, AR913&lt;Tablas!$G$21), 2,  IF(AND(AR913&gt;=Tablas!$G$21, AR913&lt;=Tablas!$G$22), 3,  ""))))</f>
        <v/>
      </c>
      <c r="AV913" s="85" t="str">
        <f t="shared" si="1584"/>
        <v/>
      </c>
      <c r="AW913" s="101" t="str">
        <f t="shared" si="1585"/>
        <v/>
      </c>
      <c r="AX913" s="177"/>
      <c r="AY913" s="169"/>
      <c r="AZ913" s="158"/>
      <c r="BA913" s="169"/>
      <c r="BB913" s="182"/>
      <c r="BC913" s="182"/>
      <c r="BD913" s="185"/>
      <c r="BE913" s="185"/>
      <c r="BF913" s="158" t="str">
        <f t="shared" si="1590"/>
        <v/>
      </c>
      <c r="BG913" s="191"/>
    </row>
    <row r="914" spans="1:59" x14ac:dyDescent="0.25">
      <c r="A914" s="167"/>
      <c r="B914" s="167"/>
      <c r="C914" s="161"/>
      <c r="D914" s="160"/>
      <c r="E914" s="162"/>
      <c r="F914" s="164"/>
      <c r="G914" s="161"/>
      <c r="H914" s="161"/>
      <c r="I914" s="161"/>
      <c r="J914" s="161"/>
      <c r="K914" s="161"/>
      <c r="L914" s="166"/>
      <c r="M914" s="166"/>
      <c r="N914" s="166"/>
      <c r="O914" s="166"/>
      <c r="P914" s="166"/>
      <c r="Q914" s="166"/>
      <c r="R914" s="166"/>
      <c r="S914" s="167"/>
      <c r="T914" s="167"/>
      <c r="U914" s="167"/>
      <c r="V914" s="167"/>
      <c r="W914" s="167"/>
      <c r="X914" s="164"/>
      <c r="Y914" s="164"/>
      <c r="Z914" s="172"/>
      <c r="AA914" s="188"/>
      <c r="AB914" s="172"/>
      <c r="AC914" s="172"/>
      <c r="AD914" s="175"/>
      <c r="AE914" s="62" t="s">
        <v>115</v>
      </c>
      <c r="AF914" s="133"/>
      <c r="AG914" s="65"/>
      <c r="AH914" s="64"/>
      <c r="AI914" s="64"/>
      <c r="AJ914" s="64"/>
      <c r="AK914" s="64"/>
      <c r="AL914" s="64"/>
      <c r="AM914" s="80" t="str">
        <f>IFERROR((Tablas!$C$1*VLOOKUP(AH914, tipo_control, 2, 0)+Tablas!$E$1*VLOOKUP(AI914, nat_control, 2, 0)+Tablas!$G$1*VLOOKUP(AJ914, ev_control, 2, 0)+Tablas!$I$1*VLOOKUP(AK914, frec_control, 2, 0)+Tablas!$K$1*VLOOKUP(AL914, doc_control, 2, 0))*0.1*peso_dis, "")</f>
        <v/>
      </c>
      <c r="AN914" s="64"/>
      <c r="AO914" s="64"/>
      <c r="AP914" s="64"/>
      <c r="AQ914" s="80" t="str">
        <f>IFERROR((Tablas!$C$9*VLOOKUP(AN914, amb_control, 2, 0)+Tablas!$E$9*VLOOKUP(AO914, ejec_control, 2, 0)+Tablas!$G$9*VLOOKUP(AP914, cub_control, 2, 0))*0.1*peso_ejec, "")</f>
        <v/>
      </c>
      <c r="AR914" s="91" t="str">
        <f t="shared" si="1583"/>
        <v/>
      </c>
      <c r="AS914" s="85" t="str">
        <f t="shared" ref="AS914:AS977" si="1591">IFERROR(VLOOKUP(AH914, tabla03, 12, 0), "")</f>
        <v/>
      </c>
      <c r="AT914" s="85" t="str">
        <f t="shared" ref="AT914:AT977" si="1592">IFERROR(VLOOKUP(AH914, tabla03, 13, 0), "")</f>
        <v/>
      </c>
      <c r="AU914" s="85" t="str">
        <f>IF(AR914&lt;Tablas!$G$19, 0, IF(AND(AR914&gt;=Tablas!$G$19, AR914&lt;Tablas!$G$20), 1,  IF(AND(AR914&gt;=Tablas!$G$20, AR914&lt;Tablas!$G$21), 2,  IF(AND(AR914&gt;=Tablas!$G$21, AR914&lt;=Tablas!$G$22), 3,  ""))))</f>
        <v/>
      </c>
      <c r="AV914" s="85" t="str">
        <f t="shared" si="1584"/>
        <v/>
      </c>
      <c r="AW914" s="101" t="str">
        <f t="shared" si="1585"/>
        <v/>
      </c>
      <c r="AX914" s="177"/>
      <c r="AY914" s="169"/>
      <c r="AZ914" s="158"/>
      <c r="BA914" s="169"/>
      <c r="BB914" s="182"/>
      <c r="BC914" s="182"/>
      <c r="BD914" s="185"/>
      <c r="BE914" s="185"/>
      <c r="BF914" s="158" t="str">
        <f t="shared" si="1590"/>
        <v/>
      </c>
      <c r="BG914" s="191"/>
    </row>
    <row r="915" spans="1:59" x14ac:dyDescent="0.25">
      <c r="A915" s="167"/>
      <c r="B915" s="167"/>
      <c r="C915" s="161"/>
      <c r="D915" s="160"/>
      <c r="E915" s="162"/>
      <c r="F915" s="164"/>
      <c r="G915" s="161"/>
      <c r="H915" s="161"/>
      <c r="I915" s="161"/>
      <c r="J915" s="161"/>
      <c r="K915" s="161"/>
      <c r="L915" s="166"/>
      <c r="M915" s="166"/>
      <c r="N915" s="166"/>
      <c r="O915" s="166"/>
      <c r="P915" s="166"/>
      <c r="Q915" s="166"/>
      <c r="R915" s="166"/>
      <c r="S915" s="167"/>
      <c r="T915" s="167"/>
      <c r="U915" s="167"/>
      <c r="V915" s="167"/>
      <c r="W915" s="167"/>
      <c r="X915" s="164"/>
      <c r="Y915" s="164"/>
      <c r="Z915" s="172"/>
      <c r="AA915" s="188"/>
      <c r="AB915" s="172"/>
      <c r="AC915" s="172"/>
      <c r="AD915" s="175"/>
      <c r="AE915" s="62" t="s">
        <v>153</v>
      </c>
      <c r="AF915" s="133"/>
      <c r="AG915" s="65"/>
      <c r="AH915" s="64"/>
      <c r="AI915" s="64"/>
      <c r="AJ915" s="64"/>
      <c r="AK915" s="64"/>
      <c r="AL915" s="64"/>
      <c r="AM915" s="80" t="str">
        <f>IFERROR((Tablas!$C$1*VLOOKUP(AH915, tipo_control, 2, 0)+Tablas!$E$1*VLOOKUP(AI915, nat_control, 2, 0)+Tablas!$G$1*VLOOKUP(AJ915, ev_control, 2, 0)+Tablas!$I$1*VLOOKUP(AK915, frec_control, 2, 0)+Tablas!$K$1*VLOOKUP(AL915, doc_control, 2, 0))*0.1*peso_dis, "")</f>
        <v/>
      </c>
      <c r="AN915" s="64"/>
      <c r="AO915" s="64"/>
      <c r="AP915" s="64"/>
      <c r="AQ915" s="80" t="str">
        <f>IFERROR((Tablas!$C$9*VLOOKUP(AN915, amb_control, 2, 0)+Tablas!$E$9*VLOOKUP(AO915, ejec_control, 2, 0)+Tablas!$G$9*VLOOKUP(AP915, cub_control, 2, 0))*0.1*peso_ejec, "")</f>
        <v/>
      </c>
      <c r="AR915" s="91" t="str">
        <f t="shared" si="1583"/>
        <v/>
      </c>
      <c r="AS915" s="85" t="str">
        <f t="shared" si="1591"/>
        <v/>
      </c>
      <c r="AT915" s="85" t="str">
        <f t="shared" si="1592"/>
        <v/>
      </c>
      <c r="AU915" s="85" t="str">
        <f>IF(AR915&lt;Tablas!$G$19, 0, IF(AND(AR915&gt;=Tablas!$G$19, AR915&lt;Tablas!$G$20), 1,  IF(AND(AR915&gt;=Tablas!$G$20, AR915&lt;Tablas!$G$21), 2,  IF(AND(AR915&gt;=Tablas!$G$21, AR915&lt;=Tablas!$G$22), 3,  ""))))</f>
        <v/>
      </c>
      <c r="AV915" s="85" t="str">
        <f t="shared" si="1584"/>
        <v/>
      </c>
      <c r="AW915" s="101" t="str">
        <f t="shared" si="1585"/>
        <v/>
      </c>
      <c r="AX915" s="177"/>
      <c r="AY915" s="169"/>
      <c r="AZ915" s="158"/>
      <c r="BA915" s="169"/>
      <c r="BB915" s="182"/>
      <c r="BC915" s="182"/>
      <c r="BD915" s="185"/>
      <c r="BE915" s="185"/>
      <c r="BF915" s="158"/>
      <c r="BG915" s="191"/>
    </row>
    <row r="916" spans="1:59" ht="15.75" thickBot="1" x14ac:dyDescent="0.3">
      <c r="A916" s="167"/>
      <c r="B916" s="167"/>
      <c r="C916" s="161"/>
      <c r="D916" s="160"/>
      <c r="E916" s="162"/>
      <c r="F916" s="165"/>
      <c r="G916" s="161"/>
      <c r="H916" s="161"/>
      <c r="I916" s="161"/>
      <c r="J916" s="161"/>
      <c r="K916" s="161"/>
      <c r="L916" s="166"/>
      <c r="M916" s="166"/>
      <c r="N916" s="166"/>
      <c r="O916" s="166"/>
      <c r="P916" s="166"/>
      <c r="Q916" s="166"/>
      <c r="R916" s="166"/>
      <c r="S916" s="149"/>
      <c r="T916" s="149"/>
      <c r="U916" s="149"/>
      <c r="V916" s="149"/>
      <c r="W916" s="149"/>
      <c r="X916" s="165"/>
      <c r="Y916" s="165"/>
      <c r="Z916" s="172"/>
      <c r="AA916" s="188"/>
      <c r="AB916" s="172"/>
      <c r="AC916" s="172"/>
      <c r="AD916" s="175"/>
      <c r="AE916" s="66" t="s">
        <v>154</v>
      </c>
      <c r="AF916" s="134"/>
      <c r="AG916" s="67"/>
      <c r="AH916" s="69"/>
      <c r="AI916" s="69"/>
      <c r="AJ916" s="69"/>
      <c r="AK916" s="69"/>
      <c r="AL916" s="69"/>
      <c r="AM916" s="81" t="str">
        <f>IFERROR((Tablas!$C$1*VLOOKUP(AH916, tipo_control, 2, 0)+Tablas!$E$1*VLOOKUP(AI916, nat_control, 2, 0)+Tablas!$G$1*VLOOKUP(AJ916, ev_control, 2, 0)+Tablas!$I$1*VLOOKUP(AK916, frec_control, 2, 0)+Tablas!$K$1*VLOOKUP(AL916, doc_control, 2, 0))*0.1*peso_dis, "")</f>
        <v/>
      </c>
      <c r="AN916" s="69"/>
      <c r="AO916" s="69"/>
      <c r="AP916" s="69"/>
      <c r="AQ916" s="81" t="str">
        <f>IFERROR((Tablas!$C$9*VLOOKUP(AN916, amb_control, 2, 0)+Tablas!$E$9*VLOOKUP(AO916, ejec_control, 2, 0)+Tablas!$G$9*VLOOKUP(AP916, cub_control, 2, 0))*0.1*peso_ejec, "")</f>
        <v/>
      </c>
      <c r="AR916" s="93" t="str">
        <f t="shared" si="1583"/>
        <v/>
      </c>
      <c r="AS916" s="94" t="str">
        <f t="shared" si="1591"/>
        <v/>
      </c>
      <c r="AT916" s="94" t="str">
        <f t="shared" si="1592"/>
        <v/>
      </c>
      <c r="AU916" s="94" t="str">
        <f>IF(AR916&lt;Tablas!$G$19, 0, IF(AND(AR916&gt;=Tablas!$G$19, AR916&lt;Tablas!$G$20), 1,  IF(AND(AR916&gt;=Tablas!$G$20, AR916&lt;Tablas!$G$21), 2,  IF(AND(AR916&gt;=Tablas!$G$21, AR916&lt;=Tablas!$G$22), 3,  ""))))</f>
        <v/>
      </c>
      <c r="AV916" s="94" t="str">
        <f t="shared" si="1584"/>
        <v/>
      </c>
      <c r="AW916" s="102" t="str">
        <f t="shared" si="1585"/>
        <v/>
      </c>
      <c r="AX916" s="157"/>
      <c r="AY916" s="170"/>
      <c r="AZ916" s="179"/>
      <c r="BA916" s="170"/>
      <c r="BB916" s="182"/>
      <c r="BC916" s="182"/>
      <c r="BD916" s="185"/>
      <c r="BE916" s="185"/>
      <c r="BF916" s="159"/>
      <c r="BG916" s="191"/>
    </row>
    <row r="917" spans="1:59" x14ac:dyDescent="0.25">
      <c r="A917" s="167"/>
      <c r="B917" s="167"/>
      <c r="C917" s="161" t="s">
        <v>16</v>
      </c>
      <c r="D917" s="160" t="s">
        <v>158</v>
      </c>
      <c r="E917" s="162"/>
      <c r="F917" s="163" t="str">
        <f t="shared" ref="F917:F977" si="1593">IFERROR(VLOOKUP(E917, tabla01, 3, 0), "")</f>
        <v/>
      </c>
      <c r="G917" s="149"/>
      <c r="H917" s="149"/>
      <c r="I917" s="149"/>
      <c r="J917" s="149"/>
      <c r="K917" s="149"/>
      <c r="L917" s="165" t="str">
        <f>IFERROR(VLOOKUP(G917, tabla02, 2, 0), "")</f>
        <v/>
      </c>
      <c r="M917" s="165" t="str">
        <f>IFERROR(VLOOKUP(H917, tabla02, 2, 0), "")</f>
        <v/>
      </c>
      <c r="N917" s="165" t="str">
        <f>IFERROR(VLOOKUP(I917, tabla02, 2, 0), "")</f>
        <v/>
      </c>
      <c r="O917" s="165" t="str">
        <f>IFERROR(VLOOKUP(J917, tabla02, 2, 0), "")</f>
        <v/>
      </c>
      <c r="P917" s="165" t="str">
        <f>IFERROR(VLOOKUP(K917, tabla02, 2, 0), "")</f>
        <v/>
      </c>
      <c r="Q917" s="165" t="str">
        <f t="shared" ref="Q917" si="1594">IF(SUM(L917:O921)=0, "", MAX(L917:P917))</f>
        <v/>
      </c>
      <c r="R917" s="165" t="str">
        <f>IFERROR(VLOOKUP(Q917, tabla04, 3, 0), "")</f>
        <v/>
      </c>
      <c r="S917" s="148"/>
      <c r="T917" s="148"/>
      <c r="U917" s="148"/>
      <c r="V917" s="148"/>
      <c r="W917" s="148"/>
      <c r="X917" s="163" t="str">
        <f>IFERROR(VLOOKUP(CONCATENATE(F917, "-", Q917), cuadrante_sev, 3, 0), "")</f>
        <v/>
      </c>
      <c r="Y917" s="163" t="str">
        <f t="shared" ref="Y917" si="1595">IFERROR(IF(X917="Baja", 1, IF(X917="Moderada", 2, IF(X917="Alta", 3, IF(X917="Extrema", 4, "")))), "")</f>
        <v/>
      </c>
      <c r="Z917" s="172"/>
      <c r="AA917" s="188"/>
      <c r="AB917" s="172"/>
      <c r="AC917" s="172"/>
      <c r="AD917" s="175"/>
      <c r="AE917" s="70" t="s">
        <v>113</v>
      </c>
      <c r="AF917" s="135"/>
      <c r="AG917" s="77"/>
      <c r="AH917" s="61"/>
      <c r="AI917" s="61"/>
      <c r="AJ917" s="61"/>
      <c r="AK917" s="61"/>
      <c r="AL917" s="61"/>
      <c r="AM917" s="82" t="str">
        <f>IFERROR((Tablas!$C$1*VLOOKUP(AH917, tipo_control, 2, 0)+Tablas!$E$1*VLOOKUP(AI917, nat_control, 2, 0)+Tablas!$G$1*VLOOKUP(AJ917, ev_control, 2, 0)+Tablas!$I$1*VLOOKUP(AK917, frec_control, 2, 0)+Tablas!$K$1*VLOOKUP(AL917, doc_control, 2, 0))*0.1*peso_dis, "")</f>
        <v/>
      </c>
      <c r="AN917" s="61"/>
      <c r="AO917" s="61"/>
      <c r="AP917" s="61"/>
      <c r="AQ917" s="82" t="str">
        <f>IFERROR((Tablas!$C$9*VLOOKUP(AN917, amb_control, 2, 0)+Tablas!$E$9*VLOOKUP(AO917, ejec_control, 2, 0)+Tablas!$G$9*VLOOKUP(AP917, cub_control, 2, 0))*0.1*peso_ejec, "")</f>
        <v/>
      </c>
      <c r="AR917" s="96" t="str">
        <f t="shared" si="1583"/>
        <v/>
      </c>
      <c r="AS917" s="97" t="str">
        <f t="shared" si="1591"/>
        <v/>
      </c>
      <c r="AT917" s="87" t="str">
        <f t="shared" si="1592"/>
        <v/>
      </c>
      <c r="AU917" s="97" t="str">
        <f>IF(AR917&lt;Tablas!$G$19, 0, IF(AND(AR917&gt;=Tablas!$G$19, AR917&lt;Tablas!$G$20), 1,  IF(AND(AR917&gt;=Tablas!$G$20, AR917&lt;Tablas!$G$21), 2,  IF(AND(AR917&gt;=Tablas!$G$21, AR917&lt;=Tablas!$G$22), 3,  ""))))</f>
        <v/>
      </c>
      <c r="AV917" s="97" t="str">
        <f t="shared" si="1584"/>
        <v/>
      </c>
      <c r="AW917" s="103" t="str">
        <f t="shared" si="1585"/>
        <v/>
      </c>
      <c r="AX917" s="176" t="str">
        <f t="shared" ref="AX917" si="1596">IFERROR(VLOOKUP(AY917, tabla04, 2, 0), "")</f>
        <v/>
      </c>
      <c r="AY917" s="168" t="str">
        <f>IF(F917="", "", IF((F917-MAX(AV917:AV921))&lt;=0, 1, F917-MAX(AV917:AV921)))</f>
        <v/>
      </c>
      <c r="AZ917" s="178" t="str">
        <f t="shared" ref="AZ917" si="1597">IFERROR(VLOOKUP(BA917, tabla04, 3, 0), "")</f>
        <v/>
      </c>
      <c r="BA917" s="168" t="str">
        <f>IF(Q917="", "", IF((Q917-MAX(AW917:AW921))&lt;=0, 1, Q917-MAX(AW917:AW921)))</f>
        <v/>
      </c>
      <c r="BB917" s="182"/>
      <c r="BC917" s="182"/>
      <c r="BD917" s="185"/>
      <c r="BE917" s="185"/>
      <c r="BF917" s="158" t="str">
        <f t="shared" ref="BF917:BF919" si="1598">IFERROR(VLOOKUP(CONCATENATE(AY917, "-", BA917), cuadrante_sev, 3, 0), "")</f>
        <v/>
      </c>
      <c r="BG917" s="191"/>
    </row>
    <row r="918" spans="1:59" x14ac:dyDescent="0.25">
      <c r="A918" s="167"/>
      <c r="B918" s="167"/>
      <c r="C918" s="161"/>
      <c r="D918" s="160"/>
      <c r="E918" s="162"/>
      <c r="F918" s="164"/>
      <c r="G918" s="161"/>
      <c r="H918" s="161"/>
      <c r="I918" s="161"/>
      <c r="J918" s="161"/>
      <c r="K918" s="161"/>
      <c r="L918" s="166"/>
      <c r="M918" s="166"/>
      <c r="N918" s="166"/>
      <c r="O918" s="166"/>
      <c r="P918" s="166"/>
      <c r="Q918" s="166"/>
      <c r="R918" s="166"/>
      <c r="S918" s="167"/>
      <c r="T918" s="167"/>
      <c r="U918" s="167"/>
      <c r="V918" s="167"/>
      <c r="W918" s="167"/>
      <c r="X918" s="164"/>
      <c r="Y918" s="164"/>
      <c r="Z918" s="172"/>
      <c r="AA918" s="188"/>
      <c r="AB918" s="172"/>
      <c r="AC918" s="172"/>
      <c r="AD918" s="175"/>
      <c r="AE918" s="62" t="s">
        <v>114</v>
      </c>
      <c r="AF918" s="133"/>
      <c r="AG918" s="65"/>
      <c r="AH918" s="64"/>
      <c r="AI918" s="64"/>
      <c r="AJ918" s="64"/>
      <c r="AK918" s="64"/>
      <c r="AL918" s="64"/>
      <c r="AM918" s="80" t="str">
        <f>IFERROR((Tablas!$C$1*VLOOKUP(AH918, tipo_control, 2, 0)+Tablas!$E$1*VLOOKUP(AI918, nat_control, 2, 0)+Tablas!$G$1*VLOOKUP(AJ918, ev_control, 2, 0)+Tablas!$I$1*VLOOKUP(AK918, frec_control, 2, 0)+Tablas!$K$1*VLOOKUP(AL918, doc_control, 2, 0))*0.1*peso_dis, "")</f>
        <v/>
      </c>
      <c r="AN918" s="64"/>
      <c r="AO918" s="64"/>
      <c r="AP918" s="64"/>
      <c r="AQ918" s="80" t="str">
        <f>IFERROR((Tablas!$C$9*VLOOKUP(AN918, amb_control, 2, 0)+Tablas!$E$9*VLOOKUP(AO918, ejec_control, 2, 0)+Tablas!$G$9*VLOOKUP(AP918, cub_control, 2, 0))*0.1*peso_ejec, "")</f>
        <v/>
      </c>
      <c r="AR918" s="91" t="str">
        <f t="shared" si="1583"/>
        <v/>
      </c>
      <c r="AS918" s="85" t="str">
        <f t="shared" si="1591"/>
        <v/>
      </c>
      <c r="AT918" s="85" t="str">
        <f t="shared" si="1592"/>
        <v/>
      </c>
      <c r="AU918" s="85" t="str">
        <f>IF(AR918&lt;Tablas!$G$19, 0, IF(AND(AR918&gt;=Tablas!$G$19, AR918&lt;Tablas!$G$20), 1,  IF(AND(AR918&gt;=Tablas!$G$20, AR918&lt;Tablas!$G$21), 2,  IF(AND(AR918&gt;=Tablas!$G$21, AR918&lt;=Tablas!$G$22), 3,  ""))))</f>
        <v/>
      </c>
      <c r="AV918" s="85" t="str">
        <f t="shared" si="1584"/>
        <v/>
      </c>
      <c r="AW918" s="101" t="str">
        <f t="shared" si="1585"/>
        <v/>
      </c>
      <c r="AX918" s="177"/>
      <c r="AY918" s="169"/>
      <c r="AZ918" s="158"/>
      <c r="BA918" s="169"/>
      <c r="BB918" s="182"/>
      <c r="BC918" s="182"/>
      <c r="BD918" s="185"/>
      <c r="BE918" s="185"/>
      <c r="BF918" s="158" t="str">
        <f t="shared" si="1598"/>
        <v/>
      </c>
      <c r="BG918" s="191"/>
    </row>
    <row r="919" spans="1:59" x14ac:dyDescent="0.25">
      <c r="A919" s="167"/>
      <c r="B919" s="167"/>
      <c r="C919" s="161"/>
      <c r="D919" s="160"/>
      <c r="E919" s="162"/>
      <c r="F919" s="164"/>
      <c r="G919" s="161"/>
      <c r="H919" s="161"/>
      <c r="I919" s="161"/>
      <c r="J919" s="161"/>
      <c r="K919" s="161"/>
      <c r="L919" s="166"/>
      <c r="M919" s="166"/>
      <c r="N919" s="166"/>
      <c r="O919" s="166"/>
      <c r="P919" s="166"/>
      <c r="Q919" s="166"/>
      <c r="R919" s="166"/>
      <c r="S919" s="167"/>
      <c r="T919" s="167"/>
      <c r="U919" s="167"/>
      <c r="V919" s="167"/>
      <c r="W919" s="167"/>
      <c r="X919" s="164"/>
      <c r="Y919" s="164"/>
      <c r="Z919" s="172"/>
      <c r="AA919" s="188"/>
      <c r="AB919" s="172"/>
      <c r="AC919" s="172"/>
      <c r="AD919" s="175"/>
      <c r="AE919" s="62" t="s">
        <v>115</v>
      </c>
      <c r="AF919" s="133"/>
      <c r="AG919" s="65"/>
      <c r="AH919" s="64"/>
      <c r="AI919" s="64"/>
      <c r="AJ919" s="64"/>
      <c r="AK919" s="64"/>
      <c r="AL919" s="64"/>
      <c r="AM919" s="80" t="str">
        <f>IFERROR((Tablas!$C$1*VLOOKUP(AH919, tipo_control, 2, 0)+Tablas!$E$1*VLOOKUP(AI919, nat_control, 2, 0)+Tablas!$G$1*VLOOKUP(AJ919, ev_control, 2, 0)+Tablas!$I$1*VLOOKUP(AK919, frec_control, 2, 0)+Tablas!$K$1*VLOOKUP(AL919, doc_control, 2, 0))*0.1*peso_dis, "")</f>
        <v/>
      </c>
      <c r="AN919" s="64"/>
      <c r="AO919" s="64"/>
      <c r="AP919" s="64"/>
      <c r="AQ919" s="80" t="str">
        <f>IFERROR((Tablas!$C$9*VLOOKUP(AN919, amb_control, 2, 0)+Tablas!$E$9*VLOOKUP(AO919, ejec_control, 2, 0)+Tablas!$G$9*VLOOKUP(AP919, cub_control, 2, 0))*0.1*peso_ejec, "")</f>
        <v/>
      </c>
      <c r="AR919" s="91" t="str">
        <f t="shared" si="1583"/>
        <v/>
      </c>
      <c r="AS919" s="85" t="str">
        <f t="shared" si="1591"/>
        <v/>
      </c>
      <c r="AT919" s="85" t="str">
        <f t="shared" si="1592"/>
        <v/>
      </c>
      <c r="AU919" s="85" t="str">
        <f>IF(AR919&lt;Tablas!$G$19, 0, IF(AND(AR919&gt;=Tablas!$G$19, AR919&lt;Tablas!$G$20), 1,  IF(AND(AR919&gt;=Tablas!$G$20, AR919&lt;Tablas!$G$21), 2,  IF(AND(AR919&gt;=Tablas!$G$21, AR919&lt;=Tablas!$G$22), 3,  ""))))</f>
        <v/>
      </c>
      <c r="AV919" s="85" t="str">
        <f t="shared" si="1584"/>
        <v/>
      </c>
      <c r="AW919" s="101" t="str">
        <f t="shared" si="1585"/>
        <v/>
      </c>
      <c r="AX919" s="177"/>
      <c r="AY919" s="169"/>
      <c r="AZ919" s="158"/>
      <c r="BA919" s="169"/>
      <c r="BB919" s="182"/>
      <c r="BC919" s="182"/>
      <c r="BD919" s="185"/>
      <c r="BE919" s="185"/>
      <c r="BF919" s="158" t="str">
        <f t="shared" si="1598"/>
        <v/>
      </c>
      <c r="BG919" s="191"/>
    </row>
    <row r="920" spans="1:59" x14ac:dyDescent="0.25">
      <c r="A920" s="167"/>
      <c r="B920" s="167"/>
      <c r="C920" s="161"/>
      <c r="D920" s="160"/>
      <c r="E920" s="162"/>
      <c r="F920" s="164"/>
      <c r="G920" s="161"/>
      <c r="H920" s="161"/>
      <c r="I920" s="161"/>
      <c r="J920" s="161"/>
      <c r="K920" s="161"/>
      <c r="L920" s="166"/>
      <c r="M920" s="166"/>
      <c r="N920" s="166"/>
      <c r="O920" s="166"/>
      <c r="P920" s="166"/>
      <c r="Q920" s="166"/>
      <c r="R920" s="166"/>
      <c r="S920" s="167"/>
      <c r="T920" s="167"/>
      <c r="U920" s="167"/>
      <c r="V920" s="167"/>
      <c r="W920" s="167"/>
      <c r="X920" s="164"/>
      <c r="Y920" s="164"/>
      <c r="Z920" s="172"/>
      <c r="AA920" s="188"/>
      <c r="AB920" s="172"/>
      <c r="AC920" s="172"/>
      <c r="AD920" s="175"/>
      <c r="AE920" s="62" t="s">
        <v>153</v>
      </c>
      <c r="AF920" s="133"/>
      <c r="AG920" s="65"/>
      <c r="AH920" s="64"/>
      <c r="AI920" s="64"/>
      <c r="AJ920" s="64"/>
      <c r="AK920" s="64"/>
      <c r="AL920" s="64"/>
      <c r="AM920" s="80" t="str">
        <f>IFERROR((Tablas!$C$1*VLOOKUP(AH920, tipo_control, 2, 0)+Tablas!$E$1*VLOOKUP(AI920, nat_control, 2, 0)+Tablas!$G$1*VLOOKUP(AJ920, ev_control, 2, 0)+Tablas!$I$1*VLOOKUP(AK920, frec_control, 2, 0)+Tablas!$K$1*VLOOKUP(AL920, doc_control, 2, 0))*0.1*peso_dis, "")</f>
        <v/>
      </c>
      <c r="AN920" s="64"/>
      <c r="AO920" s="64"/>
      <c r="AP920" s="64"/>
      <c r="AQ920" s="80" t="str">
        <f>IFERROR((Tablas!$C$9*VLOOKUP(AN920, amb_control, 2, 0)+Tablas!$E$9*VLOOKUP(AO920, ejec_control, 2, 0)+Tablas!$G$9*VLOOKUP(AP920, cub_control, 2, 0))*0.1*peso_ejec, "")</f>
        <v/>
      </c>
      <c r="AR920" s="91" t="str">
        <f t="shared" si="1583"/>
        <v/>
      </c>
      <c r="AS920" s="85" t="str">
        <f t="shared" si="1591"/>
        <v/>
      </c>
      <c r="AT920" s="85" t="str">
        <f t="shared" si="1592"/>
        <v/>
      </c>
      <c r="AU920" s="85" t="str">
        <f>IF(AR920&lt;Tablas!$G$19, 0, IF(AND(AR920&gt;=Tablas!$G$19, AR920&lt;Tablas!$G$20), 1,  IF(AND(AR920&gt;=Tablas!$G$20, AR920&lt;Tablas!$G$21), 2,  IF(AND(AR920&gt;=Tablas!$G$21, AR920&lt;=Tablas!$G$22), 3,  ""))))</f>
        <v/>
      </c>
      <c r="AV920" s="85" t="str">
        <f t="shared" si="1584"/>
        <v/>
      </c>
      <c r="AW920" s="101" t="str">
        <f t="shared" si="1585"/>
        <v/>
      </c>
      <c r="AX920" s="177"/>
      <c r="AY920" s="169"/>
      <c r="AZ920" s="158"/>
      <c r="BA920" s="169"/>
      <c r="BB920" s="182"/>
      <c r="BC920" s="182"/>
      <c r="BD920" s="185"/>
      <c r="BE920" s="185"/>
      <c r="BF920" s="158"/>
      <c r="BG920" s="191"/>
    </row>
    <row r="921" spans="1:59" ht="15.75" thickBot="1" x14ac:dyDescent="0.3">
      <c r="A921" s="167"/>
      <c r="B921" s="167"/>
      <c r="C921" s="161"/>
      <c r="D921" s="160"/>
      <c r="E921" s="162"/>
      <c r="F921" s="165"/>
      <c r="G921" s="161"/>
      <c r="H921" s="161"/>
      <c r="I921" s="161"/>
      <c r="J921" s="161"/>
      <c r="K921" s="161"/>
      <c r="L921" s="166"/>
      <c r="M921" s="166"/>
      <c r="N921" s="166"/>
      <c r="O921" s="166"/>
      <c r="P921" s="166"/>
      <c r="Q921" s="166"/>
      <c r="R921" s="166"/>
      <c r="S921" s="149"/>
      <c r="T921" s="149"/>
      <c r="U921" s="149"/>
      <c r="V921" s="149"/>
      <c r="W921" s="149"/>
      <c r="X921" s="165"/>
      <c r="Y921" s="165"/>
      <c r="Z921" s="172"/>
      <c r="AA921" s="188"/>
      <c r="AB921" s="172"/>
      <c r="AC921" s="172"/>
      <c r="AD921" s="175"/>
      <c r="AE921" s="66" t="s">
        <v>154</v>
      </c>
      <c r="AF921" s="134"/>
      <c r="AG921" s="67"/>
      <c r="AH921" s="69"/>
      <c r="AI921" s="69"/>
      <c r="AJ921" s="69"/>
      <c r="AK921" s="69"/>
      <c r="AL921" s="69"/>
      <c r="AM921" s="81" t="str">
        <f>IFERROR((Tablas!$C$1*VLOOKUP(AH921, tipo_control, 2, 0)+Tablas!$E$1*VLOOKUP(AI921, nat_control, 2, 0)+Tablas!$G$1*VLOOKUP(AJ921, ev_control, 2, 0)+Tablas!$I$1*VLOOKUP(AK921, frec_control, 2, 0)+Tablas!$K$1*VLOOKUP(AL921, doc_control, 2, 0))*0.1*peso_dis, "")</f>
        <v/>
      </c>
      <c r="AN921" s="69"/>
      <c r="AO921" s="69"/>
      <c r="AP921" s="69"/>
      <c r="AQ921" s="81" t="str">
        <f>IFERROR((Tablas!$C$9*VLOOKUP(AN921, amb_control, 2, 0)+Tablas!$E$9*VLOOKUP(AO921, ejec_control, 2, 0)+Tablas!$G$9*VLOOKUP(AP921, cub_control, 2, 0))*0.1*peso_ejec, "")</f>
        <v/>
      </c>
      <c r="AR921" s="93" t="str">
        <f t="shared" si="1583"/>
        <v/>
      </c>
      <c r="AS921" s="94" t="str">
        <f t="shared" si="1591"/>
        <v/>
      </c>
      <c r="AT921" s="94" t="str">
        <f t="shared" si="1592"/>
        <v/>
      </c>
      <c r="AU921" s="94" t="str">
        <f>IF(AR921&lt;Tablas!$G$19, 0, IF(AND(AR921&gt;=Tablas!$G$19, AR921&lt;Tablas!$G$20), 1,  IF(AND(AR921&gt;=Tablas!$G$20, AR921&lt;Tablas!$G$21), 2,  IF(AND(AR921&gt;=Tablas!$G$21, AR921&lt;=Tablas!$G$22), 3,  ""))))</f>
        <v/>
      </c>
      <c r="AV921" s="94" t="str">
        <f t="shared" si="1584"/>
        <v/>
      </c>
      <c r="AW921" s="102" t="str">
        <f t="shared" si="1585"/>
        <v/>
      </c>
      <c r="AX921" s="157"/>
      <c r="AY921" s="170"/>
      <c r="AZ921" s="179"/>
      <c r="BA921" s="170"/>
      <c r="BB921" s="182"/>
      <c r="BC921" s="182"/>
      <c r="BD921" s="185"/>
      <c r="BE921" s="185"/>
      <c r="BF921" s="159"/>
      <c r="BG921" s="191"/>
    </row>
    <row r="922" spans="1:59" x14ac:dyDescent="0.25">
      <c r="A922" s="167"/>
      <c r="B922" s="167"/>
      <c r="C922" s="161" t="s">
        <v>18</v>
      </c>
      <c r="D922" s="160" t="s">
        <v>158</v>
      </c>
      <c r="E922" s="162"/>
      <c r="F922" s="163" t="str">
        <f t="shared" si="1593"/>
        <v/>
      </c>
      <c r="G922" s="149"/>
      <c r="H922" s="149"/>
      <c r="I922" s="149"/>
      <c r="J922" s="149"/>
      <c r="K922" s="149"/>
      <c r="L922" s="165" t="str">
        <f t="shared" ref="L922" si="1599">IFERROR(VLOOKUP(G922, tabla02, 2, 0), "")</f>
        <v/>
      </c>
      <c r="M922" s="165" t="str">
        <f t="shared" ref="M922" si="1600">IFERROR(VLOOKUP(H922, tabla02, 2, 0), "")</f>
        <v/>
      </c>
      <c r="N922" s="165" t="str">
        <f t="shared" ref="N922" si="1601">IFERROR(VLOOKUP(I922, tabla02, 2, 0), "")</f>
        <v/>
      </c>
      <c r="O922" s="165" t="str">
        <f t="shared" ref="O922" si="1602">IFERROR(VLOOKUP(J922, tabla02, 2, 0), "")</f>
        <v/>
      </c>
      <c r="P922" s="165" t="str">
        <f t="shared" ref="P922" si="1603">IFERROR(VLOOKUP(K922, tabla02, 2, 0), "")</f>
        <v/>
      </c>
      <c r="Q922" s="165" t="str">
        <f t="shared" ref="Q922" si="1604">IF(SUM(L922:O926)=0, "", MAX(L922:P922))</f>
        <v/>
      </c>
      <c r="R922" s="165" t="str">
        <f>IFERROR(VLOOKUP(Q922, tabla04, 3, 0), "")</f>
        <v/>
      </c>
      <c r="S922" s="148"/>
      <c r="T922" s="148"/>
      <c r="U922" s="148"/>
      <c r="V922" s="148"/>
      <c r="W922" s="148"/>
      <c r="X922" s="163" t="str">
        <f>IFERROR(VLOOKUP(CONCATENATE(F922, "-", Q922), cuadrante_sev, 3, 0), "")</f>
        <v/>
      </c>
      <c r="Y922" s="163" t="str">
        <f t="shared" ref="Y922" si="1605">IFERROR(IF(X922="Baja", 1, IF(X922="Moderada", 2, IF(X922="Alta", 3, IF(X922="Extrema", 4, "")))), "")</f>
        <v/>
      </c>
      <c r="Z922" s="172"/>
      <c r="AA922" s="188"/>
      <c r="AB922" s="172"/>
      <c r="AC922" s="172"/>
      <c r="AD922" s="175"/>
      <c r="AE922" s="70" t="s">
        <v>113</v>
      </c>
      <c r="AF922" s="135"/>
      <c r="AG922" s="77"/>
      <c r="AH922" s="61"/>
      <c r="AI922" s="61"/>
      <c r="AJ922" s="61"/>
      <c r="AK922" s="61"/>
      <c r="AL922" s="61"/>
      <c r="AM922" s="82" t="str">
        <f>IFERROR((Tablas!$C$1*VLOOKUP(AH922, tipo_control, 2, 0)+Tablas!$E$1*VLOOKUP(AI922, nat_control, 2, 0)+Tablas!$G$1*VLOOKUP(AJ922, ev_control, 2, 0)+Tablas!$I$1*VLOOKUP(AK922, frec_control, 2, 0)+Tablas!$K$1*VLOOKUP(AL922, doc_control, 2, 0))*0.1*peso_dis, "")</f>
        <v/>
      </c>
      <c r="AN922" s="61"/>
      <c r="AO922" s="61"/>
      <c r="AP922" s="61"/>
      <c r="AQ922" s="82" t="str">
        <f>IFERROR((Tablas!$C$9*VLOOKUP(AN922, amb_control, 2, 0)+Tablas!$E$9*VLOOKUP(AO922, ejec_control, 2, 0)+Tablas!$G$9*VLOOKUP(AP922, cub_control, 2, 0))*0.1*peso_ejec, "")</f>
        <v/>
      </c>
      <c r="AR922" s="96" t="str">
        <f t="shared" si="1583"/>
        <v/>
      </c>
      <c r="AS922" s="97" t="str">
        <f t="shared" si="1591"/>
        <v/>
      </c>
      <c r="AT922" s="87" t="str">
        <f t="shared" si="1592"/>
        <v/>
      </c>
      <c r="AU922" s="97" t="str">
        <f>IF(AR922&lt;Tablas!$G$19, 0, IF(AND(AR922&gt;=Tablas!$G$19, AR922&lt;Tablas!$G$20), 1,  IF(AND(AR922&gt;=Tablas!$G$20, AR922&lt;Tablas!$G$21), 2,  IF(AND(AR922&gt;=Tablas!$G$21, AR922&lt;=Tablas!$G$22), 3,  ""))))</f>
        <v/>
      </c>
      <c r="AV922" s="97" t="str">
        <f t="shared" si="1584"/>
        <v/>
      </c>
      <c r="AW922" s="103" t="str">
        <f t="shared" si="1585"/>
        <v/>
      </c>
      <c r="AX922" s="176" t="str">
        <f t="shared" ref="AX922" si="1606">IFERROR(VLOOKUP(AY922, tabla04, 2, 0), "")</f>
        <v/>
      </c>
      <c r="AY922" s="168" t="str">
        <f>IF(F922="", "", IF((F922-MAX(AV922:AV926))&lt;=0, 1, F922-MAX(AV922:AV926)))</f>
        <v/>
      </c>
      <c r="AZ922" s="178" t="str">
        <f t="shared" ref="AZ922" si="1607">IFERROR(VLOOKUP(BA922, tabla04, 3, 0), "")</f>
        <v/>
      </c>
      <c r="BA922" s="168" t="str">
        <f>IF(Q922="", "", IF((Q922-MAX(AW922:AW926))&lt;=0, 1, Q922-MAX(AW922:AW926)))</f>
        <v/>
      </c>
      <c r="BB922" s="182"/>
      <c r="BC922" s="182"/>
      <c r="BD922" s="185"/>
      <c r="BE922" s="185"/>
      <c r="BF922" s="158" t="str">
        <f t="shared" ref="BF922:BF924" si="1608">IFERROR(VLOOKUP(CONCATENATE(AY922, "-", BA922), cuadrante_sev, 3, 0), "")</f>
        <v/>
      </c>
      <c r="BG922" s="191"/>
    </row>
    <row r="923" spans="1:59" x14ac:dyDescent="0.25">
      <c r="A923" s="167"/>
      <c r="B923" s="167"/>
      <c r="C923" s="161"/>
      <c r="D923" s="160"/>
      <c r="E923" s="162"/>
      <c r="F923" s="164"/>
      <c r="G923" s="161"/>
      <c r="H923" s="161"/>
      <c r="I923" s="161"/>
      <c r="J923" s="161"/>
      <c r="K923" s="161"/>
      <c r="L923" s="166"/>
      <c r="M923" s="166"/>
      <c r="N923" s="166"/>
      <c r="O923" s="166"/>
      <c r="P923" s="166"/>
      <c r="Q923" s="166"/>
      <c r="R923" s="166"/>
      <c r="S923" s="167"/>
      <c r="T923" s="167"/>
      <c r="U923" s="167"/>
      <c r="V923" s="167"/>
      <c r="W923" s="167"/>
      <c r="X923" s="164"/>
      <c r="Y923" s="164"/>
      <c r="Z923" s="172"/>
      <c r="AA923" s="188"/>
      <c r="AB923" s="172"/>
      <c r="AC923" s="172"/>
      <c r="AD923" s="175"/>
      <c r="AE923" s="62" t="s">
        <v>114</v>
      </c>
      <c r="AF923" s="133"/>
      <c r="AG923" s="65"/>
      <c r="AH923" s="64"/>
      <c r="AI923" s="64"/>
      <c r="AJ923" s="64"/>
      <c r="AK923" s="64"/>
      <c r="AL923" s="64"/>
      <c r="AM923" s="80" t="str">
        <f>IFERROR((Tablas!$C$1*VLOOKUP(AH923, tipo_control, 2, 0)+Tablas!$E$1*VLOOKUP(AI923, nat_control, 2, 0)+Tablas!$G$1*VLOOKUP(AJ923, ev_control, 2, 0)+Tablas!$I$1*VLOOKUP(AK923, frec_control, 2, 0)+Tablas!$K$1*VLOOKUP(AL923, doc_control, 2, 0))*0.1*peso_dis, "")</f>
        <v/>
      </c>
      <c r="AN923" s="64"/>
      <c r="AO923" s="64"/>
      <c r="AP923" s="64"/>
      <c r="AQ923" s="80" t="str">
        <f>IFERROR((Tablas!$C$9*VLOOKUP(AN923, amb_control, 2, 0)+Tablas!$E$9*VLOOKUP(AO923, ejec_control, 2, 0)+Tablas!$G$9*VLOOKUP(AP923, cub_control, 2, 0))*0.1*peso_ejec, "")</f>
        <v/>
      </c>
      <c r="AR923" s="91" t="str">
        <f t="shared" si="1583"/>
        <v/>
      </c>
      <c r="AS923" s="85" t="str">
        <f t="shared" si="1591"/>
        <v/>
      </c>
      <c r="AT923" s="85" t="str">
        <f t="shared" si="1592"/>
        <v/>
      </c>
      <c r="AU923" s="85" t="str">
        <f>IF(AR923&lt;Tablas!$G$19, 0, IF(AND(AR923&gt;=Tablas!$G$19, AR923&lt;Tablas!$G$20), 1,  IF(AND(AR923&gt;=Tablas!$G$20, AR923&lt;Tablas!$G$21), 2,  IF(AND(AR923&gt;=Tablas!$G$21, AR923&lt;=Tablas!$G$22), 3,  ""))))</f>
        <v/>
      </c>
      <c r="AV923" s="85" t="str">
        <f t="shared" si="1584"/>
        <v/>
      </c>
      <c r="AW923" s="101" t="str">
        <f t="shared" si="1585"/>
        <v/>
      </c>
      <c r="AX923" s="177"/>
      <c r="AY923" s="169"/>
      <c r="AZ923" s="158"/>
      <c r="BA923" s="169"/>
      <c r="BB923" s="182"/>
      <c r="BC923" s="182"/>
      <c r="BD923" s="185"/>
      <c r="BE923" s="185"/>
      <c r="BF923" s="158" t="str">
        <f t="shared" si="1608"/>
        <v/>
      </c>
      <c r="BG923" s="191"/>
    </row>
    <row r="924" spans="1:59" x14ac:dyDescent="0.25">
      <c r="A924" s="167"/>
      <c r="B924" s="167"/>
      <c r="C924" s="161"/>
      <c r="D924" s="160"/>
      <c r="E924" s="162"/>
      <c r="F924" s="164"/>
      <c r="G924" s="161"/>
      <c r="H924" s="161"/>
      <c r="I924" s="161"/>
      <c r="J924" s="161"/>
      <c r="K924" s="161"/>
      <c r="L924" s="166"/>
      <c r="M924" s="166"/>
      <c r="N924" s="166"/>
      <c r="O924" s="166"/>
      <c r="P924" s="166"/>
      <c r="Q924" s="166"/>
      <c r="R924" s="166"/>
      <c r="S924" s="167"/>
      <c r="T924" s="167"/>
      <c r="U924" s="167"/>
      <c r="V924" s="167"/>
      <c r="W924" s="167"/>
      <c r="X924" s="164"/>
      <c r="Y924" s="164"/>
      <c r="Z924" s="172"/>
      <c r="AA924" s="188"/>
      <c r="AB924" s="172"/>
      <c r="AC924" s="172"/>
      <c r="AD924" s="175"/>
      <c r="AE924" s="62" t="s">
        <v>115</v>
      </c>
      <c r="AF924" s="133"/>
      <c r="AG924" s="65"/>
      <c r="AH924" s="64"/>
      <c r="AI924" s="64"/>
      <c r="AJ924" s="64"/>
      <c r="AK924" s="64"/>
      <c r="AL924" s="64"/>
      <c r="AM924" s="80" t="str">
        <f>IFERROR((Tablas!$C$1*VLOOKUP(AH924, tipo_control, 2, 0)+Tablas!$E$1*VLOOKUP(AI924, nat_control, 2, 0)+Tablas!$G$1*VLOOKUP(AJ924, ev_control, 2, 0)+Tablas!$I$1*VLOOKUP(AK924, frec_control, 2, 0)+Tablas!$K$1*VLOOKUP(AL924, doc_control, 2, 0))*0.1*peso_dis, "")</f>
        <v/>
      </c>
      <c r="AN924" s="64"/>
      <c r="AO924" s="64"/>
      <c r="AP924" s="64"/>
      <c r="AQ924" s="80" t="str">
        <f>IFERROR((Tablas!$C$9*VLOOKUP(AN924, amb_control, 2, 0)+Tablas!$E$9*VLOOKUP(AO924, ejec_control, 2, 0)+Tablas!$G$9*VLOOKUP(AP924, cub_control, 2, 0))*0.1*peso_ejec, "")</f>
        <v/>
      </c>
      <c r="AR924" s="91" t="str">
        <f t="shared" si="1583"/>
        <v/>
      </c>
      <c r="AS924" s="85" t="str">
        <f t="shared" si="1591"/>
        <v/>
      </c>
      <c r="AT924" s="85" t="str">
        <f t="shared" si="1592"/>
        <v/>
      </c>
      <c r="AU924" s="85" t="str">
        <f>IF(AR924&lt;Tablas!$G$19, 0, IF(AND(AR924&gt;=Tablas!$G$19, AR924&lt;Tablas!$G$20), 1,  IF(AND(AR924&gt;=Tablas!$G$20, AR924&lt;Tablas!$G$21), 2,  IF(AND(AR924&gt;=Tablas!$G$21, AR924&lt;=Tablas!$G$22), 3,  ""))))</f>
        <v/>
      </c>
      <c r="AV924" s="85" t="str">
        <f t="shared" si="1584"/>
        <v/>
      </c>
      <c r="AW924" s="101" t="str">
        <f t="shared" si="1585"/>
        <v/>
      </c>
      <c r="AX924" s="177"/>
      <c r="AY924" s="169"/>
      <c r="AZ924" s="158"/>
      <c r="BA924" s="169"/>
      <c r="BB924" s="182"/>
      <c r="BC924" s="182"/>
      <c r="BD924" s="185"/>
      <c r="BE924" s="185"/>
      <c r="BF924" s="158" t="str">
        <f t="shared" si="1608"/>
        <v/>
      </c>
      <c r="BG924" s="191"/>
    </row>
    <row r="925" spans="1:59" x14ac:dyDescent="0.25">
      <c r="A925" s="167"/>
      <c r="B925" s="167"/>
      <c r="C925" s="161"/>
      <c r="D925" s="160"/>
      <c r="E925" s="162"/>
      <c r="F925" s="164"/>
      <c r="G925" s="161"/>
      <c r="H925" s="161"/>
      <c r="I925" s="161"/>
      <c r="J925" s="161"/>
      <c r="K925" s="161"/>
      <c r="L925" s="166"/>
      <c r="M925" s="166"/>
      <c r="N925" s="166"/>
      <c r="O925" s="166"/>
      <c r="P925" s="166"/>
      <c r="Q925" s="166"/>
      <c r="R925" s="166"/>
      <c r="S925" s="167"/>
      <c r="T925" s="167"/>
      <c r="U925" s="167"/>
      <c r="V925" s="167"/>
      <c r="W925" s="167"/>
      <c r="X925" s="164"/>
      <c r="Y925" s="164"/>
      <c r="Z925" s="172"/>
      <c r="AA925" s="188"/>
      <c r="AB925" s="172"/>
      <c r="AC925" s="172"/>
      <c r="AD925" s="175"/>
      <c r="AE925" s="62" t="s">
        <v>153</v>
      </c>
      <c r="AF925" s="133"/>
      <c r="AG925" s="65"/>
      <c r="AH925" s="64"/>
      <c r="AI925" s="64"/>
      <c r="AJ925" s="64"/>
      <c r="AK925" s="64"/>
      <c r="AL925" s="64"/>
      <c r="AM925" s="80" t="str">
        <f>IFERROR((Tablas!$C$1*VLOOKUP(AH925, tipo_control, 2, 0)+Tablas!$E$1*VLOOKUP(AI925, nat_control, 2, 0)+Tablas!$G$1*VLOOKUP(AJ925, ev_control, 2, 0)+Tablas!$I$1*VLOOKUP(AK925, frec_control, 2, 0)+Tablas!$K$1*VLOOKUP(AL925, doc_control, 2, 0))*0.1*peso_dis, "")</f>
        <v/>
      </c>
      <c r="AN925" s="64"/>
      <c r="AO925" s="64"/>
      <c r="AP925" s="64"/>
      <c r="AQ925" s="80" t="str">
        <f>IFERROR((Tablas!$C$9*VLOOKUP(AN925, amb_control, 2, 0)+Tablas!$E$9*VLOOKUP(AO925, ejec_control, 2, 0)+Tablas!$G$9*VLOOKUP(AP925, cub_control, 2, 0))*0.1*peso_ejec, "")</f>
        <v/>
      </c>
      <c r="AR925" s="91" t="str">
        <f t="shared" si="1583"/>
        <v/>
      </c>
      <c r="AS925" s="85" t="str">
        <f t="shared" si="1591"/>
        <v/>
      </c>
      <c r="AT925" s="85" t="str">
        <f t="shared" si="1592"/>
        <v/>
      </c>
      <c r="AU925" s="85" t="str">
        <f>IF(AR925&lt;Tablas!$G$19, 0, IF(AND(AR925&gt;=Tablas!$G$19, AR925&lt;Tablas!$G$20), 1,  IF(AND(AR925&gt;=Tablas!$G$20, AR925&lt;Tablas!$G$21), 2,  IF(AND(AR925&gt;=Tablas!$G$21, AR925&lt;=Tablas!$G$22), 3,  ""))))</f>
        <v/>
      </c>
      <c r="AV925" s="85" t="str">
        <f t="shared" si="1584"/>
        <v/>
      </c>
      <c r="AW925" s="101" t="str">
        <f t="shared" si="1585"/>
        <v/>
      </c>
      <c r="AX925" s="177"/>
      <c r="AY925" s="169"/>
      <c r="AZ925" s="158"/>
      <c r="BA925" s="169"/>
      <c r="BB925" s="182"/>
      <c r="BC925" s="182"/>
      <c r="BD925" s="185"/>
      <c r="BE925" s="185"/>
      <c r="BF925" s="158"/>
      <c r="BG925" s="191"/>
    </row>
    <row r="926" spans="1:59" ht="15.75" thickBot="1" x14ac:dyDescent="0.3">
      <c r="A926" s="167"/>
      <c r="B926" s="167"/>
      <c r="C926" s="161"/>
      <c r="D926" s="160"/>
      <c r="E926" s="162"/>
      <c r="F926" s="165"/>
      <c r="G926" s="161"/>
      <c r="H926" s="161"/>
      <c r="I926" s="161"/>
      <c r="J926" s="161"/>
      <c r="K926" s="161"/>
      <c r="L926" s="166"/>
      <c r="M926" s="166"/>
      <c r="N926" s="166"/>
      <c r="O926" s="166"/>
      <c r="P926" s="166"/>
      <c r="Q926" s="166"/>
      <c r="R926" s="166"/>
      <c r="S926" s="149"/>
      <c r="T926" s="149"/>
      <c r="U926" s="149"/>
      <c r="V926" s="149"/>
      <c r="W926" s="149"/>
      <c r="X926" s="165"/>
      <c r="Y926" s="165"/>
      <c r="Z926" s="172"/>
      <c r="AA926" s="188"/>
      <c r="AB926" s="172"/>
      <c r="AC926" s="172"/>
      <c r="AD926" s="175"/>
      <c r="AE926" s="66" t="s">
        <v>154</v>
      </c>
      <c r="AF926" s="134"/>
      <c r="AG926" s="67"/>
      <c r="AH926" s="69"/>
      <c r="AI926" s="69"/>
      <c r="AJ926" s="69"/>
      <c r="AK926" s="69"/>
      <c r="AL926" s="69"/>
      <c r="AM926" s="81" t="str">
        <f>IFERROR((Tablas!$C$1*VLOOKUP(AH926, tipo_control, 2, 0)+Tablas!$E$1*VLOOKUP(AI926, nat_control, 2, 0)+Tablas!$G$1*VLOOKUP(AJ926, ev_control, 2, 0)+Tablas!$I$1*VLOOKUP(AK926, frec_control, 2, 0)+Tablas!$K$1*VLOOKUP(AL926, doc_control, 2, 0))*0.1*peso_dis, "")</f>
        <v/>
      </c>
      <c r="AN926" s="69"/>
      <c r="AO926" s="69"/>
      <c r="AP926" s="69"/>
      <c r="AQ926" s="81" t="str">
        <f>IFERROR((Tablas!$C$9*VLOOKUP(AN926, amb_control, 2, 0)+Tablas!$E$9*VLOOKUP(AO926, ejec_control, 2, 0)+Tablas!$G$9*VLOOKUP(AP926, cub_control, 2, 0))*0.1*peso_ejec, "")</f>
        <v/>
      </c>
      <c r="AR926" s="93" t="str">
        <f t="shared" si="1583"/>
        <v/>
      </c>
      <c r="AS926" s="94" t="str">
        <f t="shared" si="1591"/>
        <v/>
      </c>
      <c r="AT926" s="94" t="str">
        <f t="shared" si="1592"/>
        <v/>
      </c>
      <c r="AU926" s="94" t="str">
        <f>IF(AR926&lt;Tablas!$G$19, 0, IF(AND(AR926&gt;=Tablas!$G$19, AR926&lt;Tablas!$G$20), 1,  IF(AND(AR926&gt;=Tablas!$G$20, AR926&lt;Tablas!$G$21), 2,  IF(AND(AR926&gt;=Tablas!$G$21, AR926&lt;=Tablas!$G$22), 3,  ""))))</f>
        <v/>
      </c>
      <c r="AV926" s="94" t="str">
        <f t="shared" si="1584"/>
        <v/>
      </c>
      <c r="AW926" s="102" t="str">
        <f t="shared" si="1585"/>
        <v/>
      </c>
      <c r="AX926" s="157"/>
      <c r="AY926" s="170"/>
      <c r="AZ926" s="179"/>
      <c r="BA926" s="170"/>
      <c r="BB926" s="182"/>
      <c r="BC926" s="182"/>
      <c r="BD926" s="185"/>
      <c r="BE926" s="185"/>
      <c r="BF926" s="159"/>
      <c r="BG926" s="191"/>
    </row>
    <row r="927" spans="1:59" x14ac:dyDescent="0.25">
      <c r="A927" s="167"/>
      <c r="B927" s="167"/>
      <c r="C927" s="161" t="s">
        <v>19</v>
      </c>
      <c r="D927" s="160" t="s">
        <v>158</v>
      </c>
      <c r="E927" s="162"/>
      <c r="F927" s="163" t="str">
        <f t="shared" si="1593"/>
        <v/>
      </c>
      <c r="G927" s="149"/>
      <c r="H927" s="149"/>
      <c r="I927" s="149"/>
      <c r="J927" s="149"/>
      <c r="K927" s="149"/>
      <c r="L927" s="165" t="str">
        <f t="shared" ref="L927" si="1609">IFERROR(VLOOKUP(G927, tabla02, 2, 0), "")</f>
        <v/>
      </c>
      <c r="M927" s="165" t="str">
        <f t="shared" ref="M927" si="1610">IFERROR(VLOOKUP(H927, tabla02, 2, 0), "")</f>
        <v/>
      </c>
      <c r="N927" s="165" t="str">
        <f t="shared" ref="N927" si="1611">IFERROR(VLOOKUP(I927, tabla02, 2, 0), "")</f>
        <v/>
      </c>
      <c r="O927" s="165" t="str">
        <f t="shared" ref="O927" si="1612">IFERROR(VLOOKUP(J927, tabla02, 2, 0), "")</f>
        <v/>
      </c>
      <c r="P927" s="165" t="str">
        <f t="shared" ref="P927" si="1613">IFERROR(VLOOKUP(K927, tabla02, 2, 0), "")</f>
        <v/>
      </c>
      <c r="Q927" s="165" t="str">
        <f t="shared" ref="Q927" si="1614">IF(SUM(L927:O931)=0, "", MAX(L927:P927))</f>
        <v/>
      </c>
      <c r="R927" s="165" t="str">
        <f>IFERROR(VLOOKUP(Q927, tabla04, 3, 0), "")</f>
        <v/>
      </c>
      <c r="S927" s="148"/>
      <c r="T927" s="148"/>
      <c r="U927" s="148"/>
      <c r="V927" s="148"/>
      <c r="W927" s="148"/>
      <c r="X927" s="163" t="str">
        <f>IFERROR(VLOOKUP(CONCATENATE(F927, "-", Q927), cuadrante_sev, 3, 0), "")</f>
        <v/>
      </c>
      <c r="Y927" s="163" t="str">
        <f t="shared" ref="Y927" si="1615">IFERROR(IF(X927="Baja", 1, IF(X927="Moderada", 2, IF(X927="Alta", 3, IF(X927="Extrema", 4, "")))), "")</f>
        <v/>
      </c>
      <c r="Z927" s="172"/>
      <c r="AA927" s="188"/>
      <c r="AB927" s="172"/>
      <c r="AC927" s="172"/>
      <c r="AD927" s="175"/>
      <c r="AE927" s="70" t="s">
        <v>113</v>
      </c>
      <c r="AF927" s="135"/>
      <c r="AG927" s="74"/>
      <c r="AH927" s="72"/>
      <c r="AI927" s="72"/>
      <c r="AJ927" s="72"/>
      <c r="AK927" s="72"/>
      <c r="AL927" s="72"/>
      <c r="AM927" s="82" t="str">
        <f>IFERROR((Tablas!$C$1*VLOOKUP(AH927, tipo_control, 2, 0)+Tablas!$E$1*VLOOKUP(AI927, nat_control, 2, 0)+Tablas!$G$1*VLOOKUP(AJ927, ev_control, 2, 0)+Tablas!$I$1*VLOOKUP(AK927, frec_control, 2, 0)+Tablas!$K$1*VLOOKUP(AL927, doc_control, 2, 0))*0.1*peso_dis, "")</f>
        <v/>
      </c>
      <c r="AN927" s="72"/>
      <c r="AO927" s="72"/>
      <c r="AP927" s="72"/>
      <c r="AQ927" s="82" t="str">
        <f>IFERROR((Tablas!$C$9*VLOOKUP(AN927, amb_control, 2, 0)+Tablas!$E$9*VLOOKUP(AO927, ejec_control, 2, 0)+Tablas!$G$9*VLOOKUP(AP927, cub_control, 2, 0))*0.1*peso_ejec, "")</f>
        <v/>
      </c>
      <c r="AR927" s="96" t="str">
        <f t="shared" si="1583"/>
        <v/>
      </c>
      <c r="AS927" s="97" t="str">
        <f t="shared" si="1591"/>
        <v/>
      </c>
      <c r="AT927" s="87" t="str">
        <f t="shared" si="1592"/>
        <v/>
      </c>
      <c r="AU927" s="97" t="str">
        <f>IF(AR927&lt;Tablas!$G$19, 0, IF(AND(AR927&gt;=Tablas!$G$19, AR927&lt;Tablas!$G$20), 1,  IF(AND(AR927&gt;=Tablas!$G$20, AR927&lt;Tablas!$G$21), 2,  IF(AND(AR927&gt;=Tablas!$G$21, AR927&lt;=Tablas!$G$22), 3,  ""))))</f>
        <v/>
      </c>
      <c r="AV927" s="97" t="str">
        <f t="shared" si="1584"/>
        <v/>
      </c>
      <c r="AW927" s="103" t="str">
        <f t="shared" si="1585"/>
        <v/>
      </c>
      <c r="AX927" s="176" t="str">
        <f t="shared" ref="AX927" si="1616">IFERROR(VLOOKUP(AY927, tabla04, 2, 0), "")</f>
        <v/>
      </c>
      <c r="AY927" s="168" t="str">
        <f>IF(F927="", "", IF((F927-MAX(AV927:AV931))&lt;=0, 1, F927-MAX(AV927:AV931)))</f>
        <v/>
      </c>
      <c r="AZ927" s="178" t="str">
        <f t="shared" ref="AZ927" si="1617">IFERROR(VLOOKUP(BA927, tabla04, 3, 0), "")</f>
        <v/>
      </c>
      <c r="BA927" s="168" t="str">
        <f>IF(Q927="", "", IF((Q927-MAX(AW927:AW931))&lt;=0, 1, Q927-MAX(AW927:AW931)))</f>
        <v/>
      </c>
      <c r="BB927" s="182"/>
      <c r="BC927" s="182"/>
      <c r="BD927" s="185"/>
      <c r="BE927" s="185"/>
      <c r="BF927" s="158" t="str">
        <f t="shared" ref="BF927:BF929" si="1618">IFERROR(VLOOKUP(CONCATENATE(AY927, "-", BA927), cuadrante_sev, 3, 0), "")</f>
        <v/>
      </c>
      <c r="BG927" s="191"/>
    </row>
    <row r="928" spans="1:59" x14ac:dyDescent="0.25">
      <c r="A928" s="167"/>
      <c r="B928" s="167"/>
      <c r="C928" s="161"/>
      <c r="D928" s="160"/>
      <c r="E928" s="162"/>
      <c r="F928" s="164"/>
      <c r="G928" s="161"/>
      <c r="H928" s="161"/>
      <c r="I928" s="161"/>
      <c r="J928" s="161"/>
      <c r="K928" s="161"/>
      <c r="L928" s="166"/>
      <c r="M928" s="166"/>
      <c r="N928" s="166"/>
      <c r="O928" s="166"/>
      <c r="P928" s="166"/>
      <c r="Q928" s="166"/>
      <c r="R928" s="166"/>
      <c r="S928" s="167"/>
      <c r="T928" s="167"/>
      <c r="U928" s="167"/>
      <c r="V928" s="167"/>
      <c r="W928" s="167"/>
      <c r="X928" s="164"/>
      <c r="Y928" s="164"/>
      <c r="Z928" s="172"/>
      <c r="AA928" s="188"/>
      <c r="AB928" s="172"/>
      <c r="AC928" s="172"/>
      <c r="AD928" s="175"/>
      <c r="AE928" s="62" t="s">
        <v>114</v>
      </c>
      <c r="AF928" s="133"/>
      <c r="AG928" s="65"/>
      <c r="AH928" s="64"/>
      <c r="AI928" s="64"/>
      <c r="AJ928" s="64"/>
      <c r="AK928" s="64"/>
      <c r="AL928" s="64"/>
      <c r="AM928" s="80" t="str">
        <f>IFERROR((Tablas!$C$1*VLOOKUP(AH928, tipo_control, 2, 0)+Tablas!$E$1*VLOOKUP(AI928, nat_control, 2, 0)+Tablas!$G$1*VLOOKUP(AJ928, ev_control, 2, 0)+Tablas!$I$1*VLOOKUP(AK928, frec_control, 2, 0)+Tablas!$K$1*VLOOKUP(AL928, doc_control, 2, 0))*0.1*peso_dis, "")</f>
        <v/>
      </c>
      <c r="AN928" s="64"/>
      <c r="AO928" s="64"/>
      <c r="AP928" s="64"/>
      <c r="AQ928" s="80" t="str">
        <f>IFERROR((Tablas!$C$9*VLOOKUP(AN928, amb_control, 2, 0)+Tablas!$E$9*VLOOKUP(AO928, ejec_control, 2, 0)+Tablas!$G$9*VLOOKUP(AP928, cub_control, 2, 0))*0.1*peso_ejec, "")</f>
        <v/>
      </c>
      <c r="AR928" s="91" t="str">
        <f t="shared" si="1583"/>
        <v/>
      </c>
      <c r="AS928" s="85" t="str">
        <f t="shared" si="1591"/>
        <v/>
      </c>
      <c r="AT928" s="85" t="str">
        <f t="shared" si="1592"/>
        <v/>
      </c>
      <c r="AU928" s="85" t="str">
        <f>IF(AR928&lt;Tablas!$G$19, 0, IF(AND(AR928&gt;=Tablas!$G$19, AR928&lt;Tablas!$G$20), 1,  IF(AND(AR928&gt;=Tablas!$G$20, AR928&lt;Tablas!$G$21), 2,  IF(AND(AR928&gt;=Tablas!$G$21, AR928&lt;=Tablas!$G$22), 3,  ""))))</f>
        <v/>
      </c>
      <c r="AV928" s="85" t="str">
        <f t="shared" si="1584"/>
        <v/>
      </c>
      <c r="AW928" s="101" t="str">
        <f t="shared" si="1585"/>
        <v/>
      </c>
      <c r="AX928" s="177"/>
      <c r="AY928" s="169"/>
      <c r="AZ928" s="158"/>
      <c r="BA928" s="169"/>
      <c r="BB928" s="182"/>
      <c r="BC928" s="182"/>
      <c r="BD928" s="185"/>
      <c r="BE928" s="185"/>
      <c r="BF928" s="158" t="str">
        <f t="shared" si="1618"/>
        <v/>
      </c>
      <c r="BG928" s="191"/>
    </row>
    <row r="929" spans="1:59" x14ac:dyDescent="0.25">
      <c r="A929" s="167"/>
      <c r="B929" s="167"/>
      <c r="C929" s="161"/>
      <c r="D929" s="160"/>
      <c r="E929" s="162"/>
      <c r="F929" s="164"/>
      <c r="G929" s="161"/>
      <c r="H929" s="161"/>
      <c r="I929" s="161"/>
      <c r="J929" s="161"/>
      <c r="K929" s="161"/>
      <c r="L929" s="166"/>
      <c r="M929" s="166"/>
      <c r="N929" s="166"/>
      <c r="O929" s="166"/>
      <c r="P929" s="166"/>
      <c r="Q929" s="166"/>
      <c r="R929" s="166"/>
      <c r="S929" s="167"/>
      <c r="T929" s="167"/>
      <c r="U929" s="167"/>
      <c r="V929" s="167"/>
      <c r="W929" s="167"/>
      <c r="X929" s="164"/>
      <c r="Y929" s="164"/>
      <c r="Z929" s="172"/>
      <c r="AA929" s="188"/>
      <c r="AB929" s="172"/>
      <c r="AC929" s="172"/>
      <c r="AD929" s="175"/>
      <c r="AE929" s="62" t="s">
        <v>115</v>
      </c>
      <c r="AF929" s="133"/>
      <c r="AG929" s="65"/>
      <c r="AH929" s="64"/>
      <c r="AI929" s="64"/>
      <c r="AJ929" s="64"/>
      <c r="AK929" s="64"/>
      <c r="AL929" s="64"/>
      <c r="AM929" s="80" t="str">
        <f>IFERROR((Tablas!$C$1*VLOOKUP(AH929, tipo_control, 2, 0)+Tablas!$E$1*VLOOKUP(AI929, nat_control, 2, 0)+Tablas!$G$1*VLOOKUP(AJ929, ev_control, 2, 0)+Tablas!$I$1*VLOOKUP(AK929, frec_control, 2, 0)+Tablas!$K$1*VLOOKUP(AL929, doc_control, 2, 0))*0.1*peso_dis, "")</f>
        <v/>
      </c>
      <c r="AN929" s="64"/>
      <c r="AO929" s="64"/>
      <c r="AP929" s="64"/>
      <c r="AQ929" s="80" t="str">
        <f>IFERROR((Tablas!$C$9*VLOOKUP(AN929, amb_control, 2, 0)+Tablas!$E$9*VLOOKUP(AO929, ejec_control, 2, 0)+Tablas!$G$9*VLOOKUP(AP929, cub_control, 2, 0))*0.1*peso_ejec, "")</f>
        <v/>
      </c>
      <c r="AR929" s="91" t="str">
        <f t="shared" si="1583"/>
        <v/>
      </c>
      <c r="AS929" s="85" t="str">
        <f t="shared" si="1591"/>
        <v/>
      </c>
      <c r="AT929" s="85" t="str">
        <f t="shared" si="1592"/>
        <v/>
      </c>
      <c r="AU929" s="85" t="str">
        <f>IF(AR929&lt;Tablas!$G$19, 0, IF(AND(AR929&gt;=Tablas!$G$19, AR929&lt;Tablas!$G$20), 1,  IF(AND(AR929&gt;=Tablas!$G$20, AR929&lt;Tablas!$G$21), 2,  IF(AND(AR929&gt;=Tablas!$G$21, AR929&lt;=Tablas!$G$22), 3,  ""))))</f>
        <v/>
      </c>
      <c r="AV929" s="85" t="str">
        <f t="shared" si="1584"/>
        <v/>
      </c>
      <c r="AW929" s="101" t="str">
        <f t="shared" si="1585"/>
        <v/>
      </c>
      <c r="AX929" s="177"/>
      <c r="AY929" s="169"/>
      <c r="AZ929" s="158"/>
      <c r="BA929" s="169"/>
      <c r="BB929" s="182"/>
      <c r="BC929" s="182"/>
      <c r="BD929" s="185"/>
      <c r="BE929" s="185"/>
      <c r="BF929" s="158" t="str">
        <f t="shared" si="1618"/>
        <v/>
      </c>
      <c r="BG929" s="191"/>
    </row>
    <row r="930" spans="1:59" x14ac:dyDescent="0.25">
      <c r="A930" s="167"/>
      <c r="B930" s="167"/>
      <c r="C930" s="161"/>
      <c r="D930" s="160"/>
      <c r="E930" s="162"/>
      <c r="F930" s="164"/>
      <c r="G930" s="161"/>
      <c r="H930" s="161"/>
      <c r="I930" s="161"/>
      <c r="J930" s="161"/>
      <c r="K930" s="161"/>
      <c r="L930" s="166"/>
      <c r="M930" s="166"/>
      <c r="N930" s="166"/>
      <c r="O930" s="166"/>
      <c r="P930" s="166"/>
      <c r="Q930" s="166"/>
      <c r="R930" s="166"/>
      <c r="S930" s="167"/>
      <c r="T930" s="167"/>
      <c r="U930" s="167"/>
      <c r="V930" s="167"/>
      <c r="W930" s="167"/>
      <c r="X930" s="164"/>
      <c r="Y930" s="164"/>
      <c r="Z930" s="172"/>
      <c r="AA930" s="188"/>
      <c r="AB930" s="172"/>
      <c r="AC930" s="172"/>
      <c r="AD930" s="175"/>
      <c r="AE930" s="62" t="s">
        <v>153</v>
      </c>
      <c r="AF930" s="133"/>
      <c r="AG930" s="65"/>
      <c r="AH930" s="64"/>
      <c r="AI930" s="64"/>
      <c r="AJ930" s="64"/>
      <c r="AK930" s="64"/>
      <c r="AL930" s="64"/>
      <c r="AM930" s="80" t="str">
        <f>IFERROR((Tablas!$C$1*VLOOKUP(AH930, tipo_control, 2, 0)+Tablas!$E$1*VLOOKUP(AI930, nat_control, 2, 0)+Tablas!$G$1*VLOOKUP(AJ930, ev_control, 2, 0)+Tablas!$I$1*VLOOKUP(AK930, frec_control, 2, 0)+Tablas!$K$1*VLOOKUP(AL930, doc_control, 2, 0))*0.1*peso_dis, "")</f>
        <v/>
      </c>
      <c r="AN930" s="64"/>
      <c r="AO930" s="64"/>
      <c r="AP930" s="64"/>
      <c r="AQ930" s="80" t="str">
        <f>IFERROR((Tablas!$C$9*VLOOKUP(AN930, amb_control, 2, 0)+Tablas!$E$9*VLOOKUP(AO930, ejec_control, 2, 0)+Tablas!$G$9*VLOOKUP(AP930, cub_control, 2, 0))*0.1*peso_ejec, "")</f>
        <v/>
      </c>
      <c r="AR930" s="91" t="str">
        <f t="shared" si="1583"/>
        <v/>
      </c>
      <c r="AS930" s="85" t="str">
        <f t="shared" si="1591"/>
        <v/>
      </c>
      <c r="AT930" s="85" t="str">
        <f t="shared" si="1592"/>
        <v/>
      </c>
      <c r="AU930" s="85" t="str">
        <f>IF(AR930&lt;Tablas!$G$19, 0, IF(AND(AR930&gt;=Tablas!$G$19, AR930&lt;Tablas!$G$20), 1,  IF(AND(AR930&gt;=Tablas!$G$20, AR930&lt;Tablas!$G$21), 2,  IF(AND(AR930&gt;=Tablas!$G$21, AR930&lt;=Tablas!$G$22), 3,  ""))))</f>
        <v/>
      </c>
      <c r="AV930" s="85" t="str">
        <f t="shared" si="1584"/>
        <v/>
      </c>
      <c r="AW930" s="101" t="str">
        <f t="shared" si="1585"/>
        <v/>
      </c>
      <c r="AX930" s="177"/>
      <c r="AY930" s="169"/>
      <c r="AZ930" s="158"/>
      <c r="BA930" s="169"/>
      <c r="BB930" s="182"/>
      <c r="BC930" s="182"/>
      <c r="BD930" s="185"/>
      <c r="BE930" s="185"/>
      <c r="BF930" s="158"/>
      <c r="BG930" s="191"/>
    </row>
    <row r="931" spans="1:59" ht="15.75" thickBot="1" x14ac:dyDescent="0.3">
      <c r="A931" s="167"/>
      <c r="B931" s="167"/>
      <c r="C931" s="161"/>
      <c r="D931" s="160"/>
      <c r="E931" s="162"/>
      <c r="F931" s="165"/>
      <c r="G931" s="161"/>
      <c r="H931" s="161"/>
      <c r="I931" s="161"/>
      <c r="J931" s="161"/>
      <c r="K931" s="161"/>
      <c r="L931" s="166"/>
      <c r="M931" s="166"/>
      <c r="N931" s="166"/>
      <c r="O931" s="166"/>
      <c r="P931" s="166"/>
      <c r="Q931" s="166"/>
      <c r="R931" s="166"/>
      <c r="S931" s="149"/>
      <c r="T931" s="149"/>
      <c r="U931" s="149"/>
      <c r="V931" s="149"/>
      <c r="W931" s="149"/>
      <c r="X931" s="165"/>
      <c r="Y931" s="165"/>
      <c r="Z931" s="172"/>
      <c r="AA931" s="188"/>
      <c r="AB931" s="172"/>
      <c r="AC931" s="172"/>
      <c r="AD931" s="175"/>
      <c r="AE931" s="66" t="s">
        <v>154</v>
      </c>
      <c r="AF931" s="134"/>
      <c r="AG931" s="67"/>
      <c r="AH931" s="69"/>
      <c r="AI931" s="69"/>
      <c r="AJ931" s="69"/>
      <c r="AK931" s="69"/>
      <c r="AL931" s="69"/>
      <c r="AM931" s="81" t="str">
        <f>IFERROR((Tablas!$C$1*VLOOKUP(AH931, tipo_control, 2, 0)+Tablas!$E$1*VLOOKUP(AI931, nat_control, 2, 0)+Tablas!$G$1*VLOOKUP(AJ931, ev_control, 2, 0)+Tablas!$I$1*VLOOKUP(AK931, frec_control, 2, 0)+Tablas!$K$1*VLOOKUP(AL931, doc_control, 2, 0))*0.1*peso_dis, "")</f>
        <v/>
      </c>
      <c r="AN931" s="69"/>
      <c r="AO931" s="69"/>
      <c r="AP931" s="69"/>
      <c r="AQ931" s="81" t="str">
        <f>IFERROR((Tablas!$C$9*VLOOKUP(AN931, amb_control, 2, 0)+Tablas!$E$9*VLOOKUP(AO931, ejec_control, 2, 0)+Tablas!$G$9*VLOOKUP(AP931, cub_control, 2, 0))*0.1*peso_ejec, "")</f>
        <v/>
      </c>
      <c r="AR931" s="93" t="str">
        <f t="shared" si="1583"/>
        <v/>
      </c>
      <c r="AS931" s="94" t="str">
        <f t="shared" si="1591"/>
        <v/>
      </c>
      <c r="AT931" s="94" t="str">
        <f t="shared" si="1592"/>
        <v/>
      </c>
      <c r="AU931" s="94" t="str">
        <f>IF(AR931&lt;Tablas!$G$19, 0, IF(AND(AR931&gt;=Tablas!$G$19, AR931&lt;Tablas!$G$20), 1,  IF(AND(AR931&gt;=Tablas!$G$20, AR931&lt;Tablas!$G$21), 2,  IF(AND(AR931&gt;=Tablas!$G$21, AR931&lt;=Tablas!$G$22), 3,  ""))))</f>
        <v/>
      </c>
      <c r="AV931" s="94" t="str">
        <f t="shared" si="1584"/>
        <v/>
      </c>
      <c r="AW931" s="102" t="str">
        <f t="shared" si="1585"/>
        <v/>
      </c>
      <c r="AX931" s="157"/>
      <c r="AY931" s="170"/>
      <c r="AZ931" s="179"/>
      <c r="BA931" s="170"/>
      <c r="BB931" s="182"/>
      <c r="BC931" s="182"/>
      <c r="BD931" s="185"/>
      <c r="BE931" s="185"/>
      <c r="BF931" s="159"/>
      <c r="BG931" s="191"/>
    </row>
    <row r="932" spans="1:59" x14ac:dyDescent="0.25">
      <c r="A932" s="167"/>
      <c r="B932" s="167"/>
      <c r="C932" s="161" t="s">
        <v>20</v>
      </c>
      <c r="D932" s="160" t="s">
        <v>158</v>
      </c>
      <c r="E932" s="162"/>
      <c r="F932" s="163" t="str">
        <f t="shared" si="1593"/>
        <v/>
      </c>
      <c r="G932" s="149"/>
      <c r="H932" s="149"/>
      <c r="I932" s="149"/>
      <c r="J932" s="149"/>
      <c r="K932" s="149"/>
      <c r="L932" s="165" t="str">
        <f t="shared" ref="L932" si="1619">IFERROR(VLOOKUP(G932, tabla02, 2, 0), "")</f>
        <v/>
      </c>
      <c r="M932" s="165" t="str">
        <f t="shared" ref="M932" si="1620">IFERROR(VLOOKUP(H932, tabla02, 2, 0), "")</f>
        <v/>
      </c>
      <c r="N932" s="165" t="str">
        <f t="shared" ref="N932" si="1621">IFERROR(VLOOKUP(I932, tabla02, 2, 0), "")</f>
        <v/>
      </c>
      <c r="O932" s="165" t="str">
        <f t="shared" ref="O932" si="1622">IFERROR(VLOOKUP(J932, tabla02, 2, 0), "")</f>
        <v/>
      </c>
      <c r="P932" s="165" t="str">
        <f t="shared" ref="P932" si="1623">IFERROR(VLOOKUP(K932, tabla02, 2, 0), "")</f>
        <v/>
      </c>
      <c r="Q932" s="165" t="str">
        <f t="shared" ref="Q932" si="1624">IF(SUM(L932:O936)=0, "", MAX(L932:P932))</f>
        <v/>
      </c>
      <c r="R932" s="165" t="str">
        <f>IFERROR(VLOOKUP(Q932, tabla04, 3, 0), "")</f>
        <v/>
      </c>
      <c r="S932" s="148"/>
      <c r="T932" s="148"/>
      <c r="U932" s="148"/>
      <c r="V932" s="148"/>
      <c r="W932" s="148"/>
      <c r="X932" s="163" t="str">
        <f>IFERROR(VLOOKUP(CONCATENATE(F932, "-", Q932), cuadrante_sev, 3, 0), "")</f>
        <v/>
      </c>
      <c r="Y932" s="163" t="str">
        <f t="shared" ref="Y932" si="1625">IFERROR(IF(X932="Baja", 1, IF(X932="Moderada", 2, IF(X932="Alta", 3, IF(X932="Extrema", 4, "")))), "")</f>
        <v/>
      </c>
      <c r="Z932" s="172"/>
      <c r="AA932" s="188"/>
      <c r="AB932" s="172"/>
      <c r="AC932" s="172"/>
      <c r="AD932" s="175"/>
      <c r="AE932" s="70" t="s">
        <v>113</v>
      </c>
      <c r="AF932" s="135"/>
      <c r="AG932" s="74"/>
      <c r="AH932" s="72"/>
      <c r="AI932" s="72"/>
      <c r="AJ932" s="72"/>
      <c r="AK932" s="72"/>
      <c r="AL932" s="72"/>
      <c r="AM932" s="82" t="str">
        <f>IFERROR((Tablas!$C$1*VLOOKUP(AH932, tipo_control, 2, 0)+Tablas!$E$1*VLOOKUP(AI932, nat_control, 2, 0)+Tablas!$G$1*VLOOKUP(AJ932, ev_control, 2, 0)+Tablas!$I$1*VLOOKUP(AK932, frec_control, 2, 0)+Tablas!$K$1*VLOOKUP(AL932, doc_control, 2, 0))*0.1*peso_dis, "")</f>
        <v/>
      </c>
      <c r="AN932" s="72"/>
      <c r="AO932" s="72"/>
      <c r="AP932" s="72"/>
      <c r="AQ932" s="82" t="str">
        <f>IFERROR((Tablas!$C$9*VLOOKUP(AN932, amb_control, 2, 0)+Tablas!$E$9*VLOOKUP(AO932, ejec_control, 2, 0)+Tablas!$G$9*VLOOKUP(AP932, cub_control, 2, 0))*0.1*peso_ejec, "")</f>
        <v/>
      </c>
      <c r="AR932" s="96" t="str">
        <f t="shared" si="1583"/>
        <v/>
      </c>
      <c r="AS932" s="97" t="str">
        <f t="shared" si="1591"/>
        <v/>
      </c>
      <c r="AT932" s="87" t="str">
        <f t="shared" si="1592"/>
        <v/>
      </c>
      <c r="AU932" s="97" t="str">
        <f>IF(AR932&lt;Tablas!$G$19, 0, IF(AND(AR932&gt;=Tablas!$G$19, AR932&lt;Tablas!$G$20), 1,  IF(AND(AR932&gt;=Tablas!$G$20, AR932&lt;Tablas!$G$21), 2,  IF(AND(AR932&gt;=Tablas!$G$21, AR932&lt;=Tablas!$G$22), 3,  ""))))</f>
        <v/>
      </c>
      <c r="AV932" s="97" t="str">
        <f t="shared" si="1584"/>
        <v/>
      </c>
      <c r="AW932" s="103" t="str">
        <f t="shared" si="1585"/>
        <v/>
      </c>
      <c r="AX932" s="176" t="str">
        <f t="shared" ref="AX932" si="1626">IFERROR(VLOOKUP(AY932, tabla04, 2, 0), "")</f>
        <v/>
      </c>
      <c r="AY932" s="168" t="str">
        <f>IF(F932="", "", IF((F932-MAX(AV932:AV936))&lt;=0, 1, F932-MAX(AV932:AV936)))</f>
        <v/>
      </c>
      <c r="AZ932" s="178" t="str">
        <f t="shared" ref="AZ932" si="1627">IFERROR(VLOOKUP(BA932, tabla04, 3, 0), "")</f>
        <v/>
      </c>
      <c r="BA932" s="168" t="str">
        <f>IF(Q932="", "", IF((Q932-MAX(AW932:AW936))&lt;=0, 1, Q932-MAX(AW932:AW936)))</f>
        <v/>
      </c>
      <c r="BB932" s="182"/>
      <c r="BC932" s="182"/>
      <c r="BD932" s="185"/>
      <c r="BE932" s="185"/>
      <c r="BF932" s="158" t="str">
        <f t="shared" ref="BF932:BF934" si="1628">IFERROR(VLOOKUP(CONCATENATE(AY932, "-", BA932), cuadrante_sev, 3, 0), "")</f>
        <v/>
      </c>
      <c r="BG932" s="191"/>
    </row>
    <row r="933" spans="1:59" x14ac:dyDescent="0.25">
      <c r="A933" s="167"/>
      <c r="B933" s="167"/>
      <c r="C933" s="161"/>
      <c r="D933" s="160"/>
      <c r="E933" s="162"/>
      <c r="F933" s="164"/>
      <c r="G933" s="161"/>
      <c r="H933" s="161"/>
      <c r="I933" s="161"/>
      <c r="J933" s="161"/>
      <c r="K933" s="161"/>
      <c r="L933" s="166"/>
      <c r="M933" s="166"/>
      <c r="N933" s="166"/>
      <c r="O933" s="166"/>
      <c r="P933" s="166"/>
      <c r="Q933" s="166"/>
      <c r="R933" s="166"/>
      <c r="S933" s="167"/>
      <c r="T933" s="167"/>
      <c r="U933" s="167"/>
      <c r="V933" s="167"/>
      <c r="W933" s="167"/>
      <c r="X933" s="164"/>
      <c r="Y933" s="164"/>
      <c r="Z933" s="172"/>
      <c r="AA933" s="188"/>
      <c r="AB933" s="172"/>
      <c r="AC933" s="172"/>
      <c r="AD933" s="175"/>
      <c r="AE933" s="62" t="s">
        <v>114</v>
      </c>
      <c r="AF933" s="133"/>
      <c r="AG933" s="65"/>
      <c r="AH933" s="64"/>
      <c r="AI933" s="64"/>
      <c r="AJ933" s="64"/>
      <c r="AK933" s="64"/>
      <c r="AL933" s="64"/>
      <c r="AM933" s="80" t="str">
        <f>IFERROR((Tablas!$C$1*VLOOKUP(AH933, tipo_control, 2, 0)+Tablas!$E$1*VLOOKUP(AI933, nat_control, 2, 0)+Tablas!$G$1*VLOOKUP(AJ933, ev_control, 2, 0)+Tablas!$I$1*VLOOKUP(AK933, frec_control, 2, 0)+Tablas!$K$1*VLOOKUP(AL933, doc_control, 2, 0))*0.1*peso_dis, "")</f>
        <v/>
      </c>
      <c r="AN933" s="64"/>
      <c r="AO933" s="64"/>
      <c r="AP933" s="64"/>
      <c r="AQ933" s="80" t="str">
        <f>IFERROR((Tablas!$C$9*VLOOKUP(AN933, amb_control, 2, 0)+Tablas!$E$9*VLOOKUP(AO933, ejec_control, 2, 0)+Tablas!$G$9*VLOOKUP(AP933, cub_control, 2, 0))*0.1*peso_ejec, "")</f>
        <v/>
      </c>
      <c r="AR933" s="91" t="str">
        <f t="shared" si="1583"/>
        <v/>
      </c>
      <c r="AS933" s="85" t="str">
        <f t="shared" si="1591"/>
        <v/>
      </c>
      <c r="AT933" s="85" t="str">
        <f t="shared" si="1592"/>
        <v/>
      </c>
      <c r="AU933" s="85" t="str">
        <f>IF(AR933&lt;Tablas!$G$19, 0, IF(AND(AR933&gt;=Tablas!$G$19, AR933&lt;Tablas!$G$20), 1,  IF(AND(AR933&gt;=Tablas!$G$20, AR933&lt;Tablas!$G$21), 2,  IF(AND(AR933&gt;=Tablas!$G$21, AR933&lt;=Tablas!$G$22), 3,  ""))))</f>
        <v/>
      </c>
      <c r="AV933" s="85" t="str">
        <f t="shared" si="1584"/>
        <v/>
      </c>
      <c r="AW933" s="101" t="str">
        <f t="shared" si="1585"/>
        <v/>
      </c>
      <c r="AX933" s="177"/>
      <c r="AY933" s="169"/>
      <c r="AZ933" s="158"/>
      <c r="BA933" s="169"/>
      <c r="BB933" s="182"/>
      <c r="BC933" s="182"/>
      <c r="BD933" s="185"/>
      <c r="BE933" s="185"/>
      <c r="BF933" s="158" t="str">
        <f t="shared" si="1628"/>
        <v/>
      </c>
      <c r="BG933" s="191"/>
    </row>
    <row r="934" spans="1:59" x14ac:dyDescent="0.25">
      <c r="A934" s="167"/>
      <c r="B934" s="167"/>
      <c r="C934" s="161"/>
      <c r="D934" s="160"/>
      <c r="E934" s="162"/>
      <c r="F934" s="164"/>
      <c r="G934" s="161"/>
      <c r="H934" s="161"/>
      <c r="I934" s="161"/>
      <c r="J934" s="161"/>
      <c r="K934" s="161"/>
      <c r="L934" s="166"/>
      <c r="M934" s="166"/>
      <c r="N934" s="166"/>
      <c r="O934" s="166"/>
      <c r="P934" s="166"/>
      <c r="Q934" s="166"/>
      <c r="R934" s="166"/>
      <c r="S934" s="167"/>
      <c r="T934" s="167"/>
      <c r="U934" s="167"/>
      <c r="V934" s="167"/>
      <c r="W934" s="167"/>
      <c r="X934" s="164"/>
      <c r="Y934" s="164"/>
      <c r="Z934" s="172"/>
      <c r="AA934" s="188"/>
      <c r="AB934" s="172"/>
      <c r="AC934" s="172"/>
      <c r="AD934" s="175"/>
      <c r="AE934" s="62" t="s">
        <v>115</v>
      </c>
      <c r="AF934" s="133"/>
      <c r="AG934" s="65"/>
      <c r="AH934" s="64"/>
      <c r="AI934" s="64"/>
      <c r="AJ934" s="64"/>
      <c r="AK934" s="64"/>
      <c r="AL934" s="64"/>
      <c r="AM934" s="80" t="str">
        <f>IFERROR((Tablas!$C$1*VLOOKUP(AH934, tipo_control, 2, 0)+Tablas!$E$1*VLOOKUP(AI934, nat_control, 2, 0)+Tablas!$G$1*VLOOKUP(AJ934, ev_control, 2, 0)+Tablas!$I$1*VLOOKUP(AK934, frec_control, 2, 0)+Tablas!$K$1*VLOOKUP(AL934, doc_control, 2, 0))*0.1*peso_dis, "")</f>
        <v/>
      </c>
      <c r="AN934" s="64"/>
      <c r="AO934" s="64"/>
      <c r="AP934" s="64"/>
      <c r="AQ934" s="80" t="str">
        <f>IFERROR((Tablas!$C$9*VLOOKUP(AN934, amb_control, 2, 0)+Tablas!$E$9*VLOOKUP(AO934, ejec_control, 2, 0)+Tablas!$G$9*VLOOKUP(AP934, cub_control, 2, 0))*0.1*peso_ejec, "")</f>
        <v/>
      </c>
      <c r="AR934" s="91" t="str">
        <f t="shared" si="1583"/>
        <v/>
      </c>
      <c r="AS934" s="85" t="str">
        <f t="shared" si="1591"/>
        <v/>
      </c>
      <c r="AT934" s="85" t="str">
        <f t="shared" si="1592"/>
        <v/>
      </c>
      <c r="AU934" s="85" t="str">
        <f>IF(AR934&lt;Tablas!$G$19, 0, IF(AND(AR934&gt;=Tablas!$G$19, AR934&lt;Tablas!$G$20), 1,  IF(AND(AR934&gt;=Tablas!$G$20, AR934&lt;Tablas!$G$21), 2,  IF(AND(AR934&gt;=Tablas!$G$21, AR934&lt;=Tablas!$G$22), 3,  ""))))</f>
        <v/>
      </c>
      <c r="AV934" s="85" t="str">
        <f t="shared" si="1584"/>
        <v/>
      </c>
      <c r="AW934" s="101" t="str">
        <f t="shared" si="1585"/>
        <v/>
      </c>
      <c r="AX934" s="177"/>
      <c r="AY934" s="169"/>
      <c r="AZ934" s="158"/>
      <c r="BA934" s="169"/>
      <c r="BB934" s="182"/>
      <c r="BC934" s="182"/>
      <c r="BD934" s="185"/>
      <c r="BE934" s="185"/>
      <c r="BF934" s="158" t="str">
        <f t="shared" si="1628"/>
        <v/>
      </c>
      <c r="BG934" s="191"/>
    </row>
    <row r="935" spans="1:59" x14ac:dyDescent="0.25">
      <c r="A935" s="167"/>
      <c r="B935" s="167"/>
      <c r="C935" s="161"/>
      <c r="D935" s="160"/>
      <c r="E935" s="162"/>
      <c r="F935" s="164"/>
      <c r="G935" s="161"/>
      <c r="H935" s="161"/>
      <c r="I935" s="161"/>
      <c r="J935" s="161"/>
      <c r="K935" s="161"/>
      <c r="L935" s="166"/>
      <c r="M935" s="166"/>
      <c r="N935" s="166"/>
      <c r="O935" s="166"/>
      <c r="P935" s="166"/>
      <c r="Q935" s="166"/>
      <c r="R935" s="166"/>
      <c r="S935" s="167"/>
      <c r="T935" s="167"/>
      <c r="U935" s="167"/>
      <c r="V935" s="167"/>
      <c r="W935" s="167"/>
      <c r="X935" s="164"/>
      <c r="Y935" s="164"/>
      <c r="Z935" s="172"/>
      <c r="AA935" s="188"/>
      <c r="AB935" s="172"/>
      <c r="AC935" s="172"/>
      <c r="AD935" s="175"/>
      <c r="AE935" s="62" t="s">
        <v>153</v>
      </c>
      <c r="AF935" s="133"/>
      <c r="AG935" s="65"/>
      <c r="AH935" s="64"/>
      <c r="AI935" s="64"/>
      <c r="AJ935" s="64"/>
      <c r="AK935" s="64"/>
      <c r="AL935" s="64"/>
      <c r="AM935" s="80" t="str">
        <f>IFERROR((Tablas!$C$1*VLOOKUP(AH935, tipo_control, 2, 0)+Tablas!$E$1*VLOOKUP(AI935, nat_control, 2, 0)+Tablas!$G$1*VLOOKUP(AJ935, ev_control, 2, 0)+Tablas!$I$1*VLOOKUP(AK935, frec_control, 2, 0)+Tablas!$K$1*VLOOKUP(AL935, doc_control, 2, 0))*0.1*peso_dis, "")</f>
        <v/>
      </c>
      <c r="AN935" s="64"/>
      <c r="AO935" s="64"/>
      <c r="AP935" s="64"/>
      <c r="AQ935" s="80" t="str">
        <f>IFERROR((Tablas!$C$9*VLOOKUP(AN935, amb_control, 2, 0)+Tablas!$E$9*VLOOKUP(AO935, ejec_control, 2, 0)+Tablas!$G$9*VLOOKUP(AP935, cub_control, 2, 0))*0.1*peso_ejec, "")</f>
        <v/>
      </c>
      <c r="AR935" s="91" t="str">
        <f t="shared" si="1583"/>
        <v/>
      </c>
      <c r="AS935" s="85" t="str">
        <f t="shared" si="1591"/>
        <v/>
      </c>
      <c r="AT935" s="85" t="str">
        <f t="shared" si="1592"/>
        <v/>
      </c>
      <c r="AU935" s="85" t="str">
        <f>IF(AR935&lt;Tablas!$G$19, 0, IF(AND(AR935&gt;=Tablas!$G$19, AR935&lt;Tablas!$G$20), 1,  IF(AND(AR935&gt;=Tablas!$G$20, AR935&lt;Tablas!$G$21), 2,  IF(AND(AR935&gt;=Tablas!$G$21, AR935&lt;=Tablas!$G$22), 3,  ""))))</f>
        <v/>
      </c>
      <c r="AV935" s="85" t="str">
        <f t="shared" si="1584"/>
        <v/>
      </c>
      <c r="AW935" s="101" t="str">
        <f t="shared" si="1585"/>
        <v/>
      </c>
      <c r="AX935" s="177"/>
      <c r="AY935" s="169"/>
      <c r="AZ935" s="158"/>
      <c r="BA935" s="169"/>
      <c r="BB935" s="182"/>
      <c r="BC935" s="182"/>
      <c r="BD935" s="185"/>
      <c r="BE935" s="185"/>
      <c r="BF935" s="158"/>
      <c r="BG935" s="191"/>
    </row>
    <row r="936" spans="1:59" ht="15.75" thickBot="1" x14ac:dyDescent="0.3">
      <c r="A936" s="167"/>
      <c r="B936" s="167"/>
      <c r="C936" s="161"/>
      <c r="D936" s="160"/>
      <c r="E936" s="162"/>
      <c r="F936" s="165"/>
      <c r="G936" s="161"/>
      <c r="H936" s="161"/>
      <c r="I936" s="161"/>
      <c r="J936" s="161"/>
      <c r="K936" s="161"/>
      <c r="L936" s="166"/>
      <c r="M936" s="166"/>
      <c r="N936" s="166"/>
      <c r="O936" s="166"/>
      <c r="P936" s="166"/>
      <c r="Q936" s="166"/>
      <c r="R936" s="166"/>
      <c r="S936" s="149"/>
      <c r="T936" s="149"/>
      <c r="U936" s="149"/>
      <c r="V936" s="149"/>
      <c r="W936" s="149"/>
      <c r="X936" s="165"/>
      <c r="Y936" s="165"/>
      <c r="Z936" s="172"/>
      <c r="AA936" s="188"/>
      <c r="AB936" s="172"/>
      <c r="AC936" s="172"/>
      <c r="AD936" s="175"/>
      <c r="AE936" s="66" t="s">
        <v>154</v>
      </c>
      <c r="AF936" s="134"/>
      <c r="AG936" s="67"/>
      <c r="AH936" s="69"/>
      <c r="AI936" s="69"/>
      <c r="AJ936" s="69"/>
      <c r="AK936" s="69"/>
      <c r="AL936" s="69"/>
      <c r="AM936" s="81" t="str">
        <f>IFERROR((Tablas!$C$1*VLOOKUP(AH936, tipo_control, 2, 0)+Tablas!$E$1*VLOOKUP(AI936, nat_control, 2, 0)+Tablas!$G$1*VLOOKUP(AJ936, ev_control, 2, 0)+Tablas!$I$1*VLOOKUP(AK936, frec_control, 2, 0)+Tablas!$K$1*VLOOKUP(AL936, doc_control, 2, 0))*0.1*peso_dis, "")</f>
        <v/>
      </c>
      <c r="AN936" s="69"/>
      <c r="AO936" s="69"/>
      <c r="AP936" s="69"/>
      <c r="AQ936" s="81" t="str">
        <f>IFERROR((Tablas!$C$9*VLOOKUP(AN936, amb_control, 2, 0)+Tablas!$E$9*VLOOKUP(AO936, ejec_control, 2, 0)+Tablas!$G$9*VLOOKUP(AP936, cub_control, 2, 0))*0.1*peso_ejec, "")</f>
        <v/>
      </c>
      <c r="AR936" s="93" t="str">
        <f t="shared" si="1583"/>
        <v/>
      </c>
      <c r="AS936" s="94" t="str">
        <f t="shared" si="1591"/>
        <v/>
      </c>
      <c r="AT936" s="94" t="str">
        <f t="shared" si="1592"/>
        <v/>
      </c>
      <c r="AU936" s="94" t="str">
        <f>IF(AR936&lt;Tablas!$G$19, 0, IF(AND(AR936&gt;=Tablas!$G$19, AR936&lt;Tablas!$G$20), 1,  IF(AND(AR936&gt;=Tablas!$G$20, AR936&lt;Tablas!$G$21), 2,  IF(AND(AR936&gt;=Tablas!$G$21, AR936&lt;=Tablas!$G$22), 3,  ""))))</f>
        <v/>
      </c>
      <c r="AV936" s="94" t="str">
        <f t="shared" si="1584"/>
        <v/>
      </c>
      <c r="AW936" s="102" t="str">
        <f t="shared" si="1585"/>
        <v/>
      </c>
      <c r="AX936" s="157"/>
      <c r="AY936" s="170"/>
      <c r="AZ936" s="179"/>
      <c r="BA936" s="170"/>
      <c r="BB936" s="182"/>
      <c r="BC936" s="182"/>
      <c r="BD936" s="185"/>
      <c r="BE936" s="185"/>
      <c r="BF936" s="159"/>
      <c r="BG936" s="191"/>
    </row>
    <row r="937" spans="1:59" x14ac:dyDescent="0.25">
      <c r="A937" s="167"/>
      <c r="B937" s="167"/>
      <c r="C937" s="161" t="s">
        <v>180</v>
      </c>
      <c r="D937" s="160" t="s">
        <v>158</v>
      </c>
      <c r="E937" s="162"/>
      <c r="F937" s="163" t="str">
        <f t="shared" si="1593"/>
        <v/>
      </c>
      <c r="G937" s="149"/>
      <c r="H937" s="149"/>
      <c r="I937" s="149"/>
      <c r="J937" s="149"/>
      <c r="K937" s="149"/>
      <c r="L937" s="165" t="str">
        <f t="shared" ref="L937" si="1629">IFERROR(VLOOKUP(G937, tabla02, 2, 0), "")</f>
        <v/>
      </c>
      <c r="M937" s="165" t="str">
        <f t="shared" ref="M937" si="1630">IFERROR(VLOOKUP(H937, tabla02, 2, 0), "")</f>
        <v/>
      </c>
      <c r="N937" s="165" t="str">
        <f t="shared" ref="N937" si="1631">IFERROR(VLOOKUP(I937, tabla02, 2, 0), "")</f>
        <v/>
      </c>
      <c r="O937" s="165" t="str">
        <f t="shared" ref="O937" si="1632">IFERROR(VLOOKUP(J937, tabla02, 2, 0), "")</f>
        <v/>
      </c>
      <c r="P937" s="165" t="str">
        <f t="shared" ref="P937" si="1633">IFERROR(VLOOKUP(K937, tabla02, 2, 0), "")</f>
        <v/>
      </c>
      <c r="Q937" s="165" t="str">
        <f t="shared" ref="Q937" si="1634">IF(SUM(L937:O941)=0, "", MAX(L937:P937))</f>
        <v/>
      </c>
      <c r="R937" s="165" t="str">
        <f>IFERROR(VLOOKUP(Q937, tabla04, 3, 0), "")</f>
        <v/>
      </c>
      <c r="S937" s="148"/>
      <c r="T937" s="148"/>
      <c r="U937" s="148"/>
      <c r="V937" s="148"/>
      <c r="W937" s="148"/>
      <c r="X937" s="163" t="str">
        <f>IFERROR(VLOOKUP(CONCATENATE(F937, "-", Q937), cuadrante_sev, 3, 0), "")</f>
        <v/>
      </c>
      <c r="Y937" s="163" t="str">
        <f t="shared" ref="Y937" si="1635">IFERROR(IF(X937="Baja", 1, IF(X937="Moderada", 2, IF(X937="Alta", 3, IF(X937="Extrema", 4, "")))), "")</f>
        <v/>
      </c>
      <c r="Z937" s="172"/>
      <c r="AA937" s="188"/>
      <c r="AB937" s="172"/>
      <c r="AC937" s="172"/>
      <c r="AD937" s="175"/>
      <c r="AE937" s="70" t="s">
        <v>113</v>
      </c>
      <c r="AF937" s="135"/>
      <c r="AG937" s="74"/>
      <c r="AH937" s="72"/>
      <c r="AI937" s="72"/>
      <c r="AJ937" s="72"/>
      <c r="AK937" s="72"/>
      <c r="AL937" s="72"/>
      <c r="AM937" s="82" t="str">
        <f>IFERROR((Tablas!$C$1*VLOOKUP(AH937, tipo_control, 2, 0)+Tablas!$E$1*VLOOKUP(AI937, nat_control, 2, 0)+Tablas!$G$1*VLOOKUP(AJ937, ev_control, 2, 0)+Tablas!$I$1*VLOOKUP(AK937, frec_control, 2, 0)+Tablas!$K$1*VLOOKUP(AL937, doc_control, 2, 0))*0.1*peso_dis, "")</f>
        <v/>
      </c>
      <c r="AN937" s="72"/>
      <c r="AO937" s="72"/>
      <c r="AP937" s="72"/>
      <c r="AQ937" s="82" t="str">
        <f>IFERROR((Tablas!$C$9*VLOOKUP(AN937, amb_control, 2, 0)+Tablas!$E$9*VLOOKUP(AO937, ejec_control, 2, 0)+Tablas!$G$9*VLOOKUP(AP937, cub_control, 2, 0))*0.1*peso_ejec, "")</f>
        <v/>
      </c>
      <c r="AR937" s="96" t="str">
        <f t="shared" si="1583"/>
        <v/>
      </c>
      <c r="AS937" s="97" t="str">
        <f t="shared" si="1591"/>
        <v/>
      </c>
      <c r="AT937" s="87" t="str">
        <f t="shared" si="1592"/>
        <v/>
      </c>
      <c r="AU937" s="97" t="str">
        <f>IF(AR937&lt;Tablas!$G$19, 0, IF(AND(AR937&gt;=Tablas!$G$19, AR937&lt;Tablas!$G$20), 1,  IF(AND(AR937&gt;=Tablas!$G$20, AR937&lt;Tablas!$G$21), 2,  IF(AND(AR937&gt;=Tablas!$G$21, AR937&lt;=Tablas!$G$22), 3,  ""))))</f>
        <v/>
      </c>
      <c r="AV937" s="97" t="str">
        <f t="shared" si="1584"/>
        <v/>
      </c>
      <c r="AW937" s="103" t="str">
        <f t="shared" si="1585"/>
        <v/>
      </c>
      <c r="AX937" s="176" t="str">
        <f t="shared" ref="AX937" si="1636">IFERROR(VLOOKUP(AY937, tabla04, 2, 0), "")</f>
        <v/>
      </c>
      <c r="AY937" s="168" t="str">
        <f>IF(F937="", "", IF((F937-MAX(AV937:AV941))&lt;=0, 1, F937-MAX(AV937:AV941)))</f>
        <v/>
      </c>
      <c r="AZ937" s="178" t="str">
        <f t="shared" ref="AZ937" si="1637">IFERROR(VLOOKUP(BA937, tabla04, 3, 0), "")</f>
        <v/>
      </c>
      <c r="BA937" s="168" t="str">
        <f>IF(Q937="", "", IF((Q937-MAX(AW937:AW941))&lt;=0, 1, Q937-MAX(AW937:AW941)))</f>
        <v/>
      </c>
      <c r="BB937" s="182"/>
      <c r="BC937" s="182"/>
      <c r="BD937" s="185"/>
      <c r="BE937" s="185"/>
      <c r="BF937" s="158" t="str">
        <f t="shared" ref="BF937:BF939" si="1638">IFERROR(VLOOKUP(CONCATENATE(AY937, "-", BA937), cuadrante_sev, 3, 0), "")</f>
        <v/>
      </c>
      <c r="BG937" s="191"/>
    </row>
    <row r="938" spans="1:59" x14ac:dyDescent="0.25">
      <c r="A938" s="167"/>
      <c r="B938" s="167"/>
      <c r="C938" s="161"/>
      <c r="D938" s="160"/>
      <c r="E938" s="162"/>
      <c r="F938" s="164"/>
      <c r="G938" s="161"/>
      <c r="H938" s="161"/>
      <c r="I938" s="161"/>
      <c r="J938" s="161"/>
      <c r="K938" s="161"/>
      <c r="L938" s="166"/>
      <c r="M938" s="166"/>
      <c r="N938" s="166"/>
      <c r="O938" s="166"/>
      <c r="P938" s="166"/>
      <c r="Q938" s="166"/>
      <c r="R938" s="166"/>
      <c r="S938" s="167"/>
      <c r="T938" s="167"/>
      <c r="U938" s="167"/>
      <c r="V938" s="167"/>
      <c r="W938" s="167"/>
      <c r="X938" s="164"/>
      <c r="Y938" s="164"/>
      <c r="Z938" s="172"/>
      <c r="AA938" s="188"/>
      <c r="AB938" s="172"/>
      <c r="AC938" s="172"/>
      <c r="AD938" s="175"/>
      <c r="AE938" s="62" t="s">
        <v>114</v>
      </c>
      <c r="AF938" s="133"/>
      <c r="AG938" s="65"/>
      <c r="AH938" s="64"/>
      <c r="AI938" s="64"/>
      <c r="AJ938" s="64"/>
      <c r="AK938" s="64"/>
      <c r="AL938" s="64"/>
      <c r="AM938" s="80" t="str">
        <f>IFERROR((Tablas!$C$1*VLOOKUP(AH938, tipo_control, 2, 0)+Tablas!$E$1*VLOOKUP(AI938, nat_control, 2, 0)+Tablas!$G$1*VLOOKUP(AJ938, ev_control, 2, 0)+Tablas!$I$1*VLOOKUP(AK938, frec_control, 2, 0)+Tablas!$K$1*VLOOKUP(AL938, doc_control, 2, 0))*0.1*peso_dis, "")</f>
        <v/>
      </c>
      <c r="AN938" s="64"/>
      <c r="AO938" s="64"/>
      <c r="AP938" s="64"/>
      <c r="AQ938" s="80" t="str">
        <f>IFERROR((Tablas!$C$9*VLOOKUP(AN938, amb_control, 2, 0)+Tablas!$E$9*VLOOKUP(AO938, ejec_control, 2, 0)+Tablas!$G$9*VLOOKUP(AP938, cub_control, 2, 0))*0.1*peso_ejec, "")</f>
        <v/>
      </c>
      <c r="AR938" s="91" t="str">
        <f t="shared" si="1583"/>
        <v/>
      </c>
      <c r="AS938" s="85" t="str">
        <f t="shared" si="1591"/>
        <v/>
      </c>
      <c r="AT938" s="85" t="str">
        <f t="shared" si="1592"/>
        <v/>
      </c>
      <c r="AU938" s="85" t="str">
        <f>IF(AR938&lt;Tablas!$G$19, 0, IF(AND(AR938&gt;=Tablas!$G$19, AR938&lt;Tablas!$G$20), 1,  IF(AND(AR938&gt;=Tablas!$G$20, AR938&lt;Tablas!$G$21), 2,  IF(AND(AR938&gt;=Tablas!$G$21, AR938&lt;=Tablas!$G$22), 3,  ""))))</f>
        <v/>
      </c>
      <c r="AV938" s="85" t="str">
        <f t="shared" si="1584"/>
        <v/>
      </c>
      <c r="AW938" s="101" t="str">
        <f t="shared" si="1585"/>
        <v/>
      </c>
      <c r="AX938" s="177"/>
      <c r="AY938" s="169"/>
      <c r="AZ938" s="158"/>
      <c r="BA938" s="169"/>
      <c r="BB938" s="182"/>
      <c r="BC938" s="182"/>
      <c r="BD938" s="185"/>
      <c r="BE938" s="185"/>
      <c r="BF938" s="158" t="str">
        <f t="shared" si="1638"/>
        <v/>
      </c>
      <c r="BG938" s="191"/>
    </row>
    <row r="939" spans="1:59" x14ac:dyDescent="0.25">
      <c r="A939" s="167"/>
      <c r="B939" s="167"/>
      <c r="C939" s="161"/>
      <c r="D939" s="160"/>
      <c r="E939" s="162"/>
      <c r="F939" s="164"/>
      <c r="G939" s="161"/>
      <c r="H939" s="161"/>
      <c r="I939" s="161"/>
      <c r="J939" s="161"/>
      <c r="K939" s="161"/>
      <c r="L939" s="166"/>
      <c r="M939" s="166"/>
      <c r="N939" s="166"/>
      <c r="O939" s="166"/>
      <c r="P939" s="166"/>
      <c r="Q939" s="166"/>
      <c r="R939" s="166"/>
      <c r="S939" s="167"/>
      <c r="T939" s="167"/>
      <c r="U939" s="167"/>
      <c r="V939" s="167"/>
      <c r="W939" s="167"/>
      <c r="X939" s="164"/>
      <c r="Y939" s="164"/>
      <c r="Z939" s="172"/>
      <c r="AA939" s="188"/>
      <c r="AB939" s="172"/>
      <c r="AC939" s="172"/>
      <c r="AD939" s="175"/>
      <c r="AE939" s="62" t="s">
        <v>115</v>
      </c>
      <c r="AF939" s="133"/>
      <c r="AG939" s="65"/>
      <c r="AH939" s="64"/>
      <c r="AI939" s="64"/>
      <c r="AJ939" s="64"/>
      <c r="AK939" s="64"/>
      <c r="AL939" s="64"/>
      <c r="AM939" s="80" t="str">
        <f>IFERROR((Tablas!$C$1*VLOOKUP(AH939, tipo_control, 2, 0)+Tablas!$E$1*VLOOKUP(AI939, nat_control, 2, 0)+Tablas!$G$1*VLOOKUP(AJ939, ev_control, 2, 0)+Tablas!$I$1*VLOOKUP(AK939, frec_control, 2, 0)+Tablas!$K$1*VLOOKUP(AL939, doc_control, 2, 0))*0.1*peso_dis, "")</f>
        <v/>
      </c>
      <c r="AN939" s="64"/>
      <c r="AO939" s="64"/>
      <c r="AP939" s="64"/>
      <c r="AQ939" s="80" t="str">
        <f>IFERROR((Tablas!$C$9*VLOOKUP(AN939, amb_control, 2, 0)+Tablas!$E$9*VLOOKUP(AO939, ejec_control, 2, 0)+Tablas!$G$9*VLOOKUP(AP939, cub_control, 2, 0))*0.1*peso_ejec, "")</f>
        <v/>
      </c>
      <c r="AR939" s="91" t="str">
        <f t="shared" si="1583"/>
        <v/>
      </c>
      <c r="AS939" s="85" t="str">
        <f t="shared" si="1591"/>
        <v/>
      </c>
      <c r="AT939" s="85" t="str">
        <f t="shared" si="1592"/>
        <v/>
      </c>
      <c r="AU939" s="85" t="str">
        <f>IF(AR939&lt;Tablas!$G$19, 0, IF(AND(AR939&gt;=Tablas!$G$19, AR939&lt;Tablas!$G$20), 1,  IF(AND(AR939&gt;=Tablas!$G$20, AR939&lt;Tablas!$G$21), 2,  IF(AND(AR939&gt;=Tablas!$G$21, AR939&lt;=Tablas!$G$22), 3,  ""))))</f>
        <v/>
      </c>
      <c r="AV939" s="85" t="str">
        <f t="shared" si="1584"/>
        <v/>
      </c>
      <c r="AW939" s="101" t="str">
        <f t="shared" si="1585"/>
        <v/>
      </c>
      <c r="AX939" s="177"/>
      <c r="AY939" s="169"/>
      <c r="AZ939" s="158"/>
      <c r="BA939" s="169"/>
      <c r="BB939" s="182"/>
      <c r="BC939" s="182"/>
      <c r="BD939" s="185"/>
      <c r="BE939" s="185"/>
      <c r="BF939" s="158" t="str">
        <f t="shared" si="1638"/>
        <v/>
      </c>
      <c r="BG939" s="191"/>
    </row>
    <row r="940" spans="1:59" x14ac:dyDescent="0.25">
      <c r="A940" s="167"/>
      <c r="B940" s="167"/>
      <c r="C940" s="161"/>
      <c r="D940" s="160"/>
      <c r="E940" s="162"/>
      <c r="F940" s="164"/>
      <c r="G940" s="161"/>
      <c r="H940" s="161"/>
      <c r="I940" s="161"/>
      <c r="J940" s="161"/>
      <c r="K940" s="161"/>
      <c r="L940" s="166"/>
      <c r="M940" s="166"/>
      <c r="N940" s="166"/>
      <c r="O940" s="166"/>
      <c r="P940" s="166"/>
      <c r="Q940" s="166"/>
      <c r="R940" s="166"/>
      <c r="S940" s="167"/>
      <c r="T940" s="167"/>
      <c r="U940" s="167"/>
      <c r="V940" s="167"/>
      <c r="W940" s="167"/>
      <c r="X940" s="164"/>
      <c r="Y940" s="164"/>
      <c r="Z940" s="172"/>
      <c r="AA940" s="188"/>
      <c r="AB940" s="172"/>
      <c r="AC940" s="172"/>
      <c r="AD940" s="175"/>
      <c r="AE940" s="62" t="s">
        <v>153</v>
      </c>
      <c r="AF940" s="133"/>
      <c r="AG940" s="65"/>
      <c r="AH940" s="64"/>
      <c r="AI940" s="64"/>
      <c r="AJ940" s="64"/>
      <c r="AK940" s="64"/>
      <c r="AL940" s="64"/>
      <c r="AM940" s="80" t="str">
        <f>IFERROR((Tablas!$C$1*VLOOKUP(AH940, tipo_control, 2, 0)+Tablas!$E$1*VLOOKUP(AI940, nat_control, 2, 0)+Tablas!$G$1*VLOOKUP(AJ940, ev_control, 2, 0)+Tablas!$I$1*VLOOKUP(AK940, frec_control, 2, 0)+Tablas!$K$1*VLOOKUP(AL940, doc_control, 2, 0))*0.1*peso_dis, "")</f>
        <v/>
      </c>
      <c r="AN940" s="64"/>
      <c r="AO940" s="64"/>
      <c r="AP940" s="64"/>
      <c r="AQ940" s="80" t="str">
        <f>IFERROR((Tablas!$C$9*VLOOKUP(AN940, amb_control, 2, 0)+Tablas!$E$9*VLOOKUP(AO940, ejec_control, 2, 0)+Tablas!$G$9*VLOOKUP(AP940, cub_control, 2, 0))*0.1*peso_ejec, "")</f>
        <v/>
      </c>
      <c r="AR940" s="91" t="str">
        <f t="shared" si="1583"/>
        <v/>
      </c>
      <c r="AS940" s="85" t="str">
        <f t="shared" si="1591"/>
        <v/>
      </c>
      <c r="AT940" s="85" t="str">
        <f t="shared" si="1592"/>
        <v/>
      </c>
      <c r="AU940" s="85" t="str">
        <f>IF(AR940&lt;Tablas!$G$19, 0, IF(AND(AR940&gt;=Tablas!$G$19, AR940&lt;Tablas!$G$20), 1,  IF(AND(AR940&gt;=Tablas!$G$20, AR940&lt;Tablas!$G$21), 2,  IF(AND(AR940&gt;=Tablas!$G$21, AR940&lt;=Tablas!$G$22), 3,  ""))))</f>
        <v/>
      </c>
      <c r="AV940" s="85" t="str">
        <f t="shared" si="1584"/>
        <v/>
      </c>
      <c r="AW940" s="101" t="str">
        <f t="shared" si="1585"/>
        <v/>
      </c>
      <c r="AX940" s="177"/>
      <c r="AY940" s="169"/>
      <c r="AZ940" s="158"/>
      <c r="BA940" s="169"/>
      <c r="BB940" s="182"/>
      <c r="BC940" s="182"/>
      <c r="BD940" s="185"/>
      <c r="BE940" s="185"/>
      <c r="BF940" s="158"/>
      <c r="BG940" s="191"/>
    </row>
    <row r="941" spans="1:59" ht="15.75" thickBot="1" x14ac:dyDescent="0.3">
      <c r="A941" s="167"/>
      <c r="B941" s="167"/>
      <c r="C941" s="161"/>
      <c r="D941" s="160"/>
      <c r="E941" s="162"/>
      <c r="F941" s="165"/>
      <c r="G941" s="161"/>
      <c r="H941" s="161"/>
      <c r="I941" s="161"/>
      <c r="J941" s="161"/>
      <c r="K941" s="161"/>
      <c r="L941" s="166"/>
      <c r="M941" s="166"/>
      <c r="N941" s="166"/>
      <c r="O941" s="166"/>
      <c r="P941" s="166"/>
      <c r="Q941" s="166"/>
      <c r="R941" s="166"/>
      <c r="S941" s="149"/>
      <c r="T941" s="149"/>
      <c r="U941" s="149"/>
      <c r="V941" s="149"/>
      <c r="W941" s="149"/>
      <c r="X941" s="165"/>
      <c r="Y941" s="165"/>
      <c r="Z941" s="172"/>
      <c r="AA941" s="188"/>
      <c r="AB941" s="172"/>
      <c r="AC941" s="172"/>
      <c r="AD941" s="175"/>
      <c r="AE941" s="66" t="s">
        <v>154</v>
      </c>
      <c r="AF941" s="134"/>
      <c r="AG941" s="67"/>
      <c r="AH941" s="69"/>
      <c r="AI941" s="69"/>
      <c r="AJ941" s="69"/>
      <c r="AK941" s="69"/>
      <c r="AL941" s="69"/>
      <c r="AM941" s="81" t="str">
        <f>IFERROR((Tablas!$C$1*VLOOKUP(AH941, tipo_control, 2, 0)+Tablas!$E$1*VLOOKUP(AI941, nat_control, 2, 0)+Tablas!$G$1*VLOOKUP(AJ941, ev_control, 2, 0)+Tablas!$I$1*VLOOKUP(AK941, frec_control, 2, 0)+Tablas!$K$1*VLOOKUP(AL941, doc_control, 2, 0))*0.1*peso_dis, "")</f>
        <v/>
      </c>
      <c r="AN941" s="69"/>
      <c r="AO941" s="69"/>
      <c r="AP941" s="69"/>
      <c r="AQ941" s="81" t="str">
        <f>IFERROR((Tablas!$C$9*VLOOKUP(AN941, amb_control, 2, 0)+Tablas!$E$9*VLOOKUP(AO941, ejec_control, 2, 0)+Tablas!$G$9*VLOOKUP(AP941, cub_control, 2, 0))*0.1*peso_ejec, "")</f>
        <v/>
      </c>
      <c r="AR941" s="93" t="str">
        <f t="shared" si="1583"/>
        <v/>
      </c>
      <c r="AS941" s="94" t="str">
        <f t="shared" si="1591"/>
        <v/>
      </c>
      <c r="AT941" s="94" t="str">
        <f t="shared" si="1592"/>
        <v/>
      </c>
      <c r="AU941" s="94" t="str">
        <f>IF(AR941&lt;Tablas!$G$19, 0, IF(AND(AR941&gt;=Tablas!$G$19, AR941&lt;Tablas!$G$20), 1,  IF(AND(AR941&gt;=Tablas!$G$20, AR941&lt;Tablas!$G$21), 2,  IF(AND(AR941&gt;=Tablas!$G$21, AR941&lt;=Tablas!$G$22), 3,  ""))))</f>
        <v/>
      </c>
      <c r="AV941" s="94" t="str">
        <f t="shared" si="1584"/>
        <v/>
      </c>
      <c r="AW941" s="102" t="str">
        <f t="shared" si="1585"/>
        <v/>
      </c>
      <c r="AX941" s="157"/>
      <c r="AY941" s="170"/>
      <c r="AZ941" s="179"/>
      <c r="BA941" s="170"/>
      <c r="BB941" s="182"/>
      <c r="BC941" s="182"/>
      <c r="BD941" s="185"/>
      <c r="BE941" s="185"/>
      <c r="BF941" s="159"/>
      <c r="BG941" s="191"/>
    </row>
    <row r="942" spans="1:59" x14ac:dyDescent="0.25">
      <c r="A942" s="167"/>
      <c r="B942" s="167"/>
      <c r="C942" s="161" t="s">
        <v>181</v>
      </c>
      <c r="D942" s="160" t="s">
        <v>158</v>
      </c>
      <c r="E942" s="162"/>
      <c r="F942" s="163" t="str">
        <f t="shared" si="1593"/>
        <v/>
      </c>
      <c r="G942" s="149"/>
      <c r="H942" s="149"/>
      <c r="I942" s="149"/>
      <c r="J942" s="149"/>
      <c r="K942" s="149"/>
      <c r="L942" s="165" t="str">
        <f t="shared" ref="L942" si="1639">IFERROR(VLOOKUP(G942, tabla02, 2, 0), "")</f>
        <v/>
      </c>
      <c r="M942" s="165" t="str">
        <f t="shared" ref="M942" si="1640">IFERROR(VLOOKUP(H942, tabla02, 2, 0), "")</f>
        <v/>
      </c>
      <c r="N942" s="165" t="str">
        <f t="shared" ref="N942" si="1641">IFERROR(VLOOKUP(I942, tabla02, 2, 0), "")</f>
        <v/>
      </c>
      <c r="O942" s="165" t="str">
        <f t="shared" ref="O942" si="1642">IFERROR(VLOOKUP(J942, tabla02, 2, 0), "")</f>
        <v/>
      </c>
      <c r="P942" s="165" t="str">
        <f t="shared" ref="P942" si="1643">IFERROR(VLOOKUP(K942, tabla02, 2, 0), "")</f>
        <v/>
      </c>
      <c r="Q942" s="165" t="str">
        <f t="shared" ref="Q942" si="1644">IF(SUM(L942:O946)=0, "", MAX(L942:P942))</f>
        <v/>
      </c>
      <c r="R942" s="165" t="str">
        <f>IFERROR(VLOOKUP(Q942, tabla04, 3, 0), "")</f>
        <v/>
      </c>
      <c r="S942" s="148"/>
      <c r="T942" s="148"/>
      <c r="U942" s="148"/>
      <c r="V942" s="148"/>
      <c r="W942" s="148"/>
      <c r="X942" s="163" t="str">
        <f>IFERROR(VLOOKUP(CONCATENATE(F942, "-", Q942), cuadrante_sev, 3, 0), "")</f>
        <v/>
      </c>
      <c r="Y942" s="163" t="str">
        <f t="shared" ref="Y942" si="1645">IFERROR(IF(X942="Baja", 1, IF(X942="Moderada", 2, IF(X942="Alta", 3, IF(X942="Extrema", 4, "")))), "")</f>
        <v/>
      </c>
      <c r="Z942" s="172"/>
      <c r="AA942" s="188"/>
      <c r="AB942" s="172"/>
      <c r="AC942" s="172"/>
      <c r="AD942" s="175"/>
      <c r="AE942" s="70" t="s">
        <v>113</v>
      </c>
      <c r="AF942" s="135"/>
      <c r="AG942" s="74"/>
      <c r="AH942" s="72"/>
      <c r="AI942" s="72"/>
      <c r="AJ942" s="72"/>
      <c r="AK942" s="72"/>
      <c r="AL942" s="72"/>
      <c r="AM942" s="82" t="str">
        <f>IFERROR((Tablas!$C$1*VLOOKUP(AH942, tipo_control, 2, 0)+Tablas!$E$1*VLOOKUP(AI942, nat_control, 2, 0)+Tablas!$G$1*VLOOKUP(AJ942, ev_control, 2, 0)+Tablas!$I$1*VLOOKUP(AK942, frec_control, 2, 0)+Tablas!$K$1*VLOOKUP(AL942, doc_control, 2, 0))*0.1*peso_dis, "")</f>
        <v/>
      </c>
      <c r="AN942" s="72"/>
      <c r="AO942" s="72"/>
      <c r="AP942" s="72"/>
      <c r="AQ942" s="82" t="str">
        <f>IFERROR((Tablas!$C$9*VLOOKUP(AN942, amb_control, 2, 0)+Tablas!$E$9*VLOOKUP(AO942, ejec_control, 2, 0)+Tablas!$G$9*VLOOKUP(AP942, cub_control, 2, 0))*0.1*peso_ejec, "")</f>
        <v/>
      </c>
      <c r="AR942" s="96" t="str">
        <f t="shared" si="1583"/>
        <v/>
      </c>
      <c r="AS942" s="97" t="str">
        <f t="shared" si="1591"/>
        <v/>
      </c>
      <c r="AT942" s="87" t="str">
        <f t="shared" si="1592"/>
        <v/>
      </c>
      <c r="AU942" s="97" t="str">
        <f>IF(AR942&lt;Tablas!$G$19, 0, IF(AND(AR942&gt;=Tablas!$G$19, AR942&lt;Tablas!$G$20), 1,  IF(AND(AR942&gt;=Tablas!$G$20, AR942&lt;Tablas!$G$21), 2,  IF(AND(AR942&gt;=Tablas!$G$21, AR942&lt;=Tablas!$G$22), 3,  ""))))</f>
        <v/>
      </c>
      <c r="AV942" s="97" t="str">
        <f t="shared" si="1584"/>
        <v/>
      </c>
      <c r="AW942" s="103" t="str">
        <f t="shared" si="1585"/>
        <v/>
      </c>
      <c r="AX942" s="176" t="str">
        <f t="shared" ref="AX942" si="1646">IFERROR(VLOOKUP(AY942, tabla04, 2, 0), "")</f>
        <v/>
      </c>
      <c r="AY942" s="168" t="str">
        <f>IF(F942="", "", IF((F942-MAX(AV942:AV946))&lt;=0, 1, F942-MAX(AV942:AV946)))</f>
        <v/>
      </c>
      <c r="AZ942" s="178" t="str">
        <f t="shared" ref="AZ942" si="1647">IFERROR(VLOOKUP(BA942, tabla04, 3, 0), "")</f>
        <v/>
      </c>
      <c r="BA942" s="168" t="str">
        <f>IF(Q942="", "", IF((Q942-MAX(AW942:AW946))&lt;=0, 1, Q942-MAX(AW942:AW946)))</f>
        <v/>
      </c>
      <c r="BB942" s="182"/>
      <c r="BC942" s="182"/>
      <c r="BD942" s="185"/>
      <c r="BE942" s="185"/>
      <c r="BF942" s="158" t="str">
        <f t="shared" ref="BF942:BF944" si="1648">IFERROR(VLOOKUP(CONCATENATE(AY942, "-", BA942), cuadrante_sev, 3, 0), "")</f>
        <v/>
      </c>
      <c r="BG942" s="191"/>
    </row>
    <row r="943" spans="1:59" x14ac:dyDescent="0.25">
      <c r="A943" s="167"/>
      <c r="B943" s="167"/>
      <c r="C943" s="161"/>
      <c r="D943" s="160"/>
      <c r="E943" s="162"/>
      <c r="F943" s="164"/>
      <c r="G943" s="161"/>
      <c r="H943" s="161"/>
      <c r="I943" s="161"/>
      <c r="J943" s="161"/>
      <c r="K943" s="161"/>
      <c r="L943" s="166"/>
      <c r="M943" s="166"/>
      <c r="N943" s="166"/>
      <c r="O943" s="166"/>
      <c r="P943" s="166"/>
      <c r="Q943" s="166"/>
      <c r="R943" s="166"/>
      <c r="S943" s="167"/>
      <c r="T943" s="167"/>
      <c r="U943" s="167"/>
      <c r="V943" s="167"/>
      <c r="W943" s="167"/>
      <c r="X943" s="164"/>
      <c r="Y943" s="164"/>
      <c r="Z943" s="172"/>
      <c r="AA943" s="188"/>
      <c r="AB943" s="172"/>
      <c r="AC943" s="172"/>
      <c r="AD943" s="175"/>
      <c r="AE943" s="62" t="s">
        <v>114</v>
      </c>
      <c r="AF943" s="133"/>
      <c r="AG943" s="65"/>
      <c r="AH943" s="64"/>
      <c r="AI943" s="64"/>
      <c r="AJ943" s="64"/>
      <c r="AK943" s="64"/>
      <c r="AL943" s="64"/>
      <c r="AM943" s="80" t="str">
        <f>IFERROR((Tablas!$C$1*VLOOKUP(AH943, tipo_control, 2, 0)+Tablas!$E$1*VLOOKUP(AI943, nat_control, 2, 0)+Tablas!$G$1*VLOOKUP(AJ943, ev_control, 2, 0)+Tablas!$I$1*VLOOKUP(AK943, frec_control, 2, 0)+Tablas!$K$1*VLOOKUP(AL943, doc_control, 2, 0))*0.1*peso_dis, "")</f>
        <v/>
      </c>
      <c r="AN943" s="64"/>
      <c r="AO943" s="64"/>
      <c r="AP943" s="64"/>
      <c r="AQ943" s="80" t="str">
        <f>IFERROR((Tablas!$C$9*VLOOKUP(AN943, amb_control, 2, 0)+Tablas!$E$9*VLOOKUP(AO943, ejec_control, 2, 0)+Tablas!$G$9*VLOOKUP(AP943, cub_control, 2, 0))*0.1*peso_ejec, "")</f>
        <v/>
      </c>
      <c r="AR943" s="91" t="str">
        <f t="shared" si="1583"/>
        <v/>
      </c>
      <c r="AS943" s="85" t="str">
        <f t="shared" si="1591"/>
        <v/>
      </c>
      <c r="AT943" s="85" t="str">
        <f t="shared" si="1592"/>
        <v/>
      </c>
      <c r="AU943" s="85" t="str">
        <f>IF(AR943&lt;Tablas!$G$19, 0, IF(AND(AR943&gt;=Tablas!$G$19, AR943&lt;Tablas!$G$20), 1,  IF(AND(AR943&gt;=Tablas!$G$20, AR943&lt;Tablas!$G$21), 2,  IF(AND(AR943&gt;=Tablas!$G$21, AR943&lt;=Tablas!$G$22), 3,  ""))))</f>
        <v/>
      </c>
      <c r="AV943" s="85" t="str">
        <f t="shared" si="1584"/>
        <v/>
      </c>
      <c r="AW943" s="101" t="str">
        <f t="shared" si="1585"/>
        <v/>
      </c>
      <c r="AX943" s="177"/>
      <c r="AY943" s="169"/>
      <c r="AZ943" s="158"/>
      <c r="BA943" s="169"/>
      <c r="BB943" s="182"/>
      <c r="BC943" s="182"/>
      <c r="BD943" s="185"/>
      <c r="BE943" s="185"/>
      <c r="BF943" s="158" t="str">
        <f t="shared" si="1648"/>
        <v/>
      </c>
      <c r="BG943" s="191"/>
    </row>
    <row r="944" spans="1:59" x14ac:dyDescent="0.25">
      <c r="A944" s="167"/>
      <c r="B944" s="167"/>
      <c r="C944" s="161"/>
      <c r="D944" s="160"/>
      <c r="E944" s="162"/>
      <c r="F944" s="164"/>
      <c r="G944" s="161"/>
      <c r="H944" s="161"/>
      <c r="I944" s="161"/>
      <c r="J944" s="161"/>
      <c r="K944" s="161"/>
      <c r="L944" s="166"/>
      <c r="M944" s="166"/>
      <c r="N944" s="166"/>
      <c r="O944" s="166"/>
      <c r="P944" s="166"/>
      <c r="Q944" s="166"/>
      <c r="R944" s="166"/>
      <c r="S944" s="167"/>
      <c r="T944" s="167"/>
      <c r="U944" s="167"/>
      <c r="V944" s="167"/>
      <c r="W944" s="167"/>
      <c r="X944" s="164"/>
      <c r="Y944" s="164"/>
      <c r="Z944" s="172"/>
      <c r="AA944" s="188"/>
      <c r="AB944" s="172"/>
      <c r="AC944" s="172"/>
      <c r="AD944" s="175"/>
      <c r="AE944" s="62" t="s">
        <v>115</v>
      </c>
      <c r="AF944" s="133"/>
      <c r="AG944" s="65"/>
      <c r="AH944" s="64"/>
      <c r="AI944" s="64"/>
      <c r="AJ944" s="64"/>
      <c r="AK944" s="64"/>
      <c r="AL944" s="64"/>
      <c r="AM944" s="80" t="str">
        <f>IFERROR((Tablas!$C$1*VLOOKUP(AH944, tipo_control, 2, 0)+Tablas!$E$1*VLOOKUP(AI944, nat_control, 2, 0)+Tablas!$G$1*VLOOKUP(AJ944, ev_control, 2, 0)+Tablas!$I$1*VLOOKUP(AK944, frec_control, 2, 0)+Tablas!$K$1*VLOOKUP(AL944, doc_control, 2, 0))*0.1*peso_dis, "")</f>
        <v/>
      </c>
      <c r="AN944" s="64"/>
      <c r="AO944" s="64"/>
      <c r="AP944" s="64"/>
      <c r="AQ944" s="80" t="str">
        <f>IFERROR((Tablas!$C$9*VLOOKUP(AN944, amb_control, 2, 0)+Tablas!$E$9*VLOOKUP(AO944, ejec_control, 2, 0)+Tablas!$G$9*VLOOKUP(AP944, cub_control, 2, 0))*0.1*peso_ejec, "")</f>
        <v/>
      </c>
      <c r="AR944" s="91" t="str">
        <f t="shared" si="1583"/>
        <v/>
      </c>
      <c r="AS944" s="85" t="str">
        <f t="shared" si="1591"/>
        <v/>
      </c>
      <c r="AT944" s="85" t="str">
        <f t="shared" si="1592"/>
        <v/>
      </c>
      <c r="AU944" s="85" t="str">
        <f>IF(AR944&lt;Tablas!$G$19, 0, IF(AND(AR944&gt;=Tablas!$G$19, AR944&lt;Tablas!$G$20), 1,  IF(AND(AR944&gt;=Tablas!$G$20, AR944&lt;Tablas!$G$21), 2,  IF(AND(AR944&gt;=Tablas!$G$21, AR944&lt;=Tablas!$G$22), 3,  ""))))</f>
        <v/>
      </c>
      <c r="AV944" s="85" t="str">
        <f t="shared" si="1584"/>
        <v/>
      </c>
      <c r="AW944" s="101" t="str">
        <f t="shared" si="1585"/>
        <v/>
      </c>
      <c r="AX944" s="177"/>
      <c r="AY944" s="169"/>
      <c r="AZ944" s="158"/>
      <c r="BA944" s="169"/>
      <c r="BB944" s="182"/>
      <c r="BC944" s="182"/>
      <c r="BD944" s="185"/>
      <c r="BE944" s="185"/>
      <c r="BF944" s="158" t="str">
        <f t="shared" si="1648"/>
        <v/>
      </c>
      <c r="BG944" s="191"/>
    </row>
    <row r="945" spans="1:59" x14ac:dyDescent="0.25">
      <c r="A945" s="167"/>
      <c r="B945" s="167"/>
      <c r="C945" s="161"/>
      <c r="D945" s="160"/>
      <c r="E945" s="162"/>
      <c r="F945" s="164"/>
      <c r="G945" s="161"/>
      <c r="H945" s="161"/>
      <c r="I945" s="161"/>
      <c r="J945" s="161"/>
      <c r="K945" s="161"/>
      <c r="L945" s="166"/>
      <c r="M945" s="166"/>
      <c r="N945" s="166"/>
      <c r="O945" s="166"/>
      <c r="P945" s="166"/>
      <c r="Q945" s="166"/>
      <c r="R945" s="166"/>
      <c r="S945" s="167"/>
      <c r="T945" s="167"/>
      <c r="U945" s="167"/>
      <c r="V945" s="167"/>
      <c r="W945" s="167"/>
      <c r="X945" s="164"/>
      <c r="Y945" s="164"/>
      <c r="Z945" s="172"/>
      <c r="AA945" s="188"/>
      <c r="AB945" s="172"/>
      <c r="AC945" s="172"/>
      <c r="AD945" s="175"/>
      <c r="AE945" s="62" t="s">
        <v>153</v>
      </c>
      <c r="AF945" s="133"/>
      <c r="AG945" s="65"/>
      <c r="AH945" s="64"/>
      <c r="AI945" s="64"/>
      <c r="AJ945" s="64"/>
      <c r="AK945" s="64"/>
      <c r="AL945" s="64"/>
      <c r="AM945" s="80" t="str">
        <f>IFERROR((Tablas!$C$1*VLOOKUP(AH945, tipo_control, 2, 0)+Tablas!$E$1*VLOOKUP(AI945, nat_control, 2, 0)+Tablas!$G$1*VLOOKUP(AJ945, ev_control, 2, 0)+Tablas!$I$1*VLOOKUP(AK945, frec_control, 2, 0)+Tablas!$K$1*VLOOKUP(AL945, doc_control, 2, 0))*0.1*peso_dis, "")</f>
        <v/>
      </c>
      <c r="AN945" s="64"/>
      <c r="AO945" s="64"/>
      <c r="AP945" s="64"/>
      <c r="AQ945" s="80" t="str">
        <f>IFERROR((Tablas!$C$9*VLOOKUP(AN945, amb_control, 2, 0)+Tablas!$E$9*VLOOKUP(AO945, ejec_control, 2, 0)+Tablas!$G$9*VLOOKUP(AP945, cub_control, 2, 0))*0.1*peso_ejec, "")</f>
        <v/>
      </c>
      <c r="AR945" s="91" t="str">
        <f t="shared" si="1583"/>
        <v/>
      </c>
      <c r="AS945" s="85" t="str">
        <f t="shared" si="1591"/>
        <v/>
      </c>
      <c r="AT945" s="85" t="str">
        <f t="shared" si="1592"/>
        <v/>
      </c>
      <c r="AU945" s="85" t="str">
        <f>IF(AR945&lt;Tablas!$G$19, 0, IF(AND(AR945&gt;=Tablas!$G$19, AR945&lt;Tablas!$G$20), 1,  IF(AND(AR945&gt;=Tablas!$G$20, AR945&lt;Tablas!$G$21), 2,  IF(AND(AR945&gt;=Tablas!$G$21, AR945&lt;=Tablas!$G$22), 3,  ""))))</f>
        <v/>
      </c>
      <c r="AV945" s="85" t="str">
        <f t="shared" si="1584"/>
        <v/>
      </c>
      <c r="AW945" s="101" t="str">
        <f t="shared" si="1585"/>
        <v/>
      </c>
      <c r="AX945" s="177"/>
      <c r="AY945" s="169"/>
      <c r="AZ945" s="158"/>
      <c r="BA945" s="169"/>
      <c r="BB945" s="182"/>
      <c r="BC945" s="182"/>
      <c r="BD945" s="185"/>
      <c r="BE945" s="185"/>
      <c r="BF945" s="158"/>
      <c r="BG945" s="191"/>
    </row>
    <row r="946" spans="1:59" ht="15.75" thickBot="1" x14ac:dyDescent="0.3">
      <c r="A946" s="167"/>
      <c r="B946" s="167"/>
      <c r="C946" s="161"/>
      <c r="D946" s="160"/>
      <c r="E946" s="162"/>
      <c r="F946" s="165"/>
      <c r="G946" s="161"/>
      <c r="H946" s="161"/>
      <c r="I946" s="161"/>
      <c r="J946" s="161"/>
      <c r="K946" s="161"/>
      <c r="L946" s="166"/>
      <c r="M946" s="166"/>
      <c r="N946" s="166"/>
      <c r="O946" s="166"/>
      <c r="P946" s="166"/>
      <c r="Q946" s="166"/>
      <c r="R946" s="166"/>
      <c r="S946" s="149"/>
      <c r="T946" s="149"/>
      <c r="U946" s="149"/>
      <c r="V946" s="149"/>
      <c r="W946" s="149"/>
      <c r="X946" s="165"/>
      <c r="Y946" s="165"/>
      <c r="Z946" s="172"/>
      <c r="AA946" s="188"/>
      <c r="AB946" s="172"/>
      <c r="AC946" s="172"/>
      <c r="AD946" s="175"/>
      <c r="AE946" s="66" t="s">
        <v>154</v>
      </c>
      <c r="AF946" s="134"/>
      <c r="AG946" s="67"/>
      <c r="AH946" s="69"/>
      <c r="AI946" s="69"/>
      <c r="AJ946" s="69"/>
      <c r="AK946" s="69"/>
      <c r="AL946" s="69"/>
      <c r="AM946" s="81" t="str">
        <f>IFERROR((Tablas!$C$1*VLOOKUP(AH946, tipo_control, 2, 0)+Tablas!$E$1*VLOOKUP(AI946, nat_control, 2, 0)+Tablas!$G$1*VLOOKUP(AJ946, ev_control, 2, 0)+Tablas!$I$1*VLOOKUP(AK946, frec_control, 2, 0)+Tablas!$K$1*VLOOKUP(AL946, doc_control, 2, 0))*0.1*peso_dis, "")</f>
        <v/>
      </c>
      <c r="AN946" s="69"/>
      <c r="AO946" s="69"/>
      <c r="AP946" s="69"/>
      <c r="AQ946" s="81" t="str">
        <f>IFERROR((Tablas!$C$9*VLOOKUP(AN946, amb_control, 2, 0)+Tablas!$E$9*VLOOKUP(AO946, ejec_control, 2, 0)+Tablas!$G$9*VLOOKUP(AP946, cub_control, 2, 0))*0.1*peso_ejec, "")</f>
        <v/>
      </c>
      <c r="AR946" s="93" t="str">
        <f t="shared" si="1583"/>
        <v/>
      </c>
      <c r="AS946" s="94" t="str">
        <f t="shared" si="1591"/>
        <v/>
      </c>
      <c r="AT946" s="94" t="str">
        <f t="shared" si="1592"/>
        <v/>
      </c>
      <c r="AU946" s="94" t="str">
        <f>IF(AR946&lt;Tablas!$G$19, 0, IF(AND(AR946&gt;=Tablas!$G$19, AR946&lt;Tablas!$G$20), 1,  IF(AND(AR946&gt;=Tablas!$G$20, AR946&lt;Tablas!$G$21), 2,  IF(AND(AR946&gt;=Tablas!$G$21, AR946&lt;=Tablas!$G$22), 3,  ""))))</f>
        <v/>
      </c>
      <c r="AV946" s="94" t="str">
        <f t="shared" si="1584"/>
        <v/>
      </c>
      <c r="AW946" s="102" t="str">
        <f t="shared" si="1585"/>
        <v/>
      </c>
      <c r="AX946" s="157"/>
      <c r="AY946" s="170"/>
      <c r="AZ946" s="179"/>
      <c r="BA946" s="170"/>
      <c r="BB946" s="182"/>
      <c r="BC946" s="182"/>
      <c r="BD946" s="185"/>
      <c r="BE946" s="185"/>
      <c r="BF946" s="159"/>
      <c r="BG946" s="191"/>
    </row>
    <row r="947" spans="1:59" x14ac:dyDescent="0.25">
      <c r="A947" s="167"/>
      <c r="B947" s="167"/>
      <c r="C947" s="161" t="s">
        <v>182</v>
      </c>
      <c r="D947" s="160" t="s">
        <v>158</v>
      </c>
      <c r="E947" s="162"/>
      <c r="F947" s="163" t="str">
        <f t="shared" si="1593"/>
        <v/>
      </c>
      <c r="G947" s="149"/>
      <c r="H947" s="149"/>
      <c r="I947" s="149"/>
      <c r="J947" s="149"/>
      <c r="K947" s="149"/>
      <c r="L947" s="165" t="str">
        <f t="shared" ref="L947" si="1649">IFERROR(VLOOKUP(G947, tabla02, 2, 0), "")</f>
        <v/>
      </c>
      <c r="M947" s="165" t="str">
        <f t="shared" ref="M947" si="1650">IFERROR(VLOOKUP(H947, tabla02, 2, 0), "")</f>
        <v/>
      </c>
      <c r="N947" s="165" t="str">
        <f t="shared" ref="N947" si="1651">IFERROR(VLOOKUP(I947, tabla02, 2, 0), "")</f>
        <v/>
      </c>
      <c r="O947" s="165" t="str">
        <f t="shared" ref="O947" si="1652">IFERROR(VLOOKUP(J947, tabla02, 2, 0), "")</f>
        <v/>
      </c>
      <c r="P947" s="165" t="str">
        <f t="shared" ref="P947" si="1653">IFERROR(VLOOKUP(K947, tabla02, 2, 0), "")</f>
        <v/>
      </c>
      <c r="Q947" s="165" t="str">
        <f t="shared" ref="Q947" si="1654">IF(SUM(L947:O951)=0, "", MAX(L947:P947))</f>
        <v/>
      </c>
      <c r="R947" s="165" t="str">
        <f>IFERROR(VLOOKUP(Q947, tabla04, 3, 0), "")</f>
        <v/>
      </c>
      <c r="S947" s="148"/>
      <c r="T947" s="148"/>
      <c r="U947" s="148"/>
      <c r="V947" s="148"/>
      <c r="W947" s="148"/>
      <c r="X947" s="163" t="str">
        <f>IFERROR(VLOOKUP(CONCATENATE(F947, "-", Q947), cuadrante_sev, 3, 0), "")</f>
        <v/>
      </c>
      <c r="Y947" s="163" t="str">
        <f t="shared" ref="Y947" si="1655">IFERROR(IF(X947="Baja", 1, IF(X947="Moderada", 2, IF(X947="Alta", 3, IF(X947="Extrema", 4, "")))), "")</f>
        <v/>
      </c>
      <c r="Z947" s="172"/>
      <c r="AA947" s="188"/>
      <c r="AB947" s="172"/>
      <c r="AC947" s="172"/>
      <c r="AD947" s="175"/>
      <c r="AE947" s="70" t="s">
        <v>113</v>
      </c>
      <c r="AF947" s="135"/>
      <c r="AG947" s="74"/>
      <c r="AH947" s="72"/>
      <c r="AI947" s="72"/>
      <c r="AJ947" s="72"/>
      <c r="AK947" s="72"/>
      <c r="AL947" s="72"/>
      <c r="AM947" s="82" t="str">
        <f>IFERROR((Tablas!$C$1*VLOOKUP(AH947, tipo_control, 2, 0)+Tablas!$E$1*VLOOKUP(AI947, nat_control, 2, 0)+Tablas!$G$1*VLOOKUP(AJ947, ev_control, 2, 0)+Tablas!$I$1*VLOOKUP(AK947, frec_control, 2, 0)+Tablas!$K$1*VLOOKUP(AL947, doc_control, 2, 0))*0.1*peso_dis, "")</f>
        <v/>
      </c>
      <c r="AN947" s="72"/>
      <c r="AO947" s="72"/>
      <c r="AP947" s="72"/>
      <c r="AQ947" s="82" t="str">
        <f>IFERROR((Tablas!$C$9*VLOOKUP(AN947, amb_control, 2, 0)+Tablas!$E$9*VLOOKUP(AO947, ejec_control, 2, 0)+Tablas!$G$9*VLOOKUP(AP947, cub_control, 2, 0))*0.1*peso_ejec, "")</f>
        <v/>
      </c>
      <c r="AR947" s="96" t="str">
        <f t="shared" si="1583"/>
        <v/>
      </c>
      <c r="AS947" s="97" t="str">
        <f t="shared" si="1591"/>
        <v/>
      </c>
      <c r="AT947" s="87" t="str">
        <f t="shared" si="1592"/>
        <v/>
      </c>
      <c r="AU947" s="97" t="str">
        <f>IF(AR947&lt;Tablas!$G$19, 0, IF(AND(AR947&gt;=Tablas!$G$19, AR947&lt;Tablas!$G$20), 1,  IF(AND(AR947&gt;=Tablas!$G$20, AR947&lt;Tablas!$G$21), 2,  IF(AND(AR947&gt;=Tablas!$G$21, AR947&lt;=Tablas!$G$22), 3,  ""))))</f>
        <v/>
      </c>
      <c r="AV947" s="97" t="str">
        <f t="shared" si="1584"/>
        <v/>
      </c>
      <c r="AW947" s="103" t="str">
        <f t="shared" si="1585"/>
        <v/>
      </c>
      <c r="AX947" s="176" t="str">
        <f t="shared" ref="AX947" si="1656">IFERROR(VLOOKUP(AY947, tabla04, 2, 0), "")</f>
        <v/>
      </c>
      <c r="AY947" s="168" t="str">
        <f>IF(F947="", "", IF((F947-MAX(AV947:AV951))&lt;=0, 1, F947-MAX(AV947:AV951)))</f>
        <v/>
      </c>
      <c r="AZ947" s="178" t="str">
        <f t="shared" ref="AZ947" si="1657">IFERROR(VLOOKUP(BA947, tabla04, 3, 0), "")</f>
        <v/>
      </c>
      <c r="BA947" s="168" t="str">
        <f>IF(Q947="", "", IF((Q947-MAX(AW947:AW951))&lt;=0, 1, Q947-MAX(AW947:AW951)))</f>
        <v/>
      </c>
      <c r="BB947" s="182"/>
      <c r="BC947" s="182"/>
      <c r="BD947" s="185"/>
      <c r="BE947" s="185"/>
      <c r="BF947" s="158" t="str">
        <f t="shared" ref="BF947:BF949" si="1658">IFERROR(VLOOKUP(CONCATENATE(AY947, "-", BA947), cuadrante_sev, 3, 0), "")</f>
        <v/>
      </c>
      <c r="BG947" s="191"/>
    </row>
    <row r="948" spans="1:59" x14ac:dyDescent="0.25">
      <c r="A948" s="167"/>
      <c r="B948" s="167"/>
      <c r="C948" s="161"/>
      <c r="D948" s="160"/>
      <c r="E948" s="162"/>
      <c r="F948" s="164"/>
      <c r="G948" s="161"/>
      <c r="H948" s="161"/>
      <c r="I948" s="161"/>
      <c r="J948" s="161"/>
      <c r="K948" s="161"/>
      <c r="L948" s="166"/>
      <c r="M948" s="166"/>
      <c r="N948" s="166"/>
      <c r="O948" s="166"/>
      <c r="P948" s="166"/>
      <c r="Q948" s="166"/>
      <c r="R948" s="166"/>
      <c r="S948" s="167"/>
      <c r="T948" s="167"/>
      <c r="U948" s="167"/>
      <c r="V948" s="167"/>
      <c r="W948" s="167"/>
      <c r="X948" s="164"/>
      <c r="Y948" s="164"/>
      <c r="Z948" s="172"/>
      <c r="AA948" s="188"/>
      <c r="AB948" s="172"/>
      <c r="AC948" s="172"/>
      <c r="AD948" s="175"/>
      <c r="AE948" s="62" t="s">
        <v>114</v>
      </c>
      <c r="AF948" s="133"/>
      <c r="AG948" s="65"/>
      <c r="AH948" s="64"/>
      <c r="AI948" s="64"/>
      <c r="AJ948" s="64"/>
      <c r="AK948" s="64"/>
      <c r="AL948" s="64"/>
      <c r="AM948" s="80" t="str">
        <f>IFERROR((Tablas!$C$1*VLOOKUP(AH948, tipo_control, 2, 0)+Tablas!$E$1*VLOOKUP(AI948, nat_control, 2, 0)+Tablas!$G$1*VLOOKUP(AJ948, ev_control, 2, 0)+Tablas!$I$1*VLOOKUP(AK948, frec_control, 2, 0)+Tablas!$K$1*VLOOKUP(AL948, doc_control, 2, 0))*0.1*peso_dis, "")</f>
        <v/>
      </c>
      <c r="AN948" s="64"/>
      <c r="AO948" s="64"/>
      <c r="AP948" s="64"/>
      <c r="AQ948" s="80" t="str">
        <f>IFERROR((Tablas!$C$9*VLOOKUP(AN948, amb_control, 2, 0)+Tablas!$E$9*VLOOKUP(AO948, ejec_control, 2, 0)+Tablas!$G$9*VLOOKUP(AP948, cub_control, 2, 0))*0.1*peso_ejec, "")</f>
        <v/>
      </c>
      <c r="AR948" s="91" t="str">
        <f t="shared" si="1583"/>
        <v/>
      </c>
      <c r="AS948" s="85" t="str">
        <f t="shared" si="1591"/>
        <v/>
      </c>
      <c r="AT948" s="85" t="str">
        <f t="shared" si="1592"/>
        <v/>
      </c>
      <c r="AU948" s="85" t="str">
        <f>IF(AR948&lt;Tablas!$G$19, 0, IF(AND(AR948&gt;=Tablas!$G$19, AR948&lt;Tablas!$G$20), 1,  IF(AND(AR948&gt;=Tablas!$G$20, AR948&lt;Tablas!$G$21), 2,  IF(AND(AR948&gt;=Tablas!$G$21, AR948&lt;=Tablas!$G$22), 3,  ""))))</f>
        <v/>
      </c>
      <c r="AV948" s="85" t="str">
        <f t="shared" si="1584"/>
        <v/>
      </c>
      <c r="AW948" s="101" t="str">
        <f t="shared" si="1585"/>
        <v/>
      </c>
      <c r="AX948" s="177"/>
      <c r="AY948" s="169"/>
      <c r="AZ948" s="158"/>
      <c r="BA948" s="169"/>
      <c r="BB948" s="182"/>
      <c r="BC948" s="182"/>
      <c r="BD948" s="185"/>
      <c r="BE948" s="185"/>
      <c r="BF948" s="158" t="str">
        <f t="shared" si="1658"/>
        <v/>
      </c>
      <c r="BG948" s="191"/>
    </row>
    <row r="949" spans="1:59" x14ac:dyDescent="0.25">
      <c r="A949" s="167"/>
      <c r="B949" s="167"/>
      <c r="C949" s="161"/>
      <c r="D949" s="160"/>
      <c r="E949" s="162"/>
      <c r="F949" s="164"/>
      <c r="G949" s="161"/>
      <c r="H949" s="161"/>
      <c r="I949" s="161"/>
      <c r="J949" s="161"/>
      <c r="K949" s="161"/>
      <c r="L949" s="166"/>
      <c r="M949" s="166"/>
      <c r="N949" s="166"/>
      <c r="O949" s="166"/>
      <c r="P949" s="166"/>
      <c r="Q949" s="166"/>
      <c r="R949" s="166"/>
      <c r="S949" s="167"/>
      <c r="T949" s="167"/>
      <c r="U949" s="167"/>
      <c r="V949" s="167"/>
      <c r="W949" s="167"/>
      <c r="X949" s="164"/>
      <c r="Y949" s="164"/>
      <c r="Z949" s="172"/>
      <c r="AA949" s="188"/>
      <c r="AB949" s="172"/>
      <c r="AC949" s="172"/>
      <c r="AD949" s="175"/>
      <c r="AE949" s="62" t="s">
        <v>115</v>
      </c>
      <c r="AF949" s="133"/>
      <c r="AG949" s="65"/>
      <c r="AH949" s="64"/>
      <c r="AI949" s="64"/>
      <c r="AJ949" s="64"/>
      <c r="AK949" s="64"/>
      <c r="AL949" s="64"/>
      <c r="AM949" s="80" t="str">
        <f>IFERROR((Tablas!$C$1*VLOOKUP(AH949, tipo_control, 2, 0)+Tablas!$E$1*VLOOKUP(AI949, nat_control, 2, 0)+Tablas!$G$1*VLOOKUP(AJ949, ev_control, 2, 0)+Tablas!$I$1*VLOOKUP(AK949, frec_control, 2, 0)+Tablas!$K$1*VLOOKUP(AL949, doc_control, 2, 0))*0.1*peso_dis, "")</f>
        <v/>
      </c>
      <c r="AN949" s="64"/>
      <c r="AO949" s="64"/>
      <c r="AP949" s="64"/>
      <c r="AQ949" s="80" t="str">
        <f>IFERROR((Tablas!$C$9*VLOOKUP(AN949, amb_control, 2, 0)+Tablas!$E$9*VLOOKUP(AO949, ejec_control, 2, 0)+Tablas!$G$9*VLOOKUP(AP949, cub_control, 2, 0))*0.1*peso_ejec, "")</f>
        <v/>
      </c>
      <c r="AR949" s="91" t="str">
        <f t="shared" si="1583"/>
        <v/>
      </c>
      <c r="AS949" s="85" t="str">
        <f t="shared" si="1591"/>
        <v/>
      </c>
      <c r="AT949" s="85" t="str">
        <f t="shared" si="1592"/>
        <v/>
      </c>
      <c r="AU949" s="85" t="str">
        <f>IF(AR949&lt;Tablas!$G$19, 0, IF(AND(AR949&gt;=Tablas!$G$19, AR949&lt;Tablas!$G$20), 1,  IF(AND(AR949&gt;=Tablas!$G$20, AR949&lt;Tablas!$G$21), 2,  IF(AND(AR949&gt;=Tablas!$G$21, AR949&lt;=Tablas!$G$22), 3,  ""))))</f>
        <v/>
      </c>
      <c r="AV949" s="85" t="str">
        <f t="shared" si="1584"/>
        <v/>
      </c>
      <c r="AW949" s="101" t="str">
        <f t="shared" si="1585"/>
        <v/>
      </c>
      <c r="AX949" s="177"/>
      <c r="AY949" s="169"/>
      <c r="AZ949" s="158"/>
      <c r="BA949" s="169"/>
      <c r="BB949" s="182"/>
      <c r="BC949" s="182"/>
      <c r="BD949" s="185"/>
      <c r="BE949" s="185"/>
      <c r="BF949" s="158" t="str">
        <f t="shared" si="1658"/>
        <v/>
      </c>
      <c r="BG949" s="191"/>
    </row>
    <row r="950" spans="1:59" x14ac:dyDescent="0.25">
      <c r="A950" s="167"/>
      <c r="B950" s="167"/>
      <c r="C950" s="161"/>
      <c r="D950" s="160"/>
      <c r="E950" s="162"/>
      <c r="F950" s="164"/>
      <c r="G950" s="161"/>
      <c r="H950" s="161"/>
      <c r="I950" s="161"/>
      <c r="J950" s="161"/>
      <c r="K950" s="161"/>
      <c r="L950" s="166"/>
      <c r="M950" s="166"/>
      <c r="N950" s="166"/>
      <c r="O950" s="166"/>
      <c r="P950" s="166"/>
      <c r="Q950" s="166"/>
      <c r="R950" s="166"/>
      <c r="S950" s="167"/>
      <c r="T950" s="167"/>
      <c r="U950" s="167"/>
      <c r="V950" s="167"/>
      <c r="W950" s="167"/>
      <c r="X950" s="164"/>
      <c r="Y950" s="164"/>
      <c r="Z950" s="172"/>
      <c r="AA950" s="188"/>
      <c r="AB950" s="172"/>
      <c r="AC950" s="172"/>
      <c r="AD950" s="175"/>
      <c r="AE950" s="62" t="s">
        <v>153</v>
      </c>
      <c r="AF950" s="133"/>
      <c r="AG950" s="65"/>
      <c r="AH950" s="64"/>
      <c r="AI950" s="64"/>
      <c r="AJ950" s="64"/>
      <c r="AK950" s="64"/>
      <c r="AL950" s="64"/>
      <c r="AM950" s="80" t="str">
        <f>IFERROR((Tablas!$C$1*VLOOKUP(AH950, tipo_control, 2, 0)+Tablas!$E$1*VLOOKUP(AI950, nat_control, 2, 0)+Tablas!$G$1*VLOOKUP(AJ950, ev_control, 2, 0)+Tablas!$I$1*VLOOKUP(AK950, frec_control, 2, 0)+Tablas!$K$1*VLOOKUP(AL950, doc_control, 2, 0))*0.1*peso_dis, "")</f>
        <v/>
      </c>
      <c r="AN950" s="64"/>
      <c r="AO950" s="64"/>
      <c r="AP950" s="64"/>
      <c r="AQ950" s="80" t="str">
        <f>IFERROR((Tablas!$C$9*VLOOKUP(AN950, amb_control, 2, 0)+Tablas!$E$9*VLOOKUP(AO950, ejec_control, 2, 0)+Tablas!$G$9*VLOOKUP(AP950, cub_control, 2, 0))*0.1*peso_ejec, "")</f>
        <v/>
      </c>
      <c r="AR950" s="91" t="str">
        <f t="shared" si="1583"/>
        <v/>
      </c>
      <c r="AS950" s="85" t="str">
        <f t="shared" si="1591"/>
        <v/>
      </c>
      <c r="AT950" s="85" t="str">
        <f t="shared" si="1592"/>
        <v/>
      </c>
      <c r="AU950" s="85" t="str">
        <f>IF(AR950&lt;Tablas!$G$19, 0, IF(AND(AR950&gt;=Tablas!$G$19, AR950&lt;Tablas!$G$20), 1,  IF(AND(AR950&gt;=Tablas!$G$20, AR950&lt;Tablas!$G$21), 2,  IF(AND(AR950&gt;=Tablas!$G$21, AR950&lt;=Tablas!$G$22), 3,  ""))))</f>
        <v/>
      </c>
      <c r="AV950" s="85" t="str">
        <f t="shared" si="1584"/>
        <v/>
      </c>
      <c r="AW950" s="101" t="str">
        <f t="shared" si="1585"/>
        <v/>
      </c>
      <c r="AX950" s="177"/>
      <c r="AY950" s="169"/>
      <c r="AZ950" s="158"/>
      <c r="BA950" s="169"/>
      <c r="BB950" s="182"/>
      <c r="BC950" s="182"/>
      <c r="BD950" s="185"/>
      <c r="BE950" s="185"/>
      <c r="BF950" s="158"/>
      <c r="BG950" s="191"/>
    </row>
    <row r="951" spans="1:59" ht="15.75" thickBot="1" x14ac:dyDescent="0.3">
      <c r="A951" s="167"/>
      <c r="B951" s="167"/>
      <c r="C951" s="161"/>
      <c r="D951" s="160"/>
      <c r="E951" s="162"/>
      <c r="F951" s="165"/>
      <c r="G951" s="161"/>
      <c r="H951" s="161"/>
      <c r="I951" s="161"/>
      <c r="J951" s="161"/>
      <c r="K951" s="161"/>
      <c r="L951" s="166"/>
      <c r="M951" s="166"/>
      <c r="N951" s="166"/>
      <c r="O951" s="166"/>
      <c r="P951" s="166"/>
      <c r="Q951" s="166"/>
      <c r="R951" s="166"/>
      <c r="S951" s="149"/>
      <c r="T951" s="149"/>
      <c r="U951" s="149"/>
      <c r="V951" s="149"/>
      <c r="W951" s="149"/>
      <c r="X951" s="165"/>
      <c r="Y951" s="165"/>
      <c r="Z951" s="172"/>
      <c r="AA951" s="188"/>
      <c r="AB951" s="172"/>
      <c r="AC951" s="172"/>
      <c r="AD951" s="175"/>
      <c r="AE951" s="66" t="s">
        <v>154</v>
      </c>
      <c r="AF951" s="134"/>
      <c r="AG951" s="67"/>
      <c r="AH951" s="69"/>
      <c r="AI951" s="69"/>
      <c r="AJ951" s="69"/>
      <c r="AK951" s="69"/>
      <c r="AL951" s="69"/>
      <c r="AM951" s="81" t="str">
        <f>IFERROR((Tablas!$C$1*VLOOKUP(AH951, tipo_control, 2, 0)+Tablas!$E$1*VLOOKUP(AI951, nat_control, 2, 0)+Tablas!$G$1*VLOOKUP(AJ951, ev_control, 2, 0)+Tablas!$I$1*VLOOKUP(AK951, frec_control, 2, 0)+Tablas!$K$1*VLOOKUP(AL951, doc_control, 2, 0))*0.1*peso_dis, "")</f>
        <v/>
      </c>
      <c r="AN951" s="69"/>
      <c r="AO951" s="69"/>
      <c r="AP951" s="69"/>
      <c r="AQ951" s="81" t="str">
        <f>IFERROR((Tablas!$C$9*VLOOKUP(AN951, amb_control, 2, 0)+Tablas!$E$9*VLOOKUP(AO951, ejec_control, 2, 0)+Tablas!$G$9*VLOOKUP(AP951, cub_control, 2, 0))*0.1*peso_ejec, "")</f>
        <v/>
      </c>
      <c r="AR951" s="93" t="str">
        <f t="shared" si="1583"/>
        <v/>
      </c>
      <c r="AS951" s="94" t="str">
        <f t="shared" si="1591"/>
        <v/>
      </c>
      <c r="AT951" s="94" t="str">
        <f t="shared" si="1592"/>
        <v/>
      </c>
      <c r="AU951" s="94" t="str">
        <f>IF(AR951&lt;Tablas!$G$19, 0, IF(AND(AR951&gt;=Tablas!$G$19, AR951&lt;Tablas!$G$20), 1,  IF(AND(AR951&gt;=Tablas!$G$20, AR951&lt;Tablas!$G$21), 2,  IF(AND(AR951&gt;=Tablas!$G$21, AR951&lt;=Tablas!$G$22), 3,  ""))))</f>
        <v/>
      </c>
      <c r="AV951" s="94" t="str">
        <f t="shared" si="1584"/>
        <v/>
      </c>
      <c r="AW951" s="102" t="str">
        <f t="shared" si="1585"/>
        <v/>
      </c>
      <c r="AX951" s="157"/>
      <c r="AY951" s="170"/>
      <c r="AZ951" s="179"/>
      <c r="BA951" s="170"/>
      <c r="BB951" s="182"/>
      <c r="BC951" s="182"/>
      <c r="BD951" s="185"/>
      <c r="BE951" s="185"/>
      <c r="BF951" s="159"/>
      <c r="BG951" s="191"/>
    </row>
    <row r="952" spans="1:59" x14ac:dyDescent="0.25">
      <c r="A952" s="167"/>
      <c r="B952" s="167"/>
      <c r="C952" s="161" t="s">
        <v>183</v>
      </c>
      <c r="D952" s="160" t="s">
        <v>158</v>
      </c>
      <c r="E952" s="162"/>
      <c r="F952" s="163" t="str">
        <f t="shared" si="1593"/>
        <v/>
      </c>
      <c r="G952" s="149"/>
      <c r="H952" s="149"/>
      <c r="I952" s="149"/>
      <c r="J952" s="149"/>
      <c r="K952" s="149"/>
      <c r="L952" s="165" t="str">
        <f t="shared" ref="L952" si="1659">IFERROR(VLOOKUP(G952, tabla02, 2, 0), "")</f>
        <v/>
      </c>
      <c r="M952" s="165" t="str">
        <f t="shared" ref="M952" si="1660">IFERROR(VLOOKUP(H952, tabla02, 2, 0), "")</f>
        <v/>
      </c>
      <c r="N952" s="165" t="str">
        <f t="shared" ref="N952" si="1661">IFERROR(VLOOKUP(I952, tabla02, 2, 0), "")</f>
        <v/>
      </c>
      <c r="O952" s="165" t="str">
        <f t="shared" ref="O952" si="1662">IFERROR(VLOOKUP(J952, tabla02, 2, 0), "")</f>
        <v/>
      </c>
      <c r="P952" s="165" t="str">
        <f t="shared" ref="P952" si="1663">IFERROR(VLOOKUP(K952, tabla02, 2, 0), "")</f>
        <v/>
      </c>
      <c r="Q952" s="165" t="str">
        <f t="shared" ref="Q952" si="1664">IF(SUM(L952:O956)=0, "", MAX(L952:P952))</f>
        <v/>
      </c>
      <c r="R952" s="165" t="str">
        <f>IFERROR(VLOOKUP(Q952, tabla04, 3, 0), "")</f>
        <v/>
      </c>
      <c r="S952" s="148"/>
      <c r="T952" s="148"/>
      <c r="U952" s="148"/>
      <c r="V952" s="148"/>
      <c r="W952" s="148"/>
      <c r="X952" s="163" t="str">
        <f>IFERROR(VLOOKUP(CONCATENATE(F952, "-", Q952), cuadrante_sev, 3, 0), "")</f>
        <v/>
      </c>
      <c r="Y952" s="163" t="str">
        <f t="shared" ref="Y952" si="1665">IFERROR(IF(X952="Baja", 1, IF(X952="Moderada", 2, IF(X952="Alta", 3, IF(X952="Extrema", 4, "")))), "")</f>
        <v/>
      </c>
      <c r="Z952" s="172"/>
      <c r="AA952" s="188"/>
      <c r="AB952" s="172"/>
      <c r="AC952" s="172"/>
      <c r="AD952" s="175"/>
      <c r="AE952" s="70" t="s">
        <v>113</v>
      </c>
      <c r="AF952" s="135"/>
      <c r="AG952" s="74"/>
      <c r="AH952" s="72"/>
      <c r="AI952" s="72"/>
      <c r="AJ952" s="72"/>
      <c r="AK952" s="72"/>
      <c r="AL952" s="72"/>
      <c r="AM952" s="82" t="str">
        <f>IFERROR((Tablas!$C$1*VLOOKUP(AH952, tipo_control, 2, 0)+Tablas!$E$1*VLOOKUP(AI952, nat_control, 2, 0)+Tablas!$G$1*VLOOKUP(AJ952, ev_control, 2, 0)+Tablas!$I$1*VLOOKUP(AK952, frec_control, 2, 0)+Tablas!$K$1*VLOOKUP(AL952, doc_control, 2, 0))*0.1*peso_dis, "")</f>
        <v/>
      </c>
      <c r="AN952" s="72"/>
      <c r="AO952" s="72"/>
      <c r="AP952" s="72"/>
      <c r="AQ952" s="82" t="str">
        <f>IFERROR((Tablas!$C$9*VLOOKUP(AN952, amb_control, 2, 0)+Tablas!$E$9*VLOOKUP(AO952, ejec_control, 2, 0)+Tablas!$G$9*VLOOKUP(AP952, cub_control, 2, 0))*0.1*peso_ejec, "")</f>
        <v/>
      </c>
      <c r="AR952" s="96" t="str">
        <f t="shared" si="1583"/>
        <v/>
      </c>
      <c r="AS952" s="97" t="str">
        <f t="shared" si="1591"/>
        <v/>
      </c>
      <c r="AT952" s="87" t="str">
        <f t="shared" si="1592"/>
        <v/>
      </c>
      <c r="AU952" s="97" t="str">
        <f>IF(AR952&lt;Tablas!$G$19, 0, IF(AND(AR952&gt;=Tablas!$G$19, AR952&lt;Tablas!$G$20), 1,  IF(AND(AR952&gt;=Tablas!$G$20, AR952&lt;Tablas!$G$21), 2,  IF(AND(AR952&gt;=Tablas!$G$21, AR952&lt;=Tablas!$G$22), 3,  ""))))</f>
        <v/>
      </c>
      <c r="AV952" s="97" t="str">
        <f t="shared" si="1584"/>
        <v/>
      </c>
      <c r="AW952" s="103" t="str">
        <f t="shared" si="1585"/>
        <v/>
      </c>
      <c r="AX952" s="176" t="str">
        <f t="shared" ref="AX952" si="1666">IFERROR(VLOOKUP(AY952, tabla04, 2, 0), "")</f>
        <v/>
      </c>
      <c r="AY952" s="168" t="str">
        <f>IF(F952="", "", IF((F952-MAX(AV952:AV956))&lt;=0, 1, F952-MAX(AV952:AV956)))</f>
        <v/>
      </c>
      <c r="AZ952" s="178" t="str">
        <f t="shared" ref="AZ952" si="1667">IFERROR(VLOOKUP(BA952, tabla04, 3, 0), "")</f>
        <v/>
      </c>
      <c r="BA952" s="168" t="str">
        <f>IF(Q952="", "", IF((Q952-MAX(AW952:AW956))&lt;=0, 1, Q952-MAX(AW952:AW956)))</f>
        <v/>
      </c>
      <c r="BB952" s="182"/>
      <c r="BC952" s="182"/>
      <c r="BD952" s="185"/>
      <c r="BE952" s="185"/>
      <c r="BF952" s="158" t="str">
        <f t="shared" ref="BF952:BF954" si="1668">IFERROR(VLOOKUP(CONCATENATE(AY952, "-", BA952), cuadrante_sev, 3, 0), "")</f>
        <v/>
      </c>
      <c r="BG952" s="191"/>
    </row>
    <row r="953" spans="1:59" x14ac:dyDescent="0.25">
      <c r="A953" s="167"/>
      <c r="B953" s="167"/>
      <c r="C953" s="161"/>
      <c r="D953" s="160"/>
      <c r="E953" s="162"/>
      <c r="F953" s="164"/>
      <c r="G953" s="161"/>
      <c r="H953" s="161"/>
      <c r="I953" s="161"/>
      <c r="J953" s="161"/>
      <c r="K953" s="161"/>
      <c r="L953" s="166"/>
      <c r="M953" s="166"/>
      <c r="N953" s="166"/>
      <c r="O953" s="166"/>
      <c r="P953" s="166"/>
      <c r="Q953" s="166"/>
      <c r="R953" s="166"/>
      <c r="S953" s="167"/>
      <c r="T953" s="167"/>
      <c r="U953" s="167"/>
      <c r="V953" s="167"/>
      <c r="W953" s="167"/>
      <c r="X953" s="164"/>
      <c r="Y953" s="164"/>
      <c r="Z953" s="172"/>
      <c r="AA953" s="188"/>
      <c r="AB953" s="172"/>
      <c r="AC953" s="172"/>
      <c r="AD953" s="175"/>
      <c r="AE953" s="62" t="s">
        <v>114</v>
      </c>
      <c r="AF953" s="133"/>
      <c r="AG953" s="65"/>
      <c r="AH953" s="64"/>
      <c r="AI953" s="64"/>
      <c r="AJ953" s="64"/>
      <c r="AK953" s="64"/>
      <c r="AL953" s="64"/>
      <c r="AM953" s="80" t="str">
        <f>IFERROR((Tablas!$C$1*VLOOKUP(AH953, tipo_control, 2, 0)+Tablas!$E$1*VLOOKUP(AI953, nat_control, 2, 0)+Tablas!$G$1*VLOOKUP(AJ953, ev_control, 2, 0)+Tablas!$I$1*VLOOKUP(AK953, frec_control, 2, 0)+Tablas!$K$1*VLOOKUP(AL953, doc_control, 2, 0))*0.1*peso_dis, "")</f>
        <v/>
      </c>
      <c r="AN953" s="64"/>
      <c r="AO953" s="64"/>
      <c r="AP953" s="64"/>
      <c r="AQ953" s="80" t="str">
        <f>IFERROR((Tablas!$C$9*VLOOKUP(AN953, amb_control, 2, 0)+Tablas!$E$9*VLOOKUP(AO953, ejec_control, 2, 0)+Tablas!$G$9*VLOOKUP(AP953, cub_control, 2, 0))*0.1*peso_ejec, "")</f>
        <v/>
      </c>
      <c r="AR953" s="91" t="str">
        <f t="shared" si="1583"/>
        <v/>
      </c>
      <c r="AS953" s="85" t="str">
        <f t="shared" si="1591"/>
        <v/>
      </c>
      <c r="AT953" s="85" t="str">
        <f t="shared" si="1592"/>
        <v/>
      </c>
      <c r="AU953" s="85" t="str">
        <f>IF(AR953&lt;Tablas!$G$19, 0, IF(AND(AR953&gt;=Tablas!$G$19, AR953&lt;Tablas!$G$20), 1,  IF(AND(AR953&gt;=Tablas!$G$20, AR953&lt;Tablas!$G$21), 2,  IF(AND(AR953&gt;=Tablas!$G$21, AR953&lt;=Tablas!$G$22), 3,  ""))))</f>
        <v/>
      </c>
      <c r="AV953" s="85" t="str">
        <f t="shared" si="1584"/>
        <v/>
      </c>
      <c r="AW953" s="101" t="str">
        <f t="shared" si="1585"/>
        <v/>
      </c>
      <c r="AX953" s="177"/>
      <c r="AY953" s="169"/>
      <c r="AZ953" s="158"/>
      <c r="BA953" s="169"/>
      <c r="BB953" s="182"/>
      <c r="BC953" s="182"/>
      <c r="BD953" s="185"/>
      <c r="BE953" s="185"/>
      <c r="BF953" s="158" t="str">
        <f t="shared" si="1668"/>
        <v/>
      </c>
      <c r="BG953" s="191"/>
    </row>
    <row r="954" spans="1:59" x14ac:dyDescent="0.25">
      <c r="A954" s="167"/>
      <c r="B954" s="167"/>
      <c r="C954" s="161"/>
      <c r="D954" s="160"/>
      <c r="E954" s="162"/>
      <c r="F954" s="164"/>
      <c r="G954" s="161"/>
      <c r="H954" s="161"/>
      <c r="I954" s="161"/>
      <c r="J954" s="161"/>
      <c r="K954" s="161"/>
      <c r="L954" s="166"/>
      <c r="M954" s="166"/>
      <c r="N954" s="166"/>
      <c r="O954" s="166"/>
      <c r="P954" s="166"/>
      <c r="Q954" s="166"/>
      <c r="R954" s="166"/>
      <c r="S954" s="167"/>
      <c r="T954" s="167"/>
      <c r="U954" s="167"/>
      <c r="V954" s="167"/>
      <c r="W954" s="167"/>
      <c r="X954" s="164"/>
      <c r="Y954" s="164"/>
      <c r="Z954" s="172"/>
      <c r="AA954" s="188"/>
      <c r="AB954" s="172"/>
      <c r="AC954" s="172"/>
      <c r="AD954" s="175"/>
      <c r="AE954" s="62" t="s">
        <v>115</v>
      </c>
      <c r="AF954" s="133"/>
      <c r="AG954" s="65"/>
      <c r="AH954" s="64"/>
      <c r="AI954" s="64"/>
      <c r="AJ954" s="64"/>
      <c r="AK954" s="64"/>
      <c r="AL954" s="64"/>
      <c r="AM954" s="80" t="str">
        <f>IFERROR((Tablas!$C$1*VLOOKUP(AH954, tipo_control, 2, 0)+Tablas!$E$1*VLOOKUP(AI954, nat_control, 2, 0)+Tablas!$G$1*VLOOKUP(AJ954, ev_control, 2, 0)+Tablas!$I$1*VLOOKUP(AK954, frec_control, 2, 0)+Tablas!$K$1*VLOOKUP(AL954, doc_control, 2, 0))*0.1*peso_dis, "")</f>
        <v/>
      </c>
      <c r="AN954" s="64"/>
      <c r="AO954" s="64"/>
      <c r="AP954" s="64"/>
      <c r="AQ954" s="80" t="str">
        <f>IFERROR((Tablas!$C$9*VLOOKUP(AN954, amb_control, 2, 0)+Tablas!$E$9*VLOOKUP(AO954, ejec_control, 2, 0)+Tablas!$G$9*VLOOKUP(AP954, cub_control, 2, 0))*0.1*peso_ejec, "")</f>
        <v/>
      </c>
      <c r="AR954" s="91" t="str">
        <f t="shared" si="1583"/>
        <v/>
      </c>
      <c r="AS954" s="85" t="str">
        <f t="shared" si="1591"/>
        <v/>
      </c>
      <c r="AT954" s="85" t="str">
        <f t="shared" si="1592"/>
        <v/>
      </c>
      <c r="AU954" s="85" t="str">
        <f>IF(AR954&lt;Tablas!$G$19, 0, IF(AND(AR954&gt;=Tablas!$G$19, AR954&lt;Tablas!$G$20), 1,  IF(AND(AR954&gt;=Tablas!$G$20, AR954&lt;Tablas!$G$21), 2,  IF(AND(AR954&gt;=Tablas!$G$21, AR954&lt;=Tablas!$G$22), 3,  ""))))</f>
        <v/>
      </c>
      <c r="AV954" s="85" t="str">
        <f t="shared" si="1584"/>
        <v/>
      </c>
      <c r="AW954" s="101" t="str">
        <f t="shared" si="1585"/>
        <v/>
      </c>
      <c r="AX954" s="177"/>
      <c r="AY954" s="169"/>
      <c r="AZ954" s="158"/>
      <c r="BA954" s="169"/>
      <c r="BB954" s="182"/>
      <c r="BC954" s="182"/>
      <c r="BD954" s="185"/>
      <c r="BE954" s="185"/>
      <c r="BF954" s="158" t="str">
        <f t="shared" si="1668"/>
        <v/>
      </c>
      <c r="BG954" s="191"/>
    </row>
    <row r="955" spans="1:59" x14ac:dyDescent="0.25">
      <c r="A955" s="167"/>
      <c r="B955" s="167"/>
      <c r="C955" s="161"/>
      <c r="D955" s="160"/>
      <c r="E955" s="162"/>
      <c r="F955" s="164"/>
      <c r="G955" s="161"/>
      <c r="H955" s="161"/>
      <c r="I955" s="161"/>
      <c r="J955" s="161"/>
      <c r="K955" s="161"/>
      <c r="L955" s="166"/>
      <c r="M955" s="166"/>
      <c r="N955" s="166"/>
      <c r="O955" s="166"/>
      <c r="P955" s="166"/>
      <c r="Q955" s="166"/>
      <c r="R955" s="166"/>
      <c r="S955" s="167"/>
      <c r="T955" s="167"/>
      <c r="U955" s="167"/>
      <c r="V955" s="167"/>
      <c r="W955" s="167"/>
      <c r="X955" s="164"/>
      <c r="Y955" s="164"/>
      <c r="Z955" s="172"/>
      <c r="AA955" s="188"/>
      <c r="AB955" s="172"/>
      <c r="AC955" s="172"/>
      <c r="AD955" s="175"/>
      <c r="AE955" s="62" t="s">
        <v>153</v>
      </c>
      <c r="AF955" s="133"/>
      <c r="AG955" s="65"/>
      <c r="AH955" s="64"/>
      <c r="AI955" s="64"/>
      <c r="AJ955" s="64"/>
      <c r="AK955" s="64"/>
      <c r="AL955" s="64"/>
      <c r="AM955" s="80" t="str">
        <f>IFERROR((Tablas!$C$1*VLOOKUP(AH955, tipo_control, 2, 0)+Tablas!$E$1*VLOOKUP(AI955, nat_control, 2, 0)+Tablas!$G$1*VLOOKUP(AJ955, ev_control, 2, 0)+Tablas!$I$1*VLOOKUP(AK955, frec_control, 2, 0)+Tablas!$K$1*VLOOKUP(AL955, doc_control, 2, 0))*0.1*peso_dis, "")</f>
        <v/>
      </c>
      <c r="AN955" s="64"/>
      <c r="AO955" s="64"/>
      <c r="AP955" s="64"/>
      <c r="AQ955" s="80" t="str">
        <f>IFERROR((Tablas!$C$9*VLOOKUP(AN955, amb_control, 2, 0)+Tablas!$E$9*VLOOKUP(AO955, ejec_control, 2, 0)+Tablas!$G$9*VLOOKUP(AP955, cub_control, 2, 0))*0.1*peso_ejec, "")</f>
        <v/>
      </c>
      <c r="AR955" s="91" t="str">
        <f t="shared" si="1583"/>
        <v/>
      </c>
      <c r="AS955" s="85" t="str">
        <f t="shared" si="1591"/>
        <v/>
      </c>
      <c r="AT955" s="85" t="str">
        <f t="shared" si="1592"/>
        <v/>
      </c>
      <c r="AU955" s="85" t="str">
        <f>IF(AR955&lt;Tablas!$G$19, 0, IF(AND(AR955&gt;=Tablas!$G$19, AR955&lt;Tablas!$G$20), 1,  IF(AND(AR955&gt;=Tablas!$G$20, AR955&lt;Tablas!$G$21), 2,  IF(AND(AR955&gt;=Tablas!$G$21, AR955&lt;=Tablas!$G$22), 3,  ""))))</f>
        <v/>
      </c>
      <c r="AV955" s="85" t="str">
        <f t="shared" si="1584"/>
        <v/>
      </c>
      <c r="AW955" s="101" t="str">
        <f t="shared" si="1585"/>
        <v/>
      </c>
      <c r="AX955" s="177"/>
      <c r="AY955" s="169"/>
      <c r="AZ955" s="158"/>
      <c r="BA955" s="169"/>
      <c r="BB955" s="182"/>
      <c r="BC955" s="182"/>
      <c r="BD955" s="185"/>
      <c r="BE955" s="185"/>
      <c r="BF955" s="158"/>
      <c r="BG955" s="191"/>
    </row>
    <row r="956" spans="1:59" ht="15.75" thickBot="1" x14ac:dyDescent="0.3">
      <c r="A956" s="149"/>
      <c r="B956" s="149"/>
      <c r="C956" s="161"/>
      <c r="D956" s="160"/>
      <c r="E956" s="162"/>
      <c r="F956" s="165"/>
      <c r="G956" s="161"/>
      <c r="H956" s="161"/>
      <c r="I956" s="161"/>
      <c r="J956" s="161"/>
      <c r="K956" s="161"/>
      <c r="L956" s="166"/>
      <c r="M956" s="166"/>
      <c r="N956" s="166"/>
      <c r="O956" s="166"/>
      <c r="P956" s="166"/>
      <c r="Q956" s="166"/>
      <c r="R956" s="166"/>
      <c r="S956" s="149"/>
      <c r="T956" s="149"/>
      <c r="U956" s="149"/>
      <c r="V956" s="149"/>
      <c r="W956" s="149"/>
      <c r="X956" s="165"/>
      <c r="Y956" s="165"/>
      <c r="Z956" s="173"/>
      <c r="AA956" s="189"/>
      <c r="AB956" s="173"/>
      <c r="AC956" s="173"/>
      <c r="AD956" s="175"/>
      <c r="AE956" s="75" t="s">
        <v>154</v>
      </c>
      <c r="AF956" s="136"/>
      <c r="AG956" s="68"/>
      <c r="AH956" s="76"/>
      <c r="AI956" s="76"/>
      <c r="AJ956" s="76"/>
      <c r="AK956" s="76"/>
      <c r="AL956" s="76"/>
      <c r="AM956" s="83" t="str">
        <f>IFERROR((Tablas!$C$1*VLOOKUP(AH956, tipo_control, 2, 0)+Tablas!$E$1*VLOOKUP(AI956, nat_control, 2, 0)+Tablas!$G$1*VLOOKUP(AJ956, ev_control, 2, 0)+Tablas!$I$1*VLOOKUP(AK956, frec_control, 2, 0)+Tablas!$K$1*VLOOKUP(AL956, doc_control, 2, 0))*0.1*peso_dis, "")</f>
        <v/>
      </c>
      <c r="AN956" s="76"/>
      <c r="AO956" s="76"/>
      <c r="AP956" s="76"/>
      <c r="AQ956" s="83" t="str">
        <f>IFERROR((Tablas!$C$9*VLOOKUP(AN956, amb_control, 2, 0)+Tablas!$E$9*VLOOKUP(AO956, ejec_control, 2, 0)+Tablas!$G$9*VLOOKUP(AP956, cub_control, 2, 0))*0.1*peso_ejec, "")</f>
        <v/>
      </c>
      <c r="AR956" s="99" t="str">
        <f t="shared" si="1583"/>
        <v/>
      </c>
      <c r="AS956" s="86" t="str">
        <f t="shared" si="1591"/>
        <v/>
      </c>
      <c r="AT956" s="86" t="str">
        <f t="shared" si="1592"/>
        <v/>
      </c>
      <c r="AU956" s="86" t="str">
        <f>IF(AR956&lt;Tablas!$G$19, 0, IF(AND(AR956&gt;=Tablas!$G$19, AR956&lt;Tablas!$G$20), 1,  IF(AND(AR956&gt;=Tablas!$G$20, AR956&lt;Tablas!$G$21), 2,  IF(AND(AR956&gt;=Tablas!$G$21, AR956&lt;=Tablas!$G$22), 3,  ""))))</f>
        <v/>
      </c>
      <c r="AV956" s="86" t="str">
        <f t="shared" si="1584"/>
        <v/>
      </c>
      <c r="AW956" s="84" t="str">
        <f t="shared" si="1585"/>
        <v/>
      </c>
      <c r="AX956" s="157"/>
      <c r="AY956" s="170"/>
      <c r="AZ956" s="179"/>
      <c r="BA956" s="170"/>
      <c r="BB956" s="183"/>
      <c r="BC956" s="183"/>
      <c r="BD956" s="186"/>
      <c r="BE956" s="186"/>
      <c r="BF956" s="159"/>
      <c r="BG956" s="191"/>
    </row>
    <row r="957" spans="1:59" x14ac:dyDescent="0.25">
      <c r="A957" s="148" t="s">
        <v>213</v>
      </c>
      <c r="B957" s="148" t="s">
        <v>214</v>
      </c>
      <c r="C957" s="161" t="s">
        <v>14</v>
      </c>
      <c r="D957" s="160" t="s">
        <v>158</v>
      </c>
      <c r="E957" s="193"/>
      <c r="F957" s="163" t="str">
        <f t="shared" si="1593"/>
        <v/>
      </c>
      <c r="G957" s="149"/>
      <c r="H957" s="149"/>
      <c r="I957" s="149"/>
      <c r="J957" s="149"/>
      <c r="K957" s="149"/>
      <c r="L957" s="165" t="str">
        <f>IFERROR(VLOOKUP(G957, tabla02, 2, 0), "")</f>
        <v/>
      </c>
      <c r="M957" s="165" t="str">
        <f>IFERROR(VLOOKUP(H957, tabla02, 2, 0), "")</f>
        <v/>
      </c>
      <c r="N957" s="165" t="str">
        <f>IFERROR(VLOOKUP(I957, tabla02, 2, 0), "")</f>
        <v/>
      </c>
      <c r="O957" s="165" t="str">
        <f>IFERROR(VLOOKUP(J957, tabla02, 2, 0), "")</f>
        <v/>
      </c>
      <c r="P957" s="165" t="str">
        <f>IFERROR(VLOOKUP(K957, tabla02, 2, 0), "")</f>
        <v/>
      </c>
      <c r="Q957" s="165" t="str">
        <f t="shared" ref="Q957" si="1669">IF(SUM(L957:O961)=0, "", MAX(L957:P957))</f>
        <v/>
      </c>
      <c r="R957" s="165" t="str">
        <f>IFERROR(VLOOKUP(Q957, tabla04, 3, 0), "")</f>
        <v/>
      </c>
      <c r="S957" s="148"/>
      <c r="T957" s="148"/>
      <c r="U957" s="148"/>
      <c r="V957" s="148"/>
      <c r="W957" s="148"/>
      <c r="X957" s="164" t="str">
        <f>IFERROR(VLOOKUP(CONCATENATE(F957, "-", Q957), cuadrante_sev, 3, 0), "")</f>
        <v/>
      </c>
      <c r="Y957" s="163" t="str">
        <f>IFERROR(IF(X957="Baja", 1, IF(X957="Moderada", 2, IF(X957="Alta", 3, IF(X957="Extrema", 4, "")))), "")</f>
        <v/>
      </c>
      <c r="Z957" s="171">
        <f t="shared" ref="Z957" si="1670">MAX(F957:F1006)</f>
        <v>0</v>
      </c>
      <c r="AA957" s="187">
        <f t="shared" ref="AA957" si="1671">MAX(Q957:Q1006)</f>
        <v>0</v>
      </c>
      <c r="AB957" s="171" t="str">
        <f>IFERROR(VLOOKUP(Z957, tabla04, 2, 0), "")</f>
        <v/>
      </c>
      <c r="AC957" s="171" t="str">
        <f>IFERROR(VLOOKUP(AA957, tabla04, 3, 0), "")</f>
        <v/>
      </c>
      <c r="AD957" s="174" t="str">
        <f>IFERROR(VLOOKUP(CONCATENATE(Z957, "-", AA957), cuadrante_sev, 3, 0), "")</f>
        <v/>
      </c>
      <c r="AE957" s="59" t="s">
        <v>113</v>
      </c>
      <c r="AF957" s="132"/>
      <c r="AG957" s="77"/>
      <c r="AH957" s="61"/>
      <c r="AI957" s="61"/>
      <c r="AJ957" s="61"/>
      <c r="AK957" s="61"/>
      <c r="AL957" s="61"/>
      <c r="AM957" s="79" t="str">
        <f>IFERROR((Tablas!$C$1*VLOOKUP(AH957, tipo_control, 2, 0)+Tablas!$E$1*VLOOKUP(AI957, nat_control, 2, 0)+Tablas!$G$1*VLOOKUP(AJ957, ev_control, 2, 0)+Tablas!$I$1*VLOOKUP(AK957, frec_control, 2, 0)+Tablas!$K$1*VLOOKUP(AL957, doc_control, 2, 0))*0.1*peso_dis, "")</f>
        <v/>
      </c>
      <c r="AN957" s="61"/>
      <c r="AO957" s="61"/>
      <c r="AP957" s="61"/>
      <c r="AQ957" s="79" t="str">
        <f>IFERROR((Tablas!$C$9*VLOOKUP(AN957, amb_control, 2, 0)+Tablas!$E$9*VLOOKUP(AO957, ejec_control, 2, 0)+Tablas!$G$9*VLOOKUP(AP957, cub_control, 2, 0))*0.1*peso_ejec, "")</f>
        <v/>
      </c>
      <c r="AR957" s="89" t="str">
        <f>IFERROR(AM957+AQ957, "")</f>
        <v/>
      </c>
      <c r="AS957" s="87" t="str">
        <f t="shared" si="1591"/>
        <v/>
      </c>
      <c r="AT957" s="87" t="str">
        <f t="shared" si="1592"/>
        <v/>
      </c>
      <c r="AU957" s="87" t="str">
        <f>IF(AR957&lt;Tablas!$G$19, 0, IF(AND(AR957&gt;=Tablas!$G$19, AR957&lt;Tablas!$G$20), 1,  IF(AND(AR957&gt;=Tablas!$G$20, AR957&lt;Tablas!$G$21), 2,  IF(AND(AR957&gt;=Tablas!$G$21, AR957&lt;=Tablas!$G$22), 3,  ""))))</f>
        <v/>
      </c>
      <c r="AV957" s="87" t="str">
        <f>IF(AS957="Sí",AU957,"")</f>
        <v/>
      </c>
      <c r="AW957" s="100" t="str">
        <f>IF(AT957="Sí",AU957,"")</f>
        <v/>
      </c>
      <c r="AX957" s="176" t="str">
        <f>IFERROR(VLOOKUP(AY957, tabla04, 2, 0), "")</f>
        <v/>
      </c>
      <c r="AY957" s="168" t="str">
        <f>IF(F957="", "", IF((F957-MAX(AV957:AV961))&lt;=0, 1, F957-MAX(AV957:AV961)))</f>
        <v/>
      </c>
      <c r="AZ957" s="178" t="str">
        <f>IFERROR(VLOOKUP(BA957, tabla04, 3, 0), "")</f>
        <v/>
      </c>
      <c r="BA957" s="168" t="str">
        <f>IF(Q957="", "", IF((Q957-MAX(AW957:AW961))&lt;=0, 1, Q957-MAX(AW957:AW961)))</f>
        <v/>
      </c>
      <c r="BB957" s="170">
        <f>IFERROR(MAX(AY957:AY1006), "")</f>
        <v>0</v>
      </c>
      <c r="BC957" s="170">
        <f>IFERROR(MAX(BA957:BA1006), "")</f>
        <v>0</v>
      </c>
      <c r="BD957" s="184" t="str">
        <f>IFERROR(VLOOKUP(BB957, tabla04, 2, 0), "")</f>
        <v/>
      </c>
      <c r="BE957" s="184" t="str">
        <f>IFERROR(VLOOKUP(BC957, tabla04, 3, 0), "")</f>
        <v/>
      </c>
      <c r="BF957" s="158" t="str">
        <f>IFERROR(VLOOKUP(CONCATENATE(AY957, "-", BA957), cuadrante_sev, 3, 0), "")</f>
        <v/>
      </c>
      <c r="BG957" s="190" t="str">
        <f>IFERROR(VLOOKUP(CONCATENATE(BB957, "-", BC957), cuadrante_sev, 3, 0), "")</f>
        <v/>
      </c>
    </row>
    <row r="958" spans="1:59" x14ac:dyDescent="0.25">
      <c r="A958" s="167"/>
      <c r="B958" s="167"/>
      <c r="C958" s="161"/>
      <c r="D958" s="160"/>
      <c r="E958" s="162"/>
      <c r="F958" s="164"/>
      <c r="G958" s="161"/>
      <c r="H958" s="161"/>
      <c r="I958" s="161"/>
      <c r="J958" s="161"/>
      <c r="K958" s="161"/>
      <c r="L958" s="166"/>
      <c r="M958" s="166"/>
      <c r="N958" s="166"/>
      <c r="O958" s="166"/>
      <c r="P958" s="166"/>
      <c r="Q958" s="166"/>
      <c r="R958" s="166"/>
      <c r="S958" s="167"/>
      <c r="T958" s="167"/>
      <c r="U958" s="167"/>
      <c r="V958" s="167"/>
      <c r="W958" s="167"/>
      <c r="X958" s="164"/>
      <c r="Y958" s="164"/>
      <c r="Z958" s="172"/>
      <c r="AA958" s="188"/>
      <c r="AB958" s="172"/>
      <c r="AC958" s="172"/>
      <c r="AD958" s="175"/>
      <c r="AE958" s="62" t="s">
        <v>114</v>
      </c>
      <c r="AF958" s="133"/>
      <c r="AG958" s="65"/>
      <c r="AH958" s="64"/>
      <c r="AI958" s="64"/>
      <c r="AJ958" s="64"/>
      <c r="AK958" s="64"/>
      <c r="AL958" s="64"/>
      <c r="AM958" s="80" t="str">
        <f>IFERROR((Tablas!$C$1*VLOOKUP(AH958, tipo_control, 2, 0)+Tablas!$E$1*VLOOKUP(AI958, nat_control, 2, 0)+Tablas!$G$1*VLOOKUP(AJ958, ev_control, 2, 0)+Tablas!$I$1*VLOOKUP(AK958, frec_control, 2, 0)+Tablas!$K$1*VLOOKUP(AL958, doc_control, 2, 0))*0.1*peso_dis, "")</f>
        <v/>
      </c>
      <c r="AN958" s="64"/>
      <c r="AO958" s="64"/>
      <c r="AP958" s="64"/>
      <c r="AQ958" s="80" t="str">
        <f>IFERROR((Tablas!$C$9*VLOOKUP(AN958, amb_control, 2, 0)+Tablas!$E$9*VLOOKUP(AO958, ejec_control, 2, 0)+Tablas!$G$9*VLOOKUP(AP958, cub_control, 2, 0))*0.1*peso_ejec, "")</f>
        <v/>
      </c>
      <c r="AR958" s="91" t="str">
        <f t="shared" ref="AR958:AR1006" si="1672">IFERROR(AM958+AQ958, "")</f>
        <v/>
      </c>
      <c r="AS958" s="87" t="str">
        <f t="shared" si="1591"/>
        <v/>
      </c>
      <c r="AT958" s="85" t="str">
        <f t="shared" si="1592"/>
        <v/>
      </c>
      <c r="AU958" s="85" t="str">
        <f>IF(AR958&lt;Tablas!$G$19, 0, IF(AND(AR958&gt;=Tablas!$G$19, AR958&lt;Tablas!$G$20), 1,  IF(AND(AR958&gt;=Tablas!$G$20, AR958&lt;Tablas!$G$21), 2,  IF(AND(AR958&gt;=Tablas!$G$21, AR958&lt;=Tablas!$G$22), 3,  ""))))</f>
        <v/>
      </c>
      <c r="AV958" s="85" t="str">
        <f t="shared" ref="AV958:AV1006" si="1673">IF(AS958="Sí",AU958,"")</f>
        <v/>
      </c>
      <c r="AW958" s="101" t="str">
        <f t="shared" ref="AW958:AW1006" si="1674">IF(AT958="Sí",AU958,"")</f>
        <v/>
      </c>
      <c r="AX958" s="177"/>
      <c r="AY958" s="169"/>
      <c r="AZ958" s="158"/>
      <c r="BA958" s="169"/>
      <c r="BB958" s="182"/>
      <c r="BC958" s="182"/>
      <c r="BD958" s="185"/>
      <c r="BE958" s="185"/>
      <c r="BF958" s="158"/>
      <c r="BG958" s="191"/>
    </row>
    <row r="959" spans="1:59" x14ac:dyDescent="0.25">
      <c r="A959" s="167"/>
      <c r="B959" s="167"/>
      <c r="C959" s="161"/>
      <c r="D959" s="160"/>
      <c r="E959" s="162"/>
      <c r="F959" s="164"/>
      <c r="G959" s="161"/>
      <c r="H959" s="161"/>
      <c r="I959" s="161"/>
      <c r="J959" s="161"/>
      <c r="K959" s="161"/>
      <c r="L959" s="166"/>
      <c r="M959" s="166"/>
      <c r="N959" s="166"/>
      <c r="O959" s="166"/>
      <c r="P959" s="166"/>
      <c r="Q959" s="166"/>
      <c r="R959" s="166"/>
      <c r="S959" s="167"/>
      <c r="T959" s="167"/>
      <c r="U959" s="167"/>
      <c r="V959" s="167"/>
      <c r="W959" s="167"/>
      <c r="X959" s="164"/>
      <c r="Y959" s="164"/>
      <c r="Z959" s="172"/>
      <c r="AA959" s="188"/>
      <c r="AB959" s="172"/>
      <c r="AC959" s="172"/>
      <c r="AD959" s="175"/>
      <c r="AE959" s="62" t="s">
        <v>115</v>
      </c>
      <c r="AF959" s="133"/>
      <c r="AG959" s="65"/>
      <c r="AH959" s="64"/>
      <c r="AI959" s="64"/>
      <c r="AJ959" s="64"/>
      <c r="AK959" s="64"/>
      <c r="AL959" s="64"/>
      <c r="AM959" s="80" t="str">
        <f>IFERROR((Tablas!$C$1*VLOOKUP(AH959, tipo_control, 2, 0)+Tablas!$E$1*VLOOKUP(AI959, nat_control, 2, 0)+Tablas!$G$1*VLOOKUP(AJ959, ev_control, 2, 0)+Tablas!$I$1*VLOOKUP(AK959, frec_control, 2, 0)+Tablas!$K$1*VLOOKUP(AL959, doc_control, 2, 0))*0.1*peso_dis, "")</f>
        <v/>
      </c>
      <c r="AN959" s="64"/>
      <c r="AO959" s="64"/>
      <c r="AP959" s="64"/>
      <c r="AQ959" s="80" t="str">
        <f>IFERROR((Tablas!$C$9*VLOOKUP(AN959, amb_control, 2, 0)+Tablas!$E$9*VLOOKUP(AO959, ejec_control, 2, 0)+Tablas!$G$9*VLOOKUP(AP959, cub_control, 2, 0))*0.1*peso_ejec, "")</f>
        <v/>
      </c>
      <c r="AR959" s="91" t="str">
        <f t="shared" si="1672"/>
        <v/>
      </c>
      <c r="AS959" s="87" t="str">
        <f t="shared" si="1591"/>
        <v/>
      </c>
      <c r="AT959" s="85" t="str">
        <f t="shared" si="1592"/>
        <v/>
      </c>
      <c r="AU959" s="85" t="str">
        <f>IF(AR959&lt;Tablas!$G$19, 0, IF(AND(AR959&gt;=Tablas!$G$19, AR959&lt;Tablas!$G$20), 1,  IF(AND(AR959&gt;=Tablas!$G$20, AR959&lt;Tablas!$G$21), 2,  IF(AND(AR959&gt;=Tablas!$G$21, AR959&lt;=Tablas!$G$22), 3,  ""))))</f>
        <v/>
      </c>
      <c r="AV959" s="85" t="str">
        <f t="shared" si="1673"/>
        <v/>
      </c>
      <c r="AW959" s="101" t="str">
        <f t="shared" si="1674"/>
        <v/>
      </c>
      <c r="AX959" s="177"/>
      <c r="AY959" s="169"/>
      <c r="AZ959" s="158"/>
      <c r="BA959" s="169"/>
      <c r="BB959" s="182"/>
      <c r="BC959" s="182"/>
      <c r="BD959" s="185"/>
      <c r="BE959" s="185"/>
      <c r="BF959" s="158"/>
      <c r="BG959" s="191"/>
    </row>
    <row r="960" spans="1:59" x14ac:dyDescent="0.25">
      <c r="A960" s="167"/>
      <c r="B960" s="167"/>
      <c r="C960" s="161"/>
      <c r="D960" s="160"/>
      <c r="E960" s="162"/>
      <c r="F960" s="164"/>
      <c r="G960" s="161"/>
      <c r="H960" s="161"/>
      <c r="I960" s="161"/>
      <c r="J960" s="161"/>
      <c r="K960" s="161"/>
      <c r="L960" s="166"/>
      <c r="M960" s="166"/>
      <c r="N960" s="166"/>
      <c r="O960" s="166"/>
      <c r="P960" s="166"/>
      <c r="Q960" s="166"/>
      <c r="R960" s="166"/>
      <c r="S960" s="167"/>
      <c r="T960" s="167"/>
      <c r="U960" s="167"/>
      <c r="V960" s="167"/>
      <c r="W960" s="167"/>
      <c r="X960" s="164"/>
      <c r="Y960" s="164"/>
      <c r="Z960" s="172"/>
      <c r="AA960" s="188"/>
      <c r="AB960" s="172"/>
      <c r="AC960" s="172"/>
      <c r="AD960" s="175"/>
      <c r="AE960" s="62" t="s">
        <v>153</v>
      </c>
      <c r="AF960" s="133"/>
      <c r="AG960" s="65"/>
      <c r="AH960" s="64"/>
      <c r="AI960" s="64"/>
      <c r="AJ960" s="64"/>
      <c r="AK960" s="64"/>
      <c r="AL960" s="64"/>
      <c r="AM960" s="80" t="str">
        <f>IFERROR((Tablas!$C$1*VLOOKUP(AH960, tipo_control, 2, 0)+Tablas!$E$1*VLOOKUP(AI960, nat_control, 2, 0)+Tablas!$G$1*VLOOKUP(AJ960, ev_control, 2, 0)+Tablas!$I$1*VLOOKUP(AK960, frec_control, 2, 0)+Tablas!$K$1*VLOOKUP(AL960, doc_control, 2, 0))*0.1*peso_dis, "")</f>
        <v/>
      </c>
      <c r="AN960" s="64"/>
      <c r="AO960" s="64"/>
      <c r="AP960" s="64"/>
      <c r="AQ960" s="80" t="str">
        <f>IFERROR((Tablas!$C$9*VLOOKUP(AN960, amb_control, 2, 0)+Tablas!$E$9*VLOOKUP(AO960, ejec_control, 2, 0)+Tablas!$G$9*VLOOKUP(AP960, cub_control, 2, 0))*0.1*peso_ejec, "")</f>
        <v/>
      </c>
      <c r="AR960" s="91" t="str">
        <f t="shared" si="1672"/>
        <v/>
      </c>
      <c r="AS960" s="87" t="str">
        <f t="shared" si="1591"/>
        <v/>
      </c>
      <c r="AT960" s="85" t="str">
        <f t="shared" si="1592"/>
        <v/>
      </c>
      <c r="AU960" s="85" t="str">
        <f>IF(AR960&lt;Tablas!$G$19, 0, IF(AND(AR960&gt;=Tablas!$G$19, AR960&lt;Tablas!$G$20), 1,  IF(AND(AR960&gt;=Tablas!$G$20, AR960&lt;Tablas!$G$21), 2,  IF(AND(AR960&gt;=Tablas!$G$21, AR960&lt;=Tablas!$G$22), 3,  ""))))</f>
        <v/>
      </c>
      <c r="AV960" s="85" t="str">
        <f t="shared" si="1673"/>
        <v/>
      </c>
      <c r="AW960" s="101" t="str">
        <f t="shared" si="1674"/>
        <v/>
      </c>
      <c r="AX960" s="177"/>
      <c r="AY960" s="169"/>
      <c r="AZ960" s="158"/>
      <c r="BA960" s="169"/>
      <c r="BB960" s="182"/>
      <c r="BC960" s="182"/>
      <c r="BD960" s="185"/>
      <c r="BE960" s="185"/>
      <c r="BF960" s="158"/>
      <c r="BG960" s="191"/>
    </row>
    <row r="961" spans="1:59" ht="15.75" thickBot="1" x14ac:dyDescent="0.3">
      <c r="A961" s="167"/>
      <c r="B961" s="167"/>
      <c r="C961" s="161"/>
      <c r="D961" s="160"/>
      <c r="E961" s="162"/>
      <c r="F961" s="165"/>
      <c r="G961" s="161"/>
      <c r="H961" s="161"/>
      <c r="I961" s="161"/>
      <c r="J961" s="161"/>
      <c r="K961" s="161"/>
      <c r="L961" s="166"/>
      <c r="M961" s="166"/>
      <c r="N961" s="166"/>
      <c r="O961" s="166"/>
      <c r="P961" s="166"/>
      <c r="Q961" s="166"/>
      <c r="R961" s="166"/>
      <c r="S961" s="149"/>
      <c r="T961" s="149"/>
      <c r="U961" s="149"/>
      <c r="V961" s="149"/>
      <c r="W961" s="149"/>
      <c r="X961" s="165"/>
      <c r="Y961" s="165"/>
      <c r="Z961" s="172"/>
      <c r="AA961" s="188"/>
      <c r="AB961" s="172"/>
      <c r="AC961" s="172"/>
      <c r="AD961" s="175"/>
      <c r="AE961" s="66" t="s">
        <v>154</v>
      </c>
      <c r="AF961" s="134"/>
      <c r="AG961" s="67"/>
      <c r="AH961" s="69"/>
      <c r="AI961" s="69"/>
      <c r="AJ961" s="69"/>
      <c r="AK961" s="69"/>
      <c r="AL961" s="69"/>
      <c r="AM961" s="81" t="str">
        <f>IFERROR((Tablas!$C$1*VLOOKUP(AH961, tipo_control, 2, 0)+Tablas!$E$1*VLOOKUP(AI961, nat_control, 2, 0)+Tablas!$G$1*VLOOKUP(AJ961, ev_control, 2, 0)+Tablas!$I$1*VLOOKUP(AK961, frec_control, 2, 0)+Tablas!$K$1*VLOOKUP(AL961, doc_control, 2, 0))*0.1*peso_dis, "")</f>
        <v/>
      </c>
      <c r="AN961" s="69"/>
      <c r="AO961" s="69"/>
      <c r="AP961" s="69"/>
      <c r="AQ961" s="81" t="str">
        <f>IFERROR((Tablas!$C$9*VLOOKUP(AN961, amb_control, 2, 0)+Tablas!$E$9*VLOOKUP(AO961, ejec_control, 2, 0)+Tablas!$G$9*VLOOKUP(AP961, cub_control, 2, 0))*0.1*peso_ejec, "")</f>
        <v/>
      </c>
      <c r="AR961" s="93" t="str">
        <f t="shared" si="1672"/>
        <v/>
      </c>
      <c r="AS961" s="87" t="str">
        <f t="shared" si="1591"/>
        <v/>
      </c>
      <c r="AT961" s="94" t="str">
        <f t="shared" si="1592"/>
        <v/>
      </c>
      <c r="AU961" s="94" t="str">
        <f>IF(AR961&lt;Tablas!$G$19, 0, IF(AND(AR961&gt;=Tablas!$G$19, AR961&lt;Tablas!$G$20), 1,  IF(AND(AR961&gt;=Tablas!$G$20, AR961&lt;Tablas!$G$21), 2,  IF(AND(AR961&gt;=Tablas!$G$21, AR961&lt;=Tablas!$G$22), 3,  ""))))</f>
        <v/>
      </c>
      <c r="AV961" s="94" t="str">
        <f t="shared" si="1673"/>
        <v/>
      </c>
      <c r="AW961" s="102" t="str">
        <f t="shared" si="1674"/>
        <v/>
      </c>
      <c r="AX961" s="157"/>
      <c r="AY961" s="170"/>
      <c r="AZ961" s="179"/>
      <c r="BA961" s="170"/>
      <c r="BB961" s="182"/>
      <c r="BC961" s="182"/>
      <c r="BD961" s="185"/>
      <c r="BE961" s="185"/>
      <c r="BF961" s="159"/>
      <c r="BG961" s="191"/>
    </row>
    <row r="962" spans="1:59" x14ac:dyDescent="0.25">
      <c r="A962" s="167"/>
      <c r="B962" s="167"/>
      <c r="C962" s="161" t="s">
        <v>15</v>
      </c>
      <c r="D962" s="160" t="s">
        <v>158</v>
      </c>
      <c r="E962" s="162"/>
      <c r="F962" s="163" t="str">
        <f t="shared" si="1593"/>
        <v/>
      </c>
      <c r="G962" s="149"/>
      <c r="H962" s="149"/>
      <c r="I962" s="149"/>
      <c r="J962" s="149"/>
      <c r="K962" s="149"/>
      <c r="L962" s="165" t="str">
        <f>IFERROR(VLOOKUP(G962, tabla02, 2, 0), "")</f>
        <v/>
      </c>
      <c r="M962" s="165" t="str">
        <f>IFERROR(VLOOKUP(H962, tabla02, 2, 0), "")</f>
        <v/>
      </c>
      <c r="N962" s="165" t="str">
        <f>IFERROR(VLOOKUP(I962, tabla02, 2, 0), "")</f>
        <v/>
      </c>
      <c r="O962" s="165" t="str">
        <f>IFERROR(VLOOKUP(J962, tabla02, 2, 0), "")</f>
        <v/>
      </c>
      <c r="P962" s="165" t="str">
        <f>IFERROR(VLOOKUP(K962, tabla02, 2, 0), "")</f>
        <v/>
      </c>
      <c r="Q962" s="165" t="str">
        <f t="shared" ref="Q962" si="1675">IF(SUM(L962:O966)=0, "", MAX(L962:P962))</f>
        <v/>
      </c>
      <c r="R962" s="165" t="str">
        <f>IFERROR(VLOOKUP(Q962, tabla04, 3, 0), "")</f>
        <v/>
      </c>
      <c r="S962" s="148"/>
      <c r="T962" s="148"/>
      <c r="U962" s="148"/>
      <c r="V962" s="148"/>
      <c r="W962" s="148"/>
      <c r="X962" s="163" t="str">
        <f>IFERROR(VLOOKUP(CONCATENATE(F962, "-", Q962), cuadrante_sev, 3, 0), "")</f>
        <v/>
      </c>
      <c r="Y962" s="163" t="str">
        <f t="shared" ref="Y962" si="1676">IFERROR(IF(X962="Baja", 1, IF(X962="Moderada", 2, IF(X962="Alta", 3, IF(X962="Extrema", 4, "")))), "")</f>
        <v/>
      </c>
      <c r="Z962" s="172"/>
      <c r="AA962" s="188"/>
      <c r="AB962" s="172"/>
      <c r="AC962" s="172"/>
      <c r="AD962" s="175"/>
      <c r="AE962" s="70" t="s">
        <v>113</v>
      </c>
      <c r="AF962" s="135"/>
      <c r="AG962" s="74"/>
      <c r="AH962" s="72"/>
      <c r="AI962" s="72"/>
      <c r="AJ962" s="72"/>
      <c r="AK962" s="72"/>
      <c r="AL962" s="72"/>
      <c r="AM962" s="82" t="str">
        <f>IFERROR((Tablas!$C$1*VLOOKUP(AH962, tipo_control, 2, 0)+Tablas!$E$1*VLOOKUP(AI962, nat_control, 2, 0)+Tablas!$G$1*VLOOKUP(AJ962, ev_control, 2, 0)+Tablas!$I$1*VLOOKUP(AK962, frec_control, 2, 0)+Tablas!$K$1*VLOOKUP(AL962, doc_control, 2, 0))*0.1*peso_dis, "")</f>
        <v/>
      </c>
      <c r="AN962" s="72"/>
      <c r="AO962" s="72"/>
      <c r="AP962" s="72"/>
      <c r="AQ962" s="82" t="str">
        <f>IFERROR((Tablas!$C$9*VLOOKUP(AN962, amb_control, 2, 0)+Tablas!$E$9*VLOOKUP(AO962, ejec_control, 2, 0)+Tablas!$G$9*VLOOKUP(AP962, cub_control, 2, 0))*0.1*peso_ejec, "")</f>
        <v/>
      </c>
      <c r="AR962" s="96" t="str">
        <f t="shared" si="1672"/>
        <v/>
      </c>
      <c r="AS962" s="97" t="str">
        <f t="shared" si="1591"/>
        <v/>
      </c>
      <c r="AT962" s="87" t="str">
        <f t="shared" si="1592"/>
        <v/>
      </c>
      <c r="AU962" s="97" t="str">
        <f>IF(AR962&lt;Tablas!$G$19, 0, IF(AND(AR962&gt;=Tablas!$G$19, AR962&lt;Tablas!$G$20), 1,  IF(AND(AR962&gt;=Tablas!$G$20, AR962&lt;Tablas!$G$21), 2,  IF(AND(AR962&gt;=Tablas!$G$21, AR962&lt;=Tablas!$G$22), 3,  ""))))</f>
        <v/>
      </c>
      <c r="AV962" s="97" t="str">
        <f t="shared" si="1673"/>
        <v/>
      </c>
      <c r="AW962" s="103" t="str">
        <f t="shared" si="1674"/>
        <v/>
      </c>
      <c r="AX962" s="176" t="str">
        <f t="shared" ref="AX962" si="1677">IFERROR(VLOOKUP(AY962, tabla04, 2, 0), "")</f>
        <v/>
      </c>
      <c r="AY962" s="168" t="str">
        <f>IF(F962="", "", IF((F962-MAX(AV962:AV966))&lt;=0, 1, F962-MAX(AV962:AV966)))</f>
        <v/>
      </c>
      <c r="AZ962" s="178" t="str">
        <f t="shared" ref="AZ962" si="1678">IFERROR(VLOOKUP(BA962, tabla04, 3, 0), "")</f>
        <v/>
      </c>
      <c r="BA962" s="168" t="str">
        <f>IF(Q962="", "", IF((Q962-MAX(AW962:AW966))&lt;=0, 1, Q962-MAX(AW962:AW966)))</f>
        <v/>
      </c>
      <c r="BB962" s="182"/>
      <c r="BC962" s="182"/>
      <c r="BD962" s="185"/>
      <c r="BE962" s="185"/>
      <c r="BF962" s="158" t="str">
        <f t="shared" ref="BF962:BF964" si="1679">IFERROR(VLOOKUP(CONCATENATE(AY962, "-", BA962), cuadrante_sev, 3, 0), "")</f>
        <v/>
      </c>
      <c r="BG962" s="191"/>
    </row>
    <row r="963" spans="1:59" x14ac:dyDescent="0.25">
      <c r="A963" s="167"/>
      <c r="B963" s="167"/>
      <c r="C963" s="161"/>
      <c r="D963" s="160"/>
      <c r="E963" s="162"/>
      <c r="F963" s="164"/>
      <c r="G963" s="161"/>
      <c r="H963" s="161"/>
      <c r="I963" s="161"/>
      <c r="J963" s="161"/>
      <c r="K963" s="161"/>
      <c r="L963" s="166"/>
      <c r="M963" s="166"/>
      <c r="N963" s="166"/>
      <c r="O963" s="166"/>
      <c r="P963" s="166"/>
      <c r="Q963" s="166"/>
      <c r="R963" s="166"/>
      <c r="S963" s="167"/>
      <c r="T963" s="167"/>
      <c r="U963" s="167"/>
      <c r="V963" s="167"/>
      <c r="W963" s="167"/>
      <c r="X963" s="164"/>
      <c r="Y963" s="164"/>
      <c r="Z963" s="172"/>
      <c r="AA963" s="188"/>
      <c r="AB963" s="172"/>
      <c r="AC963" s="172"/>
      <c r="AD963" s="175"/>
      <c r="AE963" s="62" t="s">
        <v>114</v>
      </c>
      <c r="AF963" s="133"/>
      <c r="AG963" s="65"/>
      <c r="AH963" s="64"/>
      <c r="AI963" s="64"/>
      <c r="AJ963" s="64"/>
      <c r="AK963" s="64"/>
      <c r="AL963" s="64"/>
      <c r="AM963" s="80" t="str">
        <f>IFERROR((Tablas!$C$1*VLOOKUP(AH963, tipo_control, 2, 0)+Tablas!$E$1*VLOOKUP(AI963, nat_control, 2, 0)+Tablas!$G$1*VLOOKUP(AJ963, ev_control, 2, 0)+Tablas!$I$1*VLOOKUP(AK963, frec_control, 2, 0)+Tablas!$K$1*VLOOKUP(AL963, doc_control, 2, 0))*0.1*peso_dis, "")</f>
        <v/>
      </c>
      <c r="AN963" s="64"/>
      <c r="AO963" s="64"/>
      <c r="AP963" s="64"/>
      <c r="AQ963" s="80" t="str">
        <f>IFERROR((Tablas!$C$9*VLOOKUP(AN963, amb_control, 2, 0)+Tablas!$E$9*VLOOKUP(AO963, ejec_control, 2, 0)+Tablas!$G$9*VLOOKUP(AP963, cub_control, 2, 0))*0.1*peso_ejec, "")</f>
        <v/>
      </c>
      <c r="AR963" s="91" t="str">
        <f t="shared" si="1672"/>
        <v/>
      </c>
      <c r="AS963" s="85" t="str">
        <f t="shared" si="1591"/>
        <v/>
      </c>
      <c r="AT963" s="85" t="str">
        <f t="shared" si="1592"/>
        <v/>
      </c>
      <c r="AU963" s="85" t="str">
        <f>IF(AR963&lt;Tablas!$G$19, 0, IF(AND(AR963&gt;=Tablas!$G$19, AR963&lt;Tablas!$G$20), 1,  IF(AND(AR963&gt;=Tablas!$G$20, AR963&lt;Tablas!$G$21), 2,  IF(AND(AR963&gt;=Tablas!$G$21, AR963&lt;=Tablas!$G$22), 3,  ""))))</f>
        <v/>
      </c>
      <c r="AV963" s="85" t="str">
        <f t="shared" si="1673"/>
        <v/>
      </c>
      <c r="AW963" s="101" t="str">
        <f t="shared" si="1674"/>
        <v/>
      </c>
      <c r="AX963" s="177"/>
      <c r="AY963" s="169"/>
      <c r="AZ963" s="158"/>
      <c r="BA963" s="169"/>
      <c r="BB963" s="182"/>
      <c r="BC963" s="182"/>
      <c r="BD963" s="185"/>
      <c r="BE963" s="185"/>
      <c r="BF963" s="158" t="str">
        <f t="shared" si="1679"/>
        <v/>
      </c>
      <c r="BG963" s="191"/>
    </row>
    <row r="964" spans="1:59" x14ac:dyDescent="0.25">
      <c r="A964" s="167"/>
      <c r="B964" s="167"/>
      <c r="C964" s="161"/>
      <c r="D964" s="160"/>
      <c r="E964" s="162"/>
      <c r="F964" s="164"/>
      <c r="G964" s="161"/>
      <c r="H964" s="161"/>
      <c r="I964" s="161"/>
      <c r="J964" s="161"/>
      <c r="K964" s="161"/>
      <c r="L964" s="166"/>
      <c r="M964" s="166"/>
      <c r="N964" s="166"/>
      <c r="O964" s="166"/>
      <c r="P964" s="166"/>
      <c r="Q964" s="166"/>
      <c r="R964" s="166"/>
      <c r="S964" s="167"/>
      <c r="T964" s="167"/>
      <c r="U964" s="167"/>
      <c r="V964" s="167"/>
      <c r="W964" s="167"/>
      <c r="X964" s="164"/>
      <c r="Y964" s="164"/>
      <c r="Z964" s="172"/>
      <c r="AA964" s="188"/>
      <c r="AB964" s="172"/>
      <c r="AC964" s="172"/>
      <c r="AD964" s="175"/>
      <c r="AE964" s="62" t="s">
        <v>115</v>
      </c>
      <c r="AF964" s="133"/>
      <c r="AG964" s="65"/>
      <c r="AH964" s="64"/>
      <c r="AI964" s="64"/>
      <c r="AJ964" s="64"/>
      <c r="AK964" s="64"/>
      <c r="AL964" s="64"/>
      <c r="AM964" s="80" t="str">
        <f>IFERROR((Tablas!$C$1*VLOOKUP(AH964, tipo_control, 2, 0)+Tablas!$E$1*VLOOKUP(AI964, nat_control, 2, 0)+Tablas!$G$1*VLOOKUP(AJ964, ev_control, 2, 0)+Tablas!$I$1*VLOOKUP(AK964, frec_control, 2, 0)+Tablas!$K$1*VLOOKUP(AL964, doc_control, 2, 0))*0.1*peso_dis, "")</f>
        <v/>
      </c>
      <c r="AN964" s="64"/>
      <c r="AO964" s="64"/>
      <c r="AP964" s="64"/>
      <c r="AQ964" s="80" t="str">
        <f>IFERROR((Tablas!$C$9*VLOOKUP(AN964, amb_control, 2, 0)+Tablas!$E$9*VLOOKUP(AO964, ejec_control, 2, 0)+Tablas!$G$9*VLOOKUP(AP964, cub_control, 2, 0))*0.1*peso_ejec, "")</f>
        <v/>
      </c>
      <c r="AR964" s="91" t="str">
        <f t="shared" si="1672"/>
        <v/>
      </c>
      <c r="AS964" s="85" t="str">
        <f t="shared" si="1591"/>
        <v/>
      </c>
      <c r="AT964" s="85" t="str">
        <f t="shared" si="1592"/>
        <v/>
      </c>
      <c r="AU964" s="85" t="str">
        <f>IF(AR964&lt;Tablas!$G$19, 0, IF(AND(AR964&gt;=Tablas!$G$19, AR964&lt;Tablas!$G$20), 1,  IF(AND(AR964&gt;=Tablas!$G$20, AR964&lt;Tablas!$G$21), 2,  IF(AND(AR964&gt;=Tablas!$G$21, AR964&lt;=Tablas!$G$22), 3,  ""))))</f>
        <v/>
      </c>
      <c r="AV964" s="85" t="str">
        <f t="shared" si="1673"/>
        <v/>
      </c>
      <c r="AW964" s="101" t="str">
        <f t="shared" si="1674"/>
        <v/>
      </c>
      <c r="AX964" s="177"/>
      <c r="AY964" s="169"/>
      <c r="AZ964" s="158"/>
      <c r="BA964" s="169"/>
      <c r="BB964" s="182"/>
      <c r="BC964" s="182"/>
      <c r="BD964" s="185"/>
      <c r="BE964" s="185"/>
      <c r="BF964" s="158" t="str">
        <f t="shared" si="1679"/>
        <v/>
      </c>
      <c r="BG964" s="191"/>
    </row>
    <row r="965" spans="1:59" x14ac:dyDescent="0.25">
      <c r="A965" s="167"/>
      <c r="B965" s="167"/>
      <c r="C965" s="161"/>
      <c r="D965" s="160"/>
      <c r="E965" s="162"/>
      <c r="F965" s="164"/>
      <c r="G965" s="161"/>
      <c r="H965" s="161"/>
      <c r="I965" s="161"/>
      <c r="J965" s="161"/>
      <c r="K965" s="161"/>
      <c r="L965" s="166"/>
      <c r="M965" s="166"/>
      <c r="N965" s="166"/>
      <c r="O965" s="166"/>
      <c r="P965" s="166"/>
      <c r="Q965" s="166"/>
      <c r="R965" s="166"/>
      <c r="S965" s="167"/>
      <c r="T965" s="167"/>
      <c r="U965" s="167"/>
      <c r="V965" s="167"/>
      <c r="W965" s="167"/>
      <c r="X965" s="164"/>
      <c r="Y965" s="164"/>
      <c r="Z965" s="172"/>
      <c r="AA965" s="188"/>
      <c r="AB965" s="172"/>
      <c r="AC965" s="172"/>
      <c r="AD965" s="175"/>
      <c r="AE965" s="62" t="s">
        <v>153</v>
      </c>
      <c r="AF965" s="133"/>
      <c r="AG965" s="65"/>
      <c r="AH965" s="64"/>
      <c r="AI965" s="64"/>
      <c r="AJ965" s="64"/>
      <c r="AK965" s="64"/>
      <c r="AL965" s="64"/>
      <c r="AM965" s="80" t="str">
        <f>IFERROR((Tablas!$C$1*VLOOKUP(AH965, tipo_control, 2, 0)+Tablas!$E$1*VLOOKUP(AI965, nat_control, 2, 0)+Tablas!$G$1*VLOOKUP(AJ965, ev_control, 2, 0)+Tablas!$I$1*VLOOKUP(AK965, frec_control, 2, 0)+Tablas!$K$1*VLOOKUP(AL965, doc_control, 2, 0))*0.1*peso_dis, "")</f>
        <v/>
      </c>
      <c r="AN965" s="64"/>
      <c r="AO965" s="64"/>
      <c r="AP965" s="64"/>
      <c r="AQ965" s="80" t="str">
        <f>IFERROR((Tablas!$C$9*VLOOKUP(AN965, amb_control, 2, 0)+Tablas!$E$9*VLOOKUP(AO965, ejec_control, 2, 0)+Tablas!$G$9*VLOOKUP(AP965, cub_control, 2, 0))*0.1*peso_ejec, "")</f>
        <v/>
      </c>
      <c r="AR965" s="91" t="str">
        <f t="shared" si="1672"/>
        <v/>
      </c>
      <c r="AS965" s="85" t="str">
        <f t="shared" si="1591"/>
        <v/>
      </c>
      <c r="AT965" s="85" t="str">
        <f t="shared" si="1592"/>
        <v/>
      </c>
      <c r="AU965" s="85" t="str">
        <f>IF(AR965&lt;Tablas!$G$19, 0, IF(AND(AR965&gt;=Tablas!$G$19, AR965&lt;Tablas!$G$20), 1,  IF(AND(AR965&gt;=Tablas!$G$20, AR965&lt;Tablas!$G$21), 2,  IF(AND(AR965&gt;=Tablas!$G$21, AR965&lt;=Tablas!$G$22), 3,  ""))))</f>
        <v/>
      </c>
      <c r="AV965" s="85" t="str">
        <f t="shared" si="1673"/>
        <v/>
      </c>
      <c r="AW965" s="101" t="str">
        <f t="shared" si="1674"/>
        <v/>
      </c>
      <c r="AX965" s="177"/>
      <c r="AY965" s="169"/>
      <c r="AZ965" s="158"/>
      <c r="BA965" s="169"/>
      <c r="BB965" s="182"/>
      <c r="BC965" s="182"/>
      <c r="BD965" s="185"/>
      <c r="BE965" s="185"/>
      <c r="BF965" s="158"/>
      <c r="BG965" s="191"/>
    </row>
    <row r="966" spans="1:59" ht="15.75" thickBot="1" x14ac:dyDescent="0.3">
      <c r="A966" s="167"/>
      <c r="B966" s="167"/>
      <c r="C966" s="161"/>
      <c r="D966" s="160"/>
      <c r="E966" s="162"/>
      <c r="F966" s="165"/>
      <c r="G966" s="161"/>
      <c r="H966" s="161"/>
      <c r="I966" s="161"/>
      <c r="J966" s="161"/>
      <c r="K966" s="161"/>
      <c r="L966" s="166"/>
      <c r="M966" s="166"/>
      <c r="N966" s="166"/>
      <c r="O966" s="166"/>
      <c r="P966" s="166"/>
      <c r="Q966" s="166"/>
      <c r="R966" s="166"/>
      <c r="S966" s="149"/>
      <c r="T966" s="149"/>
      <c r="U966" s="149"/>
      <c r="V966" s="149"/>
      <c r="W966" s="149"/>
      <c r="X966" s="165"/>
      <c r="Y966" s="165"/>
      <c r="Z966" s="172"/>
      <c r="AA966" s="188"/>
      <c r="AB966" s="172"/>
      <c r="AC966" s="172"/>
      <c r="AD966" s="175"/>
      <c r="AE966" s="66" t="s">
        <v>154</v>
      </c>
      <c r="AF966" s="134"/>
      <c r="AG966" s="67"/>
      <c r="AH966" s="69"/>
      <c r="AI966" s="69"/>
      <c r="AJ966" s="69"/>
      <c r="AK966" s="69"/>
      <c r="AL966" s="69"/>
      <c r="AM966" s="81" t="str">
        <f>IFERROR((Tablas!$C$1*VLOOKUP(AH966, tipo_control, 2, 0)+Tablas!$E$1*VLOOKUP(AI966, nat_control, 2, 0)+Tablas!$G$1*VLOOKUP(AJ966, ev_control, 2, 0)+Tablas!$I$1*VLOOKUP(AK966, frec_control, 2, 0)+Tablas!$K$1*VLOOKUP(AL966, doc_control, 2, 0))*0.1*peso_dis, "")</f>
        <v/>
      </c>
      <c r="AN966" s="69"/>
      <c r="AO966" s="69"/>
      <c r="AP966" s="69"/>
      <c r="AQ966" s="81" t="str">
        <f>IFERROR((Tablas!$C$9*VLOOKUP(AN966, amb_control, 2, 0)+Tablas!$E$9*VLOOKUP(AO966, ejec_control, 2, 0)+Tablas!$G$9*VLOOKUP(AP966, cub_control, 2, 0))*0.1*peso_ejec, "")</f>
        <v/>
      </c>
      <c r="AR966" s="93" t="str">
        <f t="shared" si="1672"/>
        <v/>
      </c>
      <c r="AS966" s="94" t="str">
        <f t="shared" si="1591"/>
        <v/>
      </c>
      <c r="AT966" s="94" t="str">
        <f t="shared" si="1592"/>
        <v/>
      </c>
      <c r="AU966" s="94" t="str">
        <f>IF(AR966&lt;Tablas!$G$19, 0, IF(AND(AR966&gt;=Tablas!$G$19, AR966&lt;Tablas!$G$20), 1,  IF(AND(AR966&gt;=Tablas!$G$20, AR966&lt;Tablas!$G$21), 2,  IF(AND(AR966&gt;=Tablas!$G$21, AR966&lt;=Tablas!$G$22), 3,  ""))))</f>
        <v/>
      </c>
      <c r="AV966" s="94" t="str">
        <f t="shared" si="1673"/>
        <v/>
      </c>
      <c r="AW966" s="102" t="str">
        <f t="shared" si="1674"/>
        <v/>
      </c>
      <c r="AX966" s="157"/>
      <c r="AY966" s="170"/>
      <c r="AZ966" s="179"/>
      <c r="BA966" s="170"/>
      <c r="BB966" s="182"/>
      <c r="BC966" s="182"/>
      <c r="BD966" s="185"/>
      <c r="BE966" s="185"/>
      <c r="BF966" s="159"/>
      <c r="BG966" s="191"/>
    </row>
    <row r="967" spans="1:59" x14ac:dyDescent="0.25">
      <c r="A967" s="167"/>
      <c r="B967" s="167"/>
      <c r="C967" s="161" t="s">
        <v>16</v>
      </c>
      <c r="D967" s="160" t="s">
        <v>158</v>
      </c>
      <c r="E967" s="162"/>
      <c r="F967" s="163" t="str">
        <f t="shared" si="1593"/>
        <v/>
      </c>
      <c r="G967" s="149"/>
      <c r="H967" s="149"/>
      <c r="I967" s="149"/>
      <c r="J967" s="149"/>
      <c r="K967" s="149"/>
      <c r="L967" s="165" t="str">
        <f>IFERROR(VLOOKUP(G967, tabla02, 2, 0), "")</f>
        <v/>
      </c>
      <c r="M967" s="165" t="str">
        <f>IFERROR(VLOOKUP(H967, tabla02, 2, 0), "")</f>
        <v/>
      </c>
      <c r="N967" s="165" t="str">
        <f>IFERROR(VLOOKUP(I967, tabla02, 2, 0), "")</f>
        <v/>
      </c>
      <c r="O967" s="165" t="str">
        <f>IFERROR(VLOOKUP(J967, tabla02, 2, 0), "")</f>
        <v/>
      </c>
      <c r="P967" s="165" t="str">
        <f>IFERROR(VLOOKUP(K967, tabla02, 2, 0), "")</f>
        <v/>
      </c>
      <c r="Q967" s="165" t="str">
        <f t="shared" ref="Q967" si="1680">IF(SUM(L967:O971)=0, "", MAX(L967:P967))</f>
        <v/>
      </c>
      <c r="R967" s="165" t="str">
        <f>IFERROR(VLOOKUP(Q967, tabla04, 3, 0), "")</f>
        <v/>
      </c>
      <c r="S967" s="148"/>
      <c r="T967" s="148"/>
      <c r="U967" s="148"/>
      <c r="V967" s="148"/>
      <c r="W967" s="148"/>
      <c r="X967" s="163" t="str">
        <f>IFERROR(VLOOKUP(CONCATENATE(F967, "-", Q967), cuadrante_sev, 3, 0), "")</f>
        <v/>
      </c>
      <c r="Y967" s="163" t="str">
        <f t="shared" ref="Y967" si="1681">IFERROR(IF(X967="Baja", 1, IF(X967="Moderada", 2, IF(X967="Alta", 3, IF(X967="Extrema", 4, "")))), "")</f>
        <v/>
      </c>
      <c r="Z967" s="172"/>
      <c r="AA967" s="188"/>
      <c r="AB967" s="172"/>
      <c r="AC967" s="172"/>
      <c r="AD967" s="175"/>
      <c r="AE967" s="70" t="s">
        <v>113</v>
      </c>
      <c r="AF967" s="135"/>
      <c r="AG967" s="77"/>
      <c r="AH967" s="61"/>
      <c r="AI967" s="61"/>
      <c r="AJ967" s="61"/>
      <c r="AK967" s="61"/>
      <c r="AL967" s="61"/>
      <c r="AM967" s="82" t="str">
        <f>IFERROR((Tablas!$C$1*VLOOKUP(AH967, tipo_control, 2, 0)+Tablas!$E$1*VLOOKUP(AI967, nat_control, 2, 0)+Tablas!$G$1*VLOOKUP(AJ967, ev_control, 2, 0)+Tablas!$I$1*VLOOKUP(AK967, frec_control, 2, 0)+Tablas!$K$1*VLOOKUP(AL967, doc_control, 2, 0))*0.1*peso_dis, "")</f>
        <v/>
      </c>
      <c r="AN967" s="61"/>
      <c r="AO967" s="61"/>
      <c r="AP967" s="61"/>
      <c r="AQ967" s="82" t="str">
        <f>IFERROR((Tablas!$C$9*VLOOKUP(AN967, amb_control, 2, 0)+Tablas!$E$9*VLOOKUP(AO967, ejec_control, 2, 0)+Tablas!$G$9*VLOOKUP(AP967, cub_control, 2, 0))*0.1*peso_ejec, "")</f>
        <v/>
      </c>
      <c r="AR967" s="96" t="str">
        <f t="shared" si="1672"/>
        <v/>
      </c>
      <c r="AS967" s="97" t="str">
        <f t="shared" si="1591"/>
        <v/>
      </c>
      <c r="AT967" s="87" t="str">
        <f t="shared" si="1592"/>
        <v/>
      </c>
      <c r="AU967" s="97" t="str">
        <f>IF(AR967&lt;Tablas!$G$19, 0, IF(AND(AR967&gt;=Tablas!$G$19, AR967&lt;Tablas!$G$20), 1,  IF(AND(AR967&gt;=Tablas!$G$20, AR967&lt;Tablas!$G$21), 2,  IF(AND(AR967&gt;=Tablas!$G$21, AR967&lt;=Tablas!$G$22), 3,  ""))))</f>
        <v/>
      </c>
      <c r="AV967" s="97" t="str">
        <f t="shared" si="1673"/>
        <v/>
      </c>
      <c r="AW967" s="103" t="str">
        <f t="shared" si="1674"/>
        <v/>
      </c>
      <c r="AX967" s="176" t="str">
        <f t="shared" ref="AX967" si="1682">IFERROR(VLOOKUP(AY967, tabla04, 2, 0), "")</f>
        <v/>
      </c>
      <c r="AY967" s="168" t="str">
        <f>IF(F967="", "", IF((F967-MAX(AV967:AV971))&lt;=0, 1, F967-MAX(AV967:AV971)))</f>
        <v/>
      </c>
      <c r="AZ967" s="178" t="str">
        <f t="shared" ref="AZ967" si="1683">IFERROR(VLOOKUP(BA967, tabla04, 3, 0), "")</f>
        <v/>
      </c>
      <c r="BA967" s="168" t="str">
        <f>IF(Q967="", "", IF((Q967-MAX(AW967:AW971))&lt;=0, 1, Q967-MAX(AW967:AW971)))</f>
        <v/>
      </c>
      <c r="BB967" s="182"/>
      <c r="BC967" s="182"/>
      <c r="BD967" s="185"/>
      <c r="BE967" s="185"/>
      <c r="BF967" s="158" t="str">
        <f t="shared" ref="BF967:BF969" si="1684">IFERROR(VLOOKUP(CONCATENATE(AY967, "-", BA967), cuadrante_sev, 3, 0), "")</f>
        <v/>
      </c>
      <c r="BG967" s="191"/>
    </row>
    <row r="968" spans="1:59" x14ac:dyDescent="0.25">
      <c r="A968" s="167"/>
      <c r="B968" s="167"/>
      <c r="C968" s="161"/>
      <c r="D968" s="160"/>
      <c r="E968" s="162"/>
      <c r="F968" s="164"/>
      <c r="G968" s="161"/>
      <c r="H968" s="161"/>
      <c r="I968" s="161"/>
      <c r="J968" s="161"/>
      <c r="K968" s="161"/>
      <c r="L968" s="166"/>
      <c r="M968" s="166"/>
      <c r="N968" s="166"/>
      <c r="O968" s="166"/>
      <c r="P968" s="166"/>
      <c r="Q968" s="166"/>
      <c r="R968" s="166"/>
      <c r="S968" s="167"/>
      <c r="T968" s="167"/>
      <c r="U968" s="167"/>
      <c r="V968" s="167"/>
      <c r="W968" s="167"/>
      <c r="X968" s="164"/>
      <c r="Y968" s="164"/>
      <c r="Z968" s="172"/>
      <c r="AA968" s="188"/>
      <c r="AB968" s="172"/>
      <c r="AC968" s="172"/>
      <c r="AD968" s="175"/>
      <c r="AE968" s="62" t="s">
        <v>114</v>
      </c>
      <c r="AF968" s="133"/>
      <c r="AG968" s="65"/>
      <c r="AH968" s="64"/>
      <c r="AI968" s="64"/>
      <c r="AJ968" s="64"/>
      <c r="AK968" s="64"/>
      <c r="AL968" s="64"/>
      <c r="AM968" s="80" t="str">
        <f>IFERROR((Tablas!$C$1*VLOOKUP(AH968, tipo_control, 2, 0)+Tablas!$E$1*VLOOKUP(AI968, nat_control, 2, 0)+Tablas!$G$1*VLOOKUP(AJ968, ev_control, 2, 0)+Tablas!$I$1*VLOOKUP(AK968, frec_control, 2, 0)+Tablas!$K$1*VLOOKUP(AL968, doc_control, 2, 0))*0.1*peso_dis, "")</f>
        <v/>
      </c>
      <c r="AN968" s="64"/>
      <c r="AO968" s="64"/>
      <c r="AP968" s="64"/>
      <c r="AQ968" s="80" t="str">
        <f>IFERROR((Tablas!$C$9*VLOOKUP(AN968, amb_control, 2, 0)+Tablas!$E$9*VLOOKUP(AO968, ejec_control, 2, 0)+Tablas!$G$9*VLOOKUP(AP968, cub_control, 2, 0))*0.1*peso_ejec, "")</f>
        <v/>
      </c>
      <c r="AR968" s="91" t="str">
        <f t="shared" si="1672"/>
        <v/>
      </c>
      <c r="AS968" s="85" t="str">
        <f t="shared" si="1591"/>
        <v/>
      </c>
      <c r="AT968" s="85" t="str">
        <f t="shared" si="1592"/>
        <v/>
      </c>
      <c r="AU968" s="85" t="str">
        <f>IF(AR968&lt;Tablas!$G$19, 0, IF(AND(AR968&gt;=Tablas!$G$19, AR968&lt;Tablas!$G$20), 1,  IF(AND(AR968&gt;=Tablas!$G$20, AR968&lt;Tablas!$G$21), 2,  IF(AND(AR968&gt;=Tablas!$G$21, AR968&lt;=Tablas!$G$22), 3,  ""))))</f>
        <v/>
      </c>
      <c r="AV968" s="85" t="str">
        <f t="shared" si="1673"/>
        <v/>
      </c>
      <c r="AW968" s="101" t="str">
        <f t="shared" si="1674"/>
        <v/>
      </c>
      <c r="AX968" s="177"/>
      <c r="AY968" s="169"/>
      <c r="AZ968" s="158"/>
      <c r="BA968" s="169"/>
      <c r="BB968" s="182"/>
      <c r="BC968" s="182"/>
      <c r="BD968" s="185"/>
      <c r="BE968" s="185"/>
      <c r="BF968" s="158" t="str">
        <f t="shared" si="1684"/>
        <v/>
      </c>
      <c r="BG968" s="191"/>
    </row>
    <row r="969" spans="1:59" x14ac:dyDescent="0.25">
      <c r="A969" s="167"/>
      <c r="B969" s="167"/>
      <c r="C969" s="161"/>
      <c r="D969" s="160"/>
      <c r="E969" s="162"/>
      <c r="F969" s="164"/>
      <c r="G969" s="161"/>
      <c r="H969" s="161"/>
      <c r="I969" s="161"/>
      <c r="J969" s="161"/>
      <c r="K969" s="161"/>
      <c r="L969" s="166"/>
      <c r="M969" s="166"/>
      <c r="N969" s="166"/>
      <c r="O969" s="166"/>
      <c r="P969" s="166"/>
      <c r="Q969" s="166"/>
      <c r="R969" s="166"/>
      <c r="S969" s="167"/>
      <c r="T969" s="167"/>
      <c r="U969" s="167"/>
      <c r="V969" s="167"/>
      <c r="W969" s="167"/>
      <c r="X969" s="164"/>
      <c r="Y969" s="164"/>
      <c r="Z969" s="172"/>
      <c r="AA969" s="188"/>
      <c r="AB969" s="172"/>
      <c r="AC969" s="172"/>
      <c r="AD969" s="175"/>
      <c r="AE969" s="62" t="s">
        <v>115</v>
      </c>
      <c r="AF969" s="133"/>
      <c r="AG969" s="65"/>
      <c r="AH969" s="64"/>
      <c r="AI969" s="64"/>
      <c r="AJ969" s="64"/>
      <c r="AK969" s="64"/>
      <c r="AL969" s="64"/>
      <c r="AM969" s="80" t="str">
        <f>IFERROR((Tablas!$C$1*VLOOKUP(AH969, tipo_control, 2, 0)+Tablas!$E$1*VLOOKUP(AI969, nat_control, 2, 0)+Tablas!$G$1*VLOOKUP(AJ969, ev_control, 2, 0)+Tablas!$I$1*VLOOKUP(AK969, frec_control, 2, 0)+Tablas!$K$1*VLOOKUP(AL969, doc_control, 2, 0))*0.1*peso_dis, "")</f>
        <v/>
      </c>
      <c r="AN969" s="64"/>
      <c r="AO969" s="64"/>
      <c r="AP969" s="64"/>
      <c r="AQ969" s="80" t="str">
        <f>IFERROR((Tablas!$C$9*VLOOKUP(AN969, amb_control, 2, 0)+Tablas!$E$9*VLOOKUP(AO969, ejec_control, 2, 0)+Tablas!$G$9*VLOOKUP(AP969, cub_control, 2, 0))*0.1*peso_ejec, "")</f>
        <v/>
      </c>
      <c r="AR969" s="91" t="str">
        <f t="shared" si="1672"/>
        <v/>
      </c>
      <c r="AS969" s="85" t="str">
        <f t="shared" si="1591"/>
        <v/>
      </c>
      <c r="AT969" s="85" t="str">
        <f t="shared" si="1592"/>
        <v/>
      </c>
      <c r="AU969" s="85" t="str">
        <f>IF(AR969&lt;Tablas!$G$19, 0, IF(AND(AR969&gt;=Tablas!$G$19, AR969&lt;Tablas!$G$20), 1,  IF(AND(AR969&gt;=Tablas!$G$20, AR969&lt;Tablas!$G$21), 2,  IF(AND(AR969&gt;=Tablas!$G$21, AR969&lt;=Tablas!$G$22), 3,  ""))))</f>
        <v/>
      </c>
      <c r="AV969" s="85" t="str">
        <f t="shared" si="1673"/>
        <v/>
      </c>
      <c r="AW969" s="101" t="str">
        <f t="shared" si="1674"/>
        <v/>
      </c>
      <c r="AX969" s="177"/>
      <c r="AY969" s="169"/>
      <c r="AZ969" s="158"/>
      <c r="BA969" s="169"/>
      <c r="BB969" s="182"/>
      <c r="BC969" s="182"/>
      <c r="BD969" s="185"/>
      <c r="BE969" s="185"/>
      <c r="BF969" s="158" t="str">
        <f t="shared" si="1684"/>
        <v/>
      </c>
      <c r="BG969" s="191"/>
    </row>
    <row r="970" spans="1:59" x14ac:dyDescent="0.25">
      <c r="A970" s="167"/>
      <c r="B970" s="167"/>
      <c r="C970" s="161"/>
      <c r="D970" s="160"/>
      <c r="E970" s="162"/>
      <c r="F970" s="164"/>
      <c r="G970" s="161"/>
      <c r="H970" s="161"/>
      <c r="I970" s="161"/>
      <c r="J970" s="161"/>
      <c r="K970" s="161"/>
      <c r="L970" s="166"/>
      <c r="M970" s="166"/>
      <c r="N970" s="166"/>
      <c r="O970" s="166"/>
      <c r="P970" s="166"/>
      <c r="Q970" s="166"/>
      <c r="R970" s="166"/>
      <c r="S970" s="167"/>
      <c r="T970" s="167"/>
      <c r="U970" s="167"/>
      <c r="V970" s="167"/>
      <c r="W970" s="167"/>
      <c r="X970" s="164"/>
      <c r="Y970" s="164"/>
      <c r="Z970" s="172"/>
      <c r="AA970" s="188"/>
      <c r="AB970" s="172"/>
      <c r="AC970" s="172"/>
      <c r="AD970" s="175"/>
      <c r="AE970" s="62" t="s">
        <v>153</v>
      </c>
      <c r="AF970" s="133"/>
      <c r="AG970" s="65"/>
      <c r="AH970" s="64"/>
      <c r="AI970" s="64"/>
      <c r="AJ970" s="64"/>
      <c r="AK970" s="64"/>
      <c r="AL970" s="64"/>
      <c r="AM970" s="80" t="str">
        <f>IFERROR((Tablas!$C$1*VLOOKUP(AH970, tipo_control, 2, 0)+Tablas!$E$1*VLOOKUP(AI970, nat_control, 2, 0)+Tablas!$G$1*VLOOKUP(AJ970, ev_control, 2, 0)+Tablas!$I$1*VLOOKUP(AK970, frec_control, 2, 0)+Tablas!$K$1*VLOOKUP(AL970, doc_control, 2, 0))*0.1*peso_dis, "")</f>
        <v/>
      </c>
      <c r="AN970" s="64"/>
      <c r="AO970" s="64"/>
      <c r="AP970" s="64"/>
      <c r="AQ970" s="80" t="str">
        <f>IFERROR((Tablas!$C$9*VLOOKUP(AN970, amb_control, 2, 0)+Tablas!$E$9*VLOOKUP(AO970, ejec_control, 2, 0)+Tablas!$G$9*VLOOKUP(AP970, cub_control, 2, 0))*0.1*peso_ejec, "")</f>
        <v/>
      </c>
      <c r="AR970" s="91" t="str">
        <f t="shared" si="1672"/>
        <v/>
      </c>
      <c r="AS970" s="85" t="str">
        <f t="shared" si="1591"/>
        <v/>
      </c>
      <c r="AT970" s="85" t="str">
        <f t="shared" si="1592"/>
        <v/>
      </c>
      <c r="AU970" s="85" t="str">
        <f>IF(AR970&lt;Tablas!$G$19, 0, IF(AND(AR970&gt;=Tablas!$G$19, AR970&lt;Tablas!$G$20), 1,  IF(AND(AR970&gt;=Tablas!$G$20, AR970&lt;Tablas!$G$21), 2,  IF(AND(AR970&gt;=Tablas!$G$21, AR970&lt;=Tablas!$G$22), 3,  ""))))</f>
        <v/>
      </c>
      <c r="AV970" s="85" t="str">
        <f t="shared" si="1673"/>
        <v/>
      </c>
      <c r="AW970" s="101" t="str">
        <f t="shared" si="1674"/>
        <v/>
      </c>
      <c r="AX970" s="177"/>
      <c r="AY970" s="169"/>
      <c r="AZ970" s="158"/>
      <c r="BA970" s="169"/>
      <c r="BB970" s="182"/>
      <c r="BC970" s="182"/>
      <c r="BD970" s="185"/>
      <c r="BE970" s="185"/>
      <c r="BF970" s="158"/>
      <c r="BG970" s="191"/>
    </row>
    <row r="971" spans="1:59" ht="15.75" thickBot="1" x14ac:dyDescent="0.3">
      <c r="A971" s="167"/>
      <c r="B971" s="167"/>
      <c r="C971" s="161"/>
      <c r="D971" s="160"/>
      <c r="E971" s="162"/>
      <c r="F971" s="165"/>
      <c r="G971" s="161"/>
      <c r="H971" s="161"/>
      <c r="I971" s="161"/>
      <c r="J971" s="161"/>
      <c r="K971" s="161"/>
      <c r="L971" s="166"/>
      <c r="M971" s="166"/>
      <c r="N971" s="166"/>
      <c r="O971" s="166"/>
      <c r="P971" s="166"/>
      <c r="Q971" s="166"/>
      <c r="R971" s="166"/>
      <c r="S971" s="149"/>
      <c r="T971" s="149"/>
      <c r="U971" s="149"/>
      <c r="V971" s="149"/>
      <c r="W971" s="149"/>
      <c r="X971" s="165"/>
      <c r="Y971" s="165"/>
      <c r="Z971" s="172"/>
      <c r="AA971" s="188"/>
      <c r="AB971" s="172"/>
      <c r="AC971" s="172"/>
      <c r="AD971" s="175"/>
      <c r="AE971" s="66" t="s">
        <v>154</v>
      </c>
      <c r="AF971" s="134"/>
      <c r="AG971" s="67"/>
      <c r="AH971" s="69"/>
      <c r="AI971" s="69"/>
      <c r="AJ971" s="69"/>
      <c r="AK971" s="69"/>
      <c r="AL971" s="69"/>
      <c r="AM971" s="81" t="str">
        <f>IFERROR((Tablas!$C$1*VLOOKUP(AH971, tipo_control, 2, 0)+Tablas!$E$1*VLOOKUP(AI971, nat_control, 2, 0)+Tablas!$G$1*VLOOKUP(AJ971, ev_control, 2, 0)+Tablas!$I$1*VLOOKUP(AK971, frec_control, 2, 0)+Tablas!$K$1*VLOOKUP(AL971, doc_control, 2, 0))*0.1*peso_dis, "")</f>
        <v/>
      </c>
      <c r="AN971" s="69"/>
      <c r="AO971" s="69"/>
      <c r="AP971" s="69"/>
      <c r="AQ971" s="81" t="str">
        <f>IFERROR((Tablas!$C$9*VLOOKUP(AN971, amb_control, 2, 0)+Tablas!$E$9*VLOOKUP(AO971, ejec_control, 2, 0)+Tablas!$G$9*VLOOKUP(AP971, cub_control, 2, 0))*0.1*peso_ejec, "")</f>
        <v/>
      </c>
      <c r="AR971" s="93" t="str">
        <f t="shared" si="1672"/>
        <v/>
      </c>
      <c r="AS971" s="94" t="str">
        <f t="shared" si="1591"/>
        <v/>
      </c>
      <c r="AT971" s="94" t="str">
        <f t="shared" si="1592"/>
        <v/>
      </c>
      <c r="AU971" s="94" t="str">
        <f>IF(AR971&lt;Tablas!$G$19, 0, IF(AND(AR971&gt;=Tablas!$G$19, AR971&lt;Tablas!$G$20), 1,  IF(AND(AR971&gt;=Tablas!$G$20, AR971&lt;Tablas!$G$21), 2,  IF(AND(AR971&gt;=Tablas!$G$21, AR971&lt;=Tablas!$G$22), 3,  ""))))</f>
        <v/>
      </c>
      <c r="AV971" s="94" t="str">
        <f t="shared" si="1673"/>
        <v/>
      </c>
      <c r="AW971" s="102" t="str">
        <f t="shared" si="1674"/>
        <v/>
      </c>
      <c r="AX971" s="157"/>
      <c r="AY971" s="170"/>
      <c r="AZ971" s="179"/>
      <c r="BA971" s="170"/>
      <c r="BB971" s="182"/>
      <c r="BC971" s="182"/>
      <c r="BD971" s="185"/>
      <c r="BE971" s="185"/>
      <c r="BF971" s="159"/>
      <c r="BG971" s="191"/>
    </row>
    <row r="972" spans="1:59" x14ac:dyDescent="0.25">
      <c r="A972" s="167"/>
      <c r="B972" s="167"/>
      <c r="C972" s="161" t="s">
        <v>18</v>
      </c>
      <c r="D972" s="160" t="s">
        <v>158</v>
      </c>
      <c r="E972" s="162"/>
      <c r="F972" s="163" t="str">
        <f t="shared" si="1593"/>
        <v/>
      </c>
      <c r="G972" s="149"/>
      <c r="H972" s="149"/>
      <c r="I972" s="149"/>
      <c r="J972" s="149"/>
      <c r="K972" s="149"/>
      <c r="L972" s="165" t="str">
        <f t="shared" ref="L972" si="1685">IFERROR(VLOOKUP(G972, tabla02, 2, 0), "")</f>
        <v/>
      </c>
      <c r="M972" s="165" t="str">
        <f t="shared" ref="M972" si="1686">IFERROR(VLOOKUP(H972, tabla02, 2, 0), "")</f>
        <v/>
      </c>
      <c r="N972" s="165" t="str">
        <f t="shared" ref="N972" si="1687">IFERROR(VLOOKUP(I972, tabla02, 2, 0), "")</f>
        <v/>
      </c>
      <c r="O972" s="165" t="str">
        <f t="shared" ref="O972" si="1688">IFERROR(VLOOKUP(J972, tabla02, 2, 0), "")</f>
        <v/>
      </c>
      <c r="P972" s="165" t="str">
        <f t="shared" ref="P972" si="1689">IFERROR(VLOOKUP(K972, tabla02, 2, 0), "")</f>
        <v/>
      </c>
      <c r="Q972" s="165" t="str">
        <f t="shared" ref="Q972" si="1690">IF(SUM(L972:O976)=0, "", MAX(L972:P972))</f>
        <v/>
      </c>
      <c r="R972" s="165" t="str">
        <f>IFERROR(VLOOKUP(Q972, tabla04, 3, 0), "")</f>
        <v/>
      </c>
      <c r="S972" s="148"/>
      <c r="T972" s="148"/>
      <c r="U972" s="148"/>
      <c r="V972" s="148"/>
      <c r="W972" s="148"/>
      <c r="X972" s="163" t="str">
        <f>IFERROR(VLOOKUP(CONCATENATE(F972, "-", Q972), cuadrante_sev, 3, 0), "")</f>
        <v/>
      </c>
      <c r="Y972" s="163" t="str">
        <f t="shared" ref="Y972" si="1691">IFERROR(IF(X972="Baja", 1, IF(X972="Moderada", 2, IF(X972="Alta", 3, IF(X972="Extrema", 4, "")))), "")</f>
        <v/>
      </c>
      <c r="Z972" s="172"/>
      <c r="AA972" s="188"/>
      <c r="AB972" s="172"/>
      <c r="AC972" s="172"/>
      <c r="AD972" s="175"/>
      <c r="AE972" s="70" t="s">
        <v>113</v>
      </c>
      <c r="AF972" s="135"/>
      <c r="AG972" s="77"/>
      <c r="AH972" s="61"/>
      <c r="AI972" s="61"/>
      <c r="AJ972" s="61"/>
      <c r="AK972" s="61"/>
      <c r="AL972" s="61"/>
      <c r="AM972" s="82" t="str">
        <f>IFERROR((Tablas!$C$1*VLOOKUP(AH972, tipo_control, 2, 0)+Tablas!$E$1*VLOOKUP(AI972, nat_control, 2, 0)+Tablas!$G$1*VLOOKUP(AJ972, ev_control, 2, 0)+Tablas!$I$1*VLOOKUP(AK972, frec_control, 2, 0)+Tablas!$K$1*VLOOKUP(AL972, doc_control, 2, 0))*0.1*peso_dis, "")</f>
        <v/>
      </c>
      <c r="AN972" s="61"/>
      <c r="AO972" s="61"/>
      <c r="AP972" s="61"/>
      <c r="AQ972" s="82" t="str">
        <f>IFERROR((Tablas!$C$9*VLOOKUP(AN972, amb_control, 2, 0)+Tablas!$E$9*VLOOKUP(AO972, ejec_control, 2, 0)+Tablas!$G$9*VLOOKUP(AP972, cub_control, 2, 0))*0.1*peso_ejec, "")</f>
        <v/>
      </c>
      <c r="AR972" s="96" t="str">
        <f t="shared" si="1672"/>
        <v/>
      </c>
      <c r="AS972" s="97" t="str">
        <f t="shared" si="1591"/>
        <v/>
      </c>
      <c r="AT972" s="87" t="str">
        <f t="shared" si="1592"/>
        <v/>
      </c>
      <c r="AU972" s="97" t="str">
        <f>IF(AR972&lt;Tablas!$G$19, 0, IF(AND(AR972&gt;=Tablas!$G$19, AR972&lt;Tablas!$G$20), 1,  IF(AND(AR972&gt;=Tablas!$G$20, AR972&lt;Tablas!$G$21), 2,  IF(AND(AR972&gt;=Tablas!$G$21, AR972&lt;=Tablas!$G$22), 3,  ""))))</f>
        <v/>
      </c>
      <c r="AV972" s="97" t="str">
        <f t="shared" si="1673"/>
        <v/>
      </c>
      <c r="AW972" s="103" t="str">
        <f t="shared" si="1674"/>
        <v/>
      </c>
      <c r="AX972" s="176" t="str">
        <f t="shared" ref="AX972" si="1692">IFERROR(VLOOKUP(AY972, tabla04, 2, 0), "")</f>
        <v/>
      </c>
      <c r="AY972" s="168" t="str">
        <f>IF(F972="", "", IF((F972-MAX(AV972:AV976))&lt;=0, 1, F972-MAX(AV972:AV976)))</f>
        <v/>
      </c>
      <c r="AZ972" s="178" t="str">
        <f t="shared" ref="AZ972" si="1693">IFERROR(VLOOKUP(BA972, tabla04, 3, 0), "")</f>
        <v/>
      </c>
      <c r="BA972" s="168" t="str">
        <f>IF(Q972="", "", IF((Q972-MAX(AW972:AW976))&lt;=0, 1, Q972-MAX(AW972:AW976)))</f>
        <v/>
      </c>
      <c r="BB972" s="182"/>
      <c r="BC972" s="182"/>
      <c r="BD972" s="185"/>
      <c r="BE972" s="185"/>
      <c r="BF972" s="158" t="str">
        <f t="shared" ref="BF972:BF974" si="1694">IFERROR(VLOOKUP(CONCATENATE(AY972, "-", BA972), cuadrante_sev, 3, 0), "")</f>
        <v/>
      </c>
      <c r="BG972" s="191"/>
    </row>
    <row r="973" spans="1:59" x14ac:dyDescent="0.25">
      <c r="A973" s="167"/>
      <c r="B973" s="167"/>
      <c r="C973" s="161"/>
      <c r="D973" s="160"/>
      <c r="E973" s="162"/>
      <c r="F973" s="164"/>
      <c r="G973" s="161"/>
      <c r="H973" s="161"/>
      <c r="I973" s="161"/>
      <c r="J973" s="161"/>
      <c r="K973" s="161"/>
      <c r="L973" s="166"/>
      <c r="M973" s="166"/>
      <c r="N973" s="166"/>
      <c r="O973" s="166"/>
      <c r="P973" s="166"/>
      <c r="Q973" s="166"/>
      <c r="R973" s="166"/>
      <c r="S973" s="167"/>
      <c r="T973" s="167"/>
      <c r="U973" s="167"/>
      <c r="V973" s="167"/>
      <c r="W973" s="167"/>
      <c r="X973" s="164"/>
      <c r="Y973" s="164"/>
      <c r="Z973" s="172"/>
      <c r="AA973" s="188"/>
      <c r="AB973" s="172"/>
      <c r="AC973" s="172"/>
      <c r="AD973" s="175"/>
      <c r="AE973" s="62" t="s">
        <v>114</v>
      </c>
      <c r="AF973" s="133"/>
      <c r="AG973" s="65"/>
      <c r="AH973" s="64"/>
      <c r="AI973" s="64"/>
      <c r="AJ973" s="64"/>
      <c r="AK973" s="64"/>
      <c r="AL973" s="64"/>
      <c r="AM973" s="80" t="str">
        <f>IFERROR((Tablas!$C$1*VLOOKUP(AH973, tipo_control, 2, 0)+Tablas!$E$1*VLOOKUP(AI973, nat_control, 2, 0)+Tablas!$G$1*VLOOKUP(AJ973, ev_control, 2, 0)+Tablas!$I$1*VLOOKUP(AK973, frec_control, 2, 0)+Tablas!$K$1*VLOOKUP(AL973, doc_control, 2, 0))*0.1*peso_dis, "")</f>
        <v/>
      </c>
      <c r="AN973" s="64"/>
      <c r="AO973" s="64"/>
      <c r="AP973" s="64"/>
      <c r="AQ973" s="80" t="str">
        <f>IFERROR((Tablas!$C$9*VLOOKUP(AN973, amb_control, 2, 0)+Tablas!$E$9*VLOOKUP(AO973, ejec_control, 2, 0)+Tablas!$G$9*VLOOKUP(AP973, cub_control, 2, 0))*0.1*peso_ejec, "")</f>
        <v/>
      </c>
      <c r="AR973" s="91" t="str">
        <f t="shared" si="1672"/>
        <v/>
      </c>
      <c r="AS973" s="85" t="str">
        <f t="shared" si="1591"/>
        <v/>
      </c>
      <c r="AT973" s="85" t="str">
        <f t="shared" si="1592"/>
        <v/>
      </c>
      <c r="AU973" s="85" t="str">
        <f>IF(AR973&lt;Tablas!$G$19, 0, IF(AND(AR973&gt;=Tablas!$G$19, AR973&lt;Tablas!$G$20), 1,  IF(AND(AR973&gt;=Tablas!$G$20, AR973&lt;Tablas!$G$21), 2,  IF(AND(AR973&gt;=Tablas!$G$21, AR973&lt;=Tablas!$G$22), 3,  ""))))</f>
        <v/>
      </c>
      <c r="AV973" s="85" t="str">
        <f t="shared" si="1673"/>
        <v/>
      </c>
      <c r="AW973" s="101" t="str">
        <f t="shared" si="1674"/>
        <v/>
      </c>
      <c r="AX973" s="177"/>
      <c r="AY973" s="169"/>
      <c r="AZ973" s="158"/>
      <c r="BA973" s="169"/>
      <c r="BB973" s="182"/>
      <c r="BC973" s="182"/>
      <c r="BD973" s="185"/>
      <c r="BE973" s="185"/>
      <c r="BF973" s="158" t="str">
        <f t="shared" si="1694"/>
        <v/>
      </c>
      <c r="BG973" s="191"/>
    </row>
    <row r="974" spans="1:59" x14ac:dyDescent="0.25">
      <c r="A974" s="167"/>
      <c r="B974" s="167"/>
      <c r="C974" s="161"/>
      <c r="D974" s="160"/>
      <c r="E974" s="162"/>
      <c r="F974" s="164"/>
      <c r="G974" s="161"/>
      <c r="H974" s="161"/>
      <c r="I974" s="161"/>
      <c r="J974" s="161"/>
      <c r="K974" s="161"/>
      <c r="L974" s="166"/>
      <c r="M974" s="166"/>
      <c r="N974" s="166"/>
      <c r="O974" s="166"/>
      <c r="P974" s="166"/>
      <c r="Q974" s="166"/>
      <c r="R974" s="166"/>
      <c r="S974" s="167"/>
      <c r="T974" s="167"/>
      <c r="U974" s="167"/>
      <c r="V974" s="167"/>
      <c r="W974" s="167"/>
      <c r="X974" s="164"/>
      <c r="Y974" s="164"/>
      <c r="Z974" s="172"/>
      <c r="AA974" s="188"/>
      <c r="AB974" s="172"/>
      <c r="AC974" s="172"/>
      <c r="AD974" s="175"/>
      <c r="AE974" s="62" t="s">
        <v>115</v>
      </c>
      <c r="AF974" s="133"/>
      <c r="AG974" s="65"/>
      <c r="AH974" s="64"/>
      <c r="AI974" s="64"/>
      <c r="AJ974" s="64"/>
      <c r="AK974" s="64"/>
      <c r="AL974" s="64"/>
      <c r="AM974" s="80" t="str">
        <f>IFERROR((Tablas!$C$1*VLOOKUP(AH974, tipo_control, 2, 0)+Tablas!$E$1*VLOOKUP(AI974, nat_control, 2, 0)+Tablas!$G$1*VLOOKUP(AJ974, ev_control, 2, 0)+Tablas!$I$1*VLOOKUP(AK974, frec_control, 2, 0)+Tablas!$K$1*VLOOKUP(AL974, doc_control, 2, 0))*0.1*peso_dis, "")</f>
        <v/>
      </c>
      <c r="AN974" s="64"/>
      <c r="AO974" s="64"/>
      <c r="AP974" s="64"/>
      <c r="AQ974" s="80" t="str">
        <f>IFERROR((Tablas!$C$9*VLOOKUP(AN974, amb_control, 2, 0)+Tablas!$E$9*VLOOKUP(AO974, ejec_control, 2, 0)+Tablas!$G$9*VLOOKUP(AP974, cub_control, 2, 0))*0.1*peso_ejec, "")</f>
        <v/>
      </c>
      <c r="AR974" s="91" t="str">
        <f t="shared" si="1672"/>
        <v/>
      </c>
      <c r="AS974" s="85" t="str">
        <f t="shared" si="1591"/>
        <v/>
      </c>
      <c r="AT974" s="85" t="str">
        <f t="shared" si="1592"/>
        <v/>
      </c>
      <c r="AU974" s="85" t="str">
        <f>IF(AR974&lt;Tablas!$G$19, 0, IF(AND(AR974&gt;=Tablas!$G$19, AR974&lt;Tablas!$G$20), 1,  IF(AND(AR974&gt;=Tablas!$G$20, AR974&lt;Tablas!$G$21), 2,  IF(AND(AR974&gt;=Tablas!$G$21, AR974&lt;=Tablas!$G$22), 3,  ""))))</f>
        <v/>
      </c>
      <c r="AV974" s="85" t="str">
        <f t="shared" si="1673"/>
        <v/>
      </c>
      <c r="AW974" s="101" t="str">
        <f t="shared" si="1674"/>
        <v/>
      </c>
      <c r="AX974" s="177"/>
      <c r="AY974" s="169"/>
      <c r="AZ974" s="158"/>
      <c r="BA974" s="169"/>
      <c r="BB974" s="182"/>
      <c r="BC974" s="182"/>
      <c r="BD974" s="185"/>
      <c r="BE974" s="185"/>
      <c r="BF974" s="158" t="str">
        <f t="shared" si="1694"/>
        <v/>
      </c>
      <c r="BG974" s="191"/>
    </row>
    <row r="975" spans="1:59" x14ac:dyDescent="0.25">
      <c r="A975" s="167"/>
      <c r="B975" s="167"/>
      <c r="C975" s="161"/>
      <c r="D975" s="160"/>
      <c r="E975" s="162"/>
      <c r="F975" s="164"/>
      <c r="G975" s="161"/>
      <c r="H975" s="161"/>
      <c r="I975" s="161"/>
      <c r="J975" s="161"/>
      <c r="K975" s="161"/>
      <c r="L975" s="166"/>
      <c r="M975" s="166"/>
      <c r="N975" s="166"/>
      <c r="O975" s="166"/>
      <c r="P975" s="166"/>
      <c r="Q975" s="166"/>
      <c r="R975" s="166"/>
      <c r="S975" s="167"/>
      <c r="T975" s="167"/>
      <c r="U975" s="167"/>
      <c r="V975" s="167"/>
      <c r="W975" s="167"/>
      <c r="X975" s="164"/>
      <c r="Y975" s="164"/>
      <c r="Z975" s="172"/>
      <c r="AA975" s="188"/>
      <c r="AB975" s="172"/>
      <c r="AC975" s="172"/>
      <c r="AD975" s="175"/>
      <c r="AE975" s="62" t="s">
        <v>153</v>
      </c>
      <c r="AF975" s="133"/>
      <c r="AG975" s="65"/>
      <c r="AH975" s="64"/>
      <c r="AI975" s="64"/>
      <c r="AJ975" s="64"/>
      <c r="AK975" s="64"/>
      <c r="AL975" s="64"/>
      <c r="AM975" s="80" t="str">
        <f>IFERROR((Tablas!$C$1*VLOOKUP(AH975, tipo_control, 2, 0)+Tablas!$E$1*VLOOKUP(AI975, nat_control, 2, 0)+Tablas!$G$1*VLOOKUP(AJ975, ev_control, 2, 0)+Tablas!$I$1*VLOOKUP(AK975, frec_control, 2, 0)+Tablas!$K$1*VLOOKUP(AL975, doc_control, 2, 0))*0.1*peso_dis, "")</f>
        <v/>
      </c>
      <c r="AN975" s="64"/>
      <c r="AO975" s="64"/>
      <c r="AP975" s="64"/>
      <c r="AQ975" s="80" t="str">
        <f>IFERROR((Tablas!$C$9*VLOOKUP(AN975, amb_control, 2, 0)+Tablas!$E$9*VLOOKUP(AO975, ejec_control, 2, 0)+Tablas!$G$9*VLOOKUP(AP975, cub_control, 2, 0))*0.1*peso_ejec, "")</f>
        <v/>
      </c>
      <c r="AR975" s="91" t="str">
        <f t="shared" si="1672"/>
        <v/>
      </c>
      <c r="AS975" s="85" t="str">
        <f t="shared" si="1591"/>
        <v/>
      </c>
      <c r="AT975" s="85" t="str">
        <f t="shared" si="1592"/>
        <v/>
      </c>
      <c r="AU975" s="85" t="str">
        <f>IF(AR975&lt;Tablas!$G$19, 0, IF(AND(AR975&gt;=Tablas!$G$19, AR975&lt;Tablas!$G$20), 1,  IF(AND(AR975&gt;=Tablas!$G$20, AR975&lt;Tablas!$G$21), 2,  IF(AND(AR975&gt;=Tablas!$G$21, AR975&lt;=Tablas!$G$22), 3,  ""))))</f>
        <v/>
      </c>
      <c r="AV975" s="85" t="str">
        <f t="shared" si="1673"/>
        <v/>
      </c>
      <c r="AW975" s="101" t="str">
        <f t="shared" si="1674"/>
        <v/>
      </c>
      <c r="AX975" s="177"/>
      <c r="AY975" s="169"/>
      <c r="AZ975" s="158"/>
      <c r="BA975" s="169"/>
      <c r="BB975" s="182"/>
      <c r="BC975" s="182"/>
      <c r="BD975" s="185"/>
      <c r="BE975" s="185"/>
      <c r="BF975" s="158"/>
      <c r="BG975" s="191"/>
    </row>
    <row r="976" spans="1:59" ht="15.75" thickBot="1" x14ac:dyDescent="0.3">
      <c r="A976" s="167"/>
      <c r="B976" s="167"/>
      <c r="C976" s="161"/>
      <c r="D976" s="160"/>
      <c r="E976" s="162"/>
      <c r="F976" s="165"/>
      <c r="G976" s="161"/>
      <c r="H976" s="161"/>
      <c r="I976" s="161"/>
      <c r="J976" s="161"/>
      <c r="K976" s="161"/>
      <c r="L976" s="166"/>
      <c r="M976" s="166"/>
      <c r="N976" s="166"/>
      <c r="O976" s="166"/>
      <c r="P976" s="166"/>
      <c r="Q976" s="166"/>
      <c r="R976" s="166"/>
      <c r="S976" s="149"/>
      <c r="T976" s="149"/>
      <c r="U976" s="149"/>
      <c r="V976" s="149"/>
      <c r="W976" s="149"/>
      <c r="X976" s="165"/>
      <c r="Y976" s="165"/>
      <c r="Z976" s="172"/>
      <c r="AA976" s="188"/>
      <c r="AB976" s="172"/>
      <c r="AC976" s="172"/>
      <c r="AD976" s="175"/>
      <c r="AE976" s="66" t="s">
        <v>154</v>
      </c>
      <c r="AF976" s="134"/>
      <c r="AG976" s="67"/>
      <c r="AH976" s="69"/>
      <c r="AI976" s="69"/>
      <c r="AJ976" s="69"/>
      <c r="AK976" s="69"/>
      <c r="AL976" s="69"/>
      <c r="AM976" s="81" t="str">
        <f>IFERROR((Tablas!$C$1*VLOOKUP(AH976, tipo_control, 2, 0)+Tablas!$E$1*VLOOKUP(AI976, nat_control, 2, 0)+Tablas!$G$1*VLOOKUP(AJ976, ev_control, 2, 0)+Tablas!$I$1*VLOOKUP(AK976, frec_control, 2, 0)+Tablas!$K$1*VLOOKUP(AL976, doc_control, 2, 0))*0.1*peso_dis, "")</f>
        <v/>
      </c>
      <c r="AN976" s="69"/>
      <c r="AO976" s="69"/>
      <c r="AP976" s="69"/>
      <c r="AQ976" s="81" t="str">
        <f>IFERROR((Tablas!$C$9*VLOOKUP(AN976, amb_control, 2, 0)+Tablas!$E$9*VLOOKUP(AO976, ejec_control, 2, 0)+Tablas!$G$9*VLOOKUP(AP976, cub_control, 2, 0))*0.1*peso_ejec, "")</f>
        <v/>
      </c>
      <c r="AR976" s="93" t="str">
        <f t="shared" si="1672"/>
        <v/>
      </c>
      <c r="AS976" s="94" t="str">
        <f t="shared" si="1591"/>
        <v/>
      </c>
      <c r="AT976" s="94" t="str">
        <f t="shared" si="1592"/>
        <v/>
      </c>
      <c r="AU976" s="94" t="str">
        <f>IF(AR976&lt;Tablas!$G$19, 0, IF(AND(AR976&gt;=Tablas!$G$19, AR976&lt;Tablas!$G$20), 1,  IF(AND(AR976&gt;=Tablas!$G$20, AR976&lt;Tablas!$G$21), 2,  IF(AND(AR976&gt;=Tablas!$G$21, AR976&lt;=Tablas!$G$22), 3,  ""))))</f>
        <v/>
      </c>
      <c r="AV976" s="94" t="str">
        <f t="shared" si="1673"/>
        <v/>
      </c>
      <c r="AW976" s="102" t="str">
        <f t="shared" si="1674"/>
        <v/>
      </c>
      <c r="AX976" s="157"/>
      <c r="AY976" s="170"/>
      <c r="AZ976" s="179"/>
      <c r="BA976" s="170"/>
      <c r="BB976" s="182"/>
      <c r="BC976" s="182"/>
      <c r="BD976" s="185"/>
      <c r="BE976" s="185"/>
      <c r="BF976" s="159"/>
      <c r="BG976" s="191"/>
    </row>
    <row r="977" spans="1:59" x14ac:dyDescent="0.25">
      <c r="A977" s="167"/>
      <c r="B977" s="167"/>
      <c r="C977" s="161" t="s">
        <v>19</v>
      </c>
      <c r="D977" s="160" t="s">
        <v>158</v>
      </c>
      <c r="E977" s="162"/>
      <c r="F977" s="163" t="str">
        <f t="shared" si="1593"/>
        <v/>
      </c>
      <c r="G977" s="149"/>
      <c r="H977" s="149"/>
      <c r="I977" s="149"/>
      <c r="J977" s="149"/>
      <c r="K977" s="149"/>
      <c r="L977" s="165" t="str">
        <f t="shared" ref="L977" si="1695">IFERROR(VLOOKUP(G977, tabla02, 2, 0), "")</f>
        <v/>
      </c>
      <c r="M977" s="165" t="str">
        <f t="shared" ref="M977" si="1696">IFERROR(VLOOKUP(H977, tabla02, 2, 0), "")</f>
        <v/>
      </c>
      <c r="N977" s="165" t="str">
        <f t="shared" ref="N977" si="1697">IFERROR(VLOOKUP(I977, tabla02, 2, 0), "")</f>
        <v/>
      </c>
      <c r="O977" s="165" t="str">
        <f t="shared" ref="O977" si="1698">IFERROR(VLOOKUP(J977, tabla02, 2, 0), "")</f>
        <v/>
      </c>
      <c r="P977" s="165" t="str">
        <f t="shared" ref="P977" si="1699">IFERROR(VLOOKUP(K977, tabla02, 2, 0), "")</f>
        <v/>
      </c>
      <c r="Q977" s="165" t="str">
        <f t="shared" ref="Q977" si="1700">IF(SUM(L977:O981)=0, "", MAX(L977:P977))</f>
        <v/>
      </c>
      <c r="R977" s="165" t="str">
        <f>IFERROR(VLOOKUP(Q977, tabla04, 3, 0), "")</f>
        <v/>
      </c>
      <c r="S977" s="148"/>
      <c r="T977" s="148"/>
      <c r="U977" s="148"/>
      <c r="V977" s="148"/>
      <c r="W977" s="148"/>
      <c r="X977" s="163" t="str">
        <f>IFERROR(VLOOKUP(CONCATENATE(F977, "-", Q977), cuadrante_sev, 3, 0), "")</f>
        <v/>
      </c>
      <c r="Y977" s="163" t="str">
        <f t="shared" ref="Y977" si="1701">IFERROR(IF(X977="Baja", 1, IF(X977="Moderada", 2, IF(X977="Alta", 3, IF(X977="Extrema", 4, "")))), "")</f>
        <v/>
      </c>
      <c r="Z977" s="172"/>
      <c r="AA977" s="188"/>
      <c r="AB977" s="172"/>
      <c r="AC977" s="172"/>
      <c r="AD977" s="175"/>
      <c r="AE977" s="70" t="s">
        <v>113</v>
      </c>
      <c r="AF977" s="135"/>
      <c r="AG977" s="74"/>
      <c r="AH977" s="72"/>
      <c r="AI977" s="72"/>
      <c r="AJ977" s="72"/>
      <c r="AK977" s="72"/>
      <c r="AL977" s="72"/>
      <c r="AM977" s="82" t="str">
        <f>IFERROR((Tablas!$C$1*VLOOKUP(AH977, tipo_control, 2, 0)+Tablas!$E$1*VLOOKUP(AI977, nat_control, 2, 0)+Tablas!$G$1*VLOOKUP(AJ977, ev_control, 2, 0)+Tablas!$I$1*VLOOKUP(AK977, frec_control, 2, 0)+Tablas!$K$1*VLOOKUP(AL977, doc_control, 2, 0))*0.1*peso_dis, "")</f>
        <v/>
      </c>
      <c r="AN977" s="72"/>
      <c r="AO977" s="72"/>
      <c r="AP977" s="72"/>
      <c r="AQ977" s="82" t="str">
        <f>IFERROR((Tablas!$C$9*VLOOKUP(AN977, amb_control, 2, 0)+Tablas!$E$9*VLOOKUP(AO977, ejec_control, 2, 0)+Tablas!$G$9*VLOOKUP(AP977, cub_control, 2, 0))*0.1*peso_ejec, "")</f>
        <v/>
      </c>
      <c r="AR977" s="96" t="str">
        <f t="shared" si="1672"/>
        <v/>
      </c>
      <c r="AS977" s="97" t="str">
        <f t="shared" si="1591"/>
        <v/>
      </c>
      <c r="AT977" s="87" t="str">
        <f t="shared" si="1592"/>
        <v/>
      </c>
      <c r="AU977" s="97" t="str">
        <f>IF(AR977&lt;Tablas!$G$19, 0, IF(AND(AR977&gt;=Tablas!$G$19, AR977&lt;Tablas!$G$20), 1,  IF(AND(AR977&gt;=Tablas!$G$20, AR977&lt;Tablas!$G$21), 2,  IF(AND(AR977&gt;=Tablas!$G$21, AR977&lt;=Tablas!$G$22), 3,  ""))))</f>
        <v/>
      </c>
      <c r="AV977" s="97" t="str">
        <f t="shared" si="1673"/>
        <v/>
      </c>
      <c r="AW977" s="103" t="str">
        <f t="shared" si="1674"/>
        <v/>
      </c>
      <c r="AX977" s="176" t="str">
        <f t="shared" ref="AX977" si="1702">IFERROR(VLOOKUP(AY977, tabla04, 2, 0), "")</f>
        <v/>
      </c>
      <c r="AY977" s="168" t="str">
        <f>IF(F977="", "", IF((F977-MAX(AV977:AV981))&lt;=0, 1, F977-MAX(AV977:AV981)))</f>
        <v/>
      </c>
      <c r="AZ977" s="178" t="str">
        <f t="shared" ref="AZ977" si="1703">IFERROR(VLOOKUP(BA977, tabla04, 3, 0), "")</f>
        <v/>
      </c>
      <c r="BA977" s="168" t="str">
        <f>IF(Q977="", "", IF((Q977-MAX(AW977:AW981))&lt;=0, 1, Q977-MAX(AW977:AW981)))</f>
        <v/>
      </c>
      <c r="BB977" s="182"/>
      <c r="BC977" s="182"/>
      <c r="BD977" s="185"/>
      <c r="BE977" s="185"/>
      <c r="BF977" s="158" t="str">
        <f t="shared" ref="BF977:BF979" si="1704">IFERROR(VLOOKUP(CONCATENATE(AY977, "-", BA977), cuadrante_sev, 3, 0), "")</f>
        <v/>
      </c>
      <c r="BG977" s="191"/>
    </row>
    <row r="978" spans="1:59" x14ac:dyDescent="0.25">
      <c r="A978" s="167"/>
      <c r="B978" s="167"/>
      <c r="C978" s="161"/>
      <c r="D978" s="160"/>
      <c r="E978" s="162"/>
      <c r="F978" s="164"/>
      <c r="G978" s="161"/>
      <c r="H978" s="161"/>
      <c r="I978" s="161"/>
      <c r="J978" s="161"/>
      <c r="K978" s="161"/>
      <c r="L978" s="166"/>
      <c r="M978" s="166"/>
      <c r="N978" s="166"/>
      <c r="O978" s="166"/>
      <c r="P978" s="166"/>
      <c r="Q978" s="166"/>
      <c r="R978" s="166"/>
      <c r="S978" s="167"/>
      <c r="T978" s="167"/>
      <c r="U978" s="167"/>
      <c r="V978" s="167"/>
      <c r="W978" s="167"/>
      <c r="X978" s="164"/>
      <c r="Y978" s="164"/>
      <c r="Z978" s="172"/>
      <c r="AA978" s="188"/>
      <c r="AB978" s="172"/>
      <c r="AC978" s="172"/>
      <c r="AD978" s="175"/>
      <c r="AE978" s="62" t="s">
        <v>114</v>
      </c>
      <c r="AF978" s="133"/>
      <c r="AG978" s="65"/>
      <c r="AH978" s="64"/>
      <c r="AI978" s="64"/>
      <c r="AJ978" s="64"/>
      <c r="AK978" s="64"/>
      <c r="AL978" s="64"/>
      <c r="AM978" s="80" t="str">
        <f>IFERROR((Tablas!$C$1*VLOOKUP(AH978, tipo_control, 2, 0)+Tablas!$E$1*VLOOKUP(AI978, nat_control, 2, 0)+Tablas!$G$1*VLOOKUP(AJ978, ev_control, 2, 0)+Tablas!$I$1*VLOOKUP(AK978, frec_control, 2, 0)+Tablas!$K$1*VLOOKUP(AL978, doc_control, 2, 0))*0.1*peso_dis, "")</f>
        <v/>
      </c>
      <c r="AN978" s="64"/>
      <c r="AO978" s="64"/>
      <c r="AP978" s="64"/>
      <c r="AQ978" s="80" t="str">
        <f>IFERROR((Tablas!$C$9*VLOOKUP(AN978, amb_control, 2, 0)+Tablas!$E$9*VLOOKUP(AO978, ejec_control, 2, 0)+Tablas!$G$9*VLOOKUP(AP978, cub_control, 2, 0))*0.1*peso_ejec, "")</f>
        <v/>
      </c>
      <c r="AR978" s="91" t="str">
        <f t="shared" si="1672"/>
        <v/>
      </c>
      <c r="AS978" s="85" t="str">
        <f t="shared" ref="AS978:AS1006" si="1705">IFERROR(VLOOKUP(AH978, tabla03, 12, 0), "")</f>
        <v/>
      </c>
      <c r="AT978" s="85" t="str">
        <f t="shared" ref="AT978:AT1006" si="1706">IFERROR(VLOOKUP(AH978, tabla03, 13, 0), "")</f>
        <v/>
      </c>
      <c r="AU978" s="85" t="str">
        <f>IF(AR978&lt;Tablas!$G$19, 0, IF(AND(AR978&gt;=Tablas!$G$19, AR978&lt;Tablas!$G$20), 1,  IF(AND(AR978&gt;=Tablas!$G$20, AR978&lt;Tablas!$G$21), 2,  IF(AND(AR978&gt;=Tablas!$G$21, AR978&lt;=Tablas!$G$22), 3,  ""))))</f>
        <v/>
      </c>
      <c r="AV978" s="85" t="str">
        <f t="shared" si="1673"/>
        <v/>
      </c>
      <c r="AW978" s="101" t="str">
        <f t="shared" si="1674"/>
        <v/>
      </c>
      <c r="AX978" s="177"/>
      <c r="AY978" s="169"/>
      <c r="AZ978" s="158"/>
      <c r="BA978" s="169"/>
      <c r="BB978" s="182"/>
      <c r="BC978" s="182"/>
      <c r="BD978" s="185"/>
      <c r="BE978" s="185"/>
      <c r="BF978" s="158" t="str">
        <f t="shared" si="1704"/>
        <v/>
      </c>
      <c r="BG978" s="191"/>
    </row>
    <row r="979" spans="1:59" x14ac:dyDescent="0.25">
      <c r="A979" s="167"/>
      <c r="B979" s="167"/>
      <c r="C979" s="161"/>
      <c r="D979" s="160"/>
      <c r="E979" s="162"/>
      <c r="F979" s="164"/>
      <c r="G979" s="161"/>
      <c r="H979" s="161"/>
      <c r="I979" s="161"/>
      <c r="J979" s="161"/>
      <c r="K979" s="161"/>
      <c r="L979" s="166"/>
      <c r="M979" s="166"/>
      <c r="N979" s="166"/>
      <c r="O979" s="166"/>
      <c r="P979" s="166"/>
      <c r="Q979" s="166"/>
      <c r="R979" s="166"/>
      <c r="S979" s="167"/>
      <c r="T979" s="167"/>
      <c r="U979" s="167"/>
      <c r="V979" s="167"/>
      <c r="W979" s="167"/>
      <c r="X979" s="164"/>
      <c r="Y979" s="164"/>
      <c r="Z979" s="172"/>
      <c r="AA979" s="188"/>
      <c r="AB979" s="172"/>
      <c r="AC979" s="172"/>
      <c r="AD979" s="175"/>
      <c r="AE979" s="62" t="s">
        <v>115</v>
      </c>
      <c r="AF979" s="133"/>
      <c r="AG979" s="65"/>
      <c r="AH979" s="64"/>
      <c r="AI979" s="64"/>
      <c r="AJ979" s="64"/>
      <c r="AK979" s="64"/>
      <c r="AL979" s="64"/>
      <c r="AM979" s="80" t="str">
        <f>IFERROR((Tablas!$C$1*VLOOKUP(AH979, tipo_control, 2, 0)+Tablas!$E$1*VLOOKUP(AI979, nat_control, 2, 0)+Tablas!$G$1*VLOOKUP(AJ979, ev_control, 2, 0)+Tablas!$I$1*VLOOKUP(AK979, frec_control, 2, 0)+Tablas!$K$1*VLOOKUP(AL979, doc_control, 2, 0))*0.1*peso_dis, "")</f>
        <v/>
      </c>
      <c r="AN979" s="64"/>
      <c r="AO979" s="64"/>
      <c r="AP979" s="64"/>
      <c r="AQ979" s="80" t="str">
        <f>IFERROR((Tablas!$C$9*VLOOKUP(AN979, amb_control, 2, 0)+Tablas!$E$9*VLOOKUP(AO979, ejec_control, 2, 0)+Tablas!$G$9*VLOOKUP(AP979, cub_control, 2, 0))*0.1*peso_ejec, "")</f>
        <v/>
      </c>
      <c r="AR979" s="91" t="str">
        <f t="shared" si="1672"/>
        <v/>
      </c>
      <c r="AS979" s="85" t="str">
        <f t="shared" si="1705"/>
        <v/>
      </c>
      <c r="AT979" s="85" t="str">
        <f t="shared" si="1706"/>
        <v/>
      </c>
      <c r="AU979" s="85" t="str">
        <f>IF(AR979&lt;Tablas!$G$19, 0, IF(AND(AR979&gt;=Tablas!$G$19, AR979&lt;Tablas!$G$20), 1,  IF(AND(AR979&gt;=Tablas!$G$20, AR979&lt;Tablas!$G$21), 2,  IF(AND(AR979&gt;=Tablas!$G$21, AR979&lt;=Tablas!$G$22), 3,  ""))))</f>
        <v/>
      </c>
      <c r="AV979" s="85" t="str">
        <f t="shared" si="1673"/>
        <v/>
      </c>
      <c r="AW979" s="101" t="str">
        <f t="shared" si="1674"/>
        <v/>
      </c>
      <c r="AX979" s="177"/>
      <c r="AY979" s="169"/>
      <c r="AZ979" s="158"/>
      <c r="BA979" s="169"/>
      <c r="BB979" s="182"/>
      <c r="BC979" s="182"/>
      <c r="BD979" s="185"/>
      <c r="BE979" s="185"/>
      <c r="BF979" s="158" t="str">
        <f t="shared" si="1704"/>
        <v/>
      </c>
      <c r="BG979" s="191"/>
    </row>
    <row r="980" spans="1:59" x14ac:dyDescent="0.25">
      <c r="A980" s="167"/>
      <c r="B980" s="167"/>
      <c r="C980" s="161"/>
      <c r="D980" s="160"/>
      <c r="E980" s="162"/>
      <c r="F980" s="164"/>
      <c r="G980" s="161"/>
      <c r="H980" s="161"/>
      <c r="I980" s="161"/>
      <c r="J980" s="161"/>
      <c r="K980" s="161"/>
      <c r="L980" s="166"/>
      <c r="M980" s="166"/>
      <c r="N980" s="166"/>
      <c r="O980" s="166"/>
      <c r="P980" s="166"/>
      <c r="Q980" s="166"/>
      <c r="R980" s="166"/>
      <c r="S980" s="167"/>
      <c r="T980" s="167"/>
      <c r="U980" s="167"/>
      <c r="V980" s="167"/>
      <c r="W980" s="167"/>
      <c r="X980" s="164"/>
      <c r="Y980" s="164"/>
      <c r="Z980" s="172"/>
      <c r="AA980" s="188"/>
      <c r="AB980" s="172"/>
      <c r="AC980" s="172"/>
      <c r="AD980" s="175"/>
      <c r="AE980" s="62" t="s">
        <v>153</v>
      </c>
      <c r="AF980" s="133"/>
      <c r="AG980" s="65"/>
      <c r="AH980" s="64"/>
      <c r="AI980" s="64"/>
      <c r="AJ980" s="64"/>
      <c r="AK980" s="64"/>
      <c r="AL980" s="64"/>
      <c r="AM980" s="80" t="str">
        <f>IFERROR((Tablas!$C$1*VLOOKUP(AH980, tipo_control, 2, 0)+Tablas!$E$1*VLOOKUP(AI980, nat_control, 2, 0)+Tablas!$G$1*VLOOKUP(AJ980, ev_control, 2, 0)+Tablas!$I$1*VLOOKUP(AK980, frec_control, 2, 0)+Tablas!$K$1*VLOOKUP(AL980, doc_control, 2, 0))*0.1*peso_dis, "")</f>
        <v/>
      </c>
      <c r="AN980" s="64"/>
      <c r="AO980" s="64"/>
      <c r="AP980" s="64"/>
      <c r="AQ980" s="80" t="str">
        <f>IFERROR((Tablas!$C$9*VLOOKUP(AN980, amb_control, 2, 0)+Tablas!$E$9*VLOOKUP(AO980, ejec_control, 2, 0)+Tablas!$G$9*VLOOKUP(AP980, cub_control, 2, 0))*0.1*peso_ejec, "")</f>
        <v/>
      </c>
      <c r="AR980" s="91" t="str">
        <f t="shared" si="1672"/>
        <v/>
      </c>
      <c r="AS980" s="85" t="str">
        <f t="shared" si="1705"/>
        <v/>
      </c>
      <c r="AT980" s="85" t="str">
        <f t="shared" si="1706"/>
        <v/>
      </c>
      <c r="AU980" s="85" t="str">
        <f>IF(AR980&lt;Tablas!$G$19, 0, IF(AND(AR980&gt;=Tablas!$G$19, AR980&lt;Tablas!$G$20), 1,  IF(AND(AR980&gt;=Tablas!$G$20, AR980&lt;Tablas!$G$21), 2,  IF(AND(AR980&gt;=Tablas!$G$21, AR980&lt;=Tablas!$G$22), 3,  ""))))</f>
        <v/>
      </c>
      <c r="AV980" s="85" t="str">
        <f t="shared" si="1673"/>
        <v/>
      </c>
      <c r="AW980" s="101" t="str">
        <f t="shared" si="1674"/>
        <v/>
      </c>
      <c r="AX980" s="177"/>
      <c r="AY980" s="169"/>
      <c r="AZ980" s="158"/>
      <c r="BA980" s="169"/>
      <c r="BB980" s="182"/>
      <c r="BC980" s="182"/>
      <c r="BD980" s="185"/>
      <c r="BE980" s="185"/>
      <c r="BF980" s="158"/>
      <c r="BG980" s="191"/>
    </row>
    <row r="981" spans="1:59" ht="15.75" thickBot="1" x14ac:dyDescent="0.3">
      <c r="A981" s="167"/>
      <c r="B981" s="167"/>
      <c r="C981" s="161"/>
      <c r="D981" s="160"/>
      <c r="E981" s="162"/>
      <c r="F981" s="165"/>
      <c r="G981" s="161"/>
      <c r="H981" s="161"/>
      <c r="I981" s="161"/>
      <c r="J981" s="161"/>
      <c r="K981" s="161"/>
      <c r="L981" s="166"/>
      <c r="M981" s="166"/>
      <c r="N981" s="166"/>
      <c r="O981" s="166"/>
      <c r="P981" s="166"/>
      <c r="Q981" s="166"/>
      <c r="R981" s="166"/>
      <c r="S981" s="149"/>
      <c r="T981" s="149"/>
      <c r="U981" s="149"/>
      <c r="V981" s="149"/>
      <c r="W981" s="149"/>
      <c r="X981" s="165"/>
      <c r="Y981" s="165"/>
      <c r="Z981" s="172"/>
      <c r="AA981" s="188"/>
      <c r="AB981" s="172"/>
      <c r="AC981" s="172"/>
      <c r="AD981" s="175"/>
      <c r="AE981" s="66" t="s">
        <v>154</v>
      </c>
      <c r="AF981" s="134"/>
      <c r="AG981" s="67"/>
      <c r="AH981" s="69"/>
      <c r="AI981" s="69"/>
      <c r="AJ981" s="69"/>
      <c r="AK981" s="69"/>
      <c r="AL981" s="69"/>
      <c r="AM981" s="81" t="str">
        <f>IFERROR((Tablas!$C$1*VLOOKUP(AH981, tipo_control, 2, 0)+Tablas!$E$1*VLOOKUP(AI981, nat_control, 2, 0)+Tablas!$G$1*VLOOKUP(AJ981, ev_control, 2, 0)+Tablas!$I$1*VLOOKUP(AK981, frec_control, 2, 0)+Tablas!$K$1*VLOOKUP(AL981, doc_control, 2, 0))*0.1*peso_dis, "")</f>
        <v/>
      </c>
      <c r="AN981" s="69"/>
      <c r="AO981" s="69"/>
      <c r="AP981" s="69"/>
      <c r="AQ981" s="81" t="str">
        <f>IFERROR((Tablas!$C$9*VLOOKUP(AN981, amb_control, 2, 0)+Tablas!$E$9*VLOOKUP(AO981, ejec_control, 2, 0)+Tablas!$G$9*VLOOKUP(AP981, cub_control, 2, 0))*0.1*peso_ejec, "")</f>
        <v/>
      </c>
      <c r="AR981" s="93" t="str">
        <f t="shared" si="1672"/>
        <v/>
      </c>
      <c r="AS981" s="94" t="str">
        <f t="shared" si="1705"/>
        <v/>
      </c>
      <c r="AT981" s="94" t="str">
        <f t="shared" si="1706"/>
        <v/>
      </c>
      <c r="AU981" s="94" t="str">
        <f>IF(AR981&lt;Tablas!$G$19, 0, IF(AND(AR981&gt;=Tablas!$G$19, AR981&lt;Tablas!$G$20), 1,  IF(AND(AR981&gt;=Tablas!$G$20, AR981&lt;Tablas!$G$21), 2,  IF(AND(AR981&gt;=Tablas!$G$21, AR981&lt;=Tablas!$G$22), 3,  ""))))</f>
        <v/>
      </c>
      <c r="AV981" s="94" t="str">
        <f t="shared" si="1673"/>
        <v/>
      </c>
      <c r="AW981" s="102" t="str">
        <f t="shared" si="1674"/>
        <v/>
      </c>
      <c r="AX981" s="157"/>
      <c r="AY981" s="170"/>
      <c r="AZ981" s="179"/>
      <c r="BA981" s="170"/>
      <c r="BB981" s="182"/>
      <c r="BC981" s="182"/>
      <c r="BD981" s="185"/>
      <c r="BE981" s="185"/>
      <c r="BF981" s="159"/>
      <c r="BG981" s="191"/>
    </row>
    <row r="982" spans="1:59" x14ac:dyDescent="0.25">
      <c r="A982" s="167"/>
      <c r="B982" s="167"/>
      <c r="C982" s="161" t="s">
        <v>20</v>
      </c>
      <c r="D982" s="160" t="s">
        <v>158</v>
      </c>
      <c r="E982" s="162"/>
      <c r="F982" s="163" t="str">
        <f t="shared" ref="F982:F1002" si="1707">IFERROR(VLOOKUP(E982, tabla01, 3, 0), "")</f>
        <v/>
      </c>
      <c r="G982" s="149"/>
      <c r="H982" s="149"/>
      <c r="I982" s="149"/>
      <c r="J982" s="149"/>
      <c r="K982" s="149"/>
      <c r="L982" s="165" t="str">
        <f t="shared" ref="L982" si="1708">IFERROR(VLOOKUP(G982, tabla02, 2, 0), "")</f>
        <v/>
      </c>
      <c r="M982" s="165" t="str">
        <f t="shared" ref="M982" si="1709">IFERROR(VLOOKUP(H982, tabla02, 2, 0), "")</f>
        <v/>
      </c>
      <c r="N982" s="165" t="str">
        <f t="shared" ref="N982" si="1710">IFERROR(VLOOKUP(I982, tabla02, 2, 0), "")</f>
        <v/>
      </c>
      <c r="O982" s="165" t="str">
        <f t="shared" ref="O982" si="1711">IFERROR(VLOOKUP(J982, tabla02, 2, 0), "")</f>
        <v/>
      </c>
      <c r="P982" s="165" t="str">
        <f t="shared" ref="P982" si="1712">IFERROR(VLOOKUP(K982, tabla02, 2, 0), "")</f>
        <v/>
      </c>
      <c r="Q982" s="165" t="str">
        <f t="shared" ref="Q982" si="1713">IF(SUM(L982:O986)=0, "", MAX(L982:P982))</f>
        <v/>
      </c>
      <c r="R982" s="165" t="str">
        <f>IFERROR(VLOOKUP(Q982, tabla04, 3, 0), "")</f>
        <v/>
      </c>
      <c r="S982" s="148"/>
      <c r="T982" s="148"/>
      <c r="U982" s="148"/>
      <c r="V982" s="148"/>
      <c r="W982" s="148"/>
      <c r="X982" s="163" t="str">
        <f>IFERROR(VLOOKUP(CONCATENATE(F982, "-", Q982), cuadrante_sev, 3, 0), "")</f>
        <v/>
      </c>
      <c r="Y982" s="163" t="str">
        <f t="shared" ref="Y982" si="1714">IFERROR(IF(X982="Baja", 1, IF(X982="Moderada", 2, IF(X982="Alta", 3, IF(X982="Extrema", 4, "")))), "")</f>
        <v/>
      </c>
      <c r="Z982" s="172"/>
      <c r="AA982" s="188"/>
      <c r="AB982" s="172"/>
      <c r="AC982" s="172"/>
      <c r="AD982" s="175"/>
      <c r="AE982" s="70" t="s">
        <v>113</v>
      </c>
      <c r="AF982" s="135"/>
      <c r="AG982" s="74"/>
      <c r="AH982" s="72"/>
      <c r="AI982" s="72"/>
      <c r="AJ982" s="72"/>
      <c r="AK982" s="72"/>
      <c r="AL982" s="72"/>
      <c r="AM982" s="82" t="str">
        <f>IFERROR((Tablas!$C$1*VLOOKUP(AH982, tipo_control, 2, 0)+Tablas!$E$1*VLOOKUP(AI982, nat_control, 2, 0)+Tablas!$G$1*VLOOKUP(AJ982, ev_control, 2, 0)+Tablas!$I$1*VLOOKUP(AK982, frec_control, 2, 0)+Tablas!$K$1*VLOOKUP(AL982, doc_control, 2, 0))*0.1*peso_dis, "")</f>
        <v/>
      </c>
      <c r="AN982" s="72"/>
      <c r="AO982" s="72"/>
      <c r="AP982" s="72"/>
      <c r="AQ982" s="82" t="str">
        <f>IFERROR((Tablas!$C$9*VLOOKUP(AN982, amb_control, 2, 0)+Tablas!$E$9*VLOOKUP(AO982, ejec_control, 2, 0)+Tablas!$G$9*VLOOKUP(AP982, cub_control, 2, 0))*0.1*peso_ejec, "")</f>
        <v/>
      </c>
      <c r="AR982" s="96" t="str">
        <f t="shared" si="1672"/>
        <v/>
      </c>
      <c r="AS982" s="97" t="str">
        <f t="shared" si="1705"/>
        <v/>
      </c>
      <c r="AT982" s="87" t="str">
        <f t="shared" si="1706"/>
        <v/>
      </c>
      <c r="AU982" s="97" t="str">
        <f>IF(AR982&lt;Tablas!$G$19, 0, IF(AND(AR982&gt;=Tablas!$G$19, AR982&lt;Tablas!$G$20), 1,  IF(AND(AR982&gt;=Tablas!$G$20, AR982&lt;Tablas!$G$21), 2,  IF(AND(AR982&gt;=Tablas!$G$21, AR982&lt;=Tablas!$G$22), 3,  ""))))</f>
        <v/>
      </c>
      <c r="AV982" s="97" t="str">
        <f t="shared" si="1673"/>
        <v/>
      </c>
      <c r="AW982" s="103" t="str">
        <f t="shared" si="1674"/>
        <v/>
      </c>
      <c r="AX982" s="176" t="str">
        <f t="shared" ref="AX982" si="1715">IFERROR(VLOOKUP(AY982, tabla04, 2, 0), "")</f>
        <v/>
      </c>
      <c r="AY982" s="168" t="str">
        <f>IF(F982="", "", IF((F982-MAX(AV982:AV986))&lt;=0, 1, F982-MAX(AV982:AV986)))</f>
        <v/>
      </c>
      <c r="AZ982" s="178" t="str">
        <f t="shared" ref="AZ982" si="1716">IFERROR(VLOOKUP(BA982, tabla04, 3, 0), "")</f>
        <v/>
      </c>
      <c r="BA982" s="168" t="str">
        <f>IF(Q982="", "", IF((Q982-MAX(AW982:AW986))&lt;=0, 1, Q982-MAX(AW982:AW986)))</f>
        <v/>
      </c>
      <c r="BB982" s="182"/>
      <c r="BC982" s="182"/>
      <c r="BD982" s="185"/>
      <c r="BE982" s="185"/>
      <c r="BF982" s="158" t="str">
        <f t="shared" ref="BF982:BF984" si="1717">IFERROR(VLOOKUP(CONCATENATE(AY982, "-", BA982), cuadrante_sev, 3, 0), "")</f>
        <v/>
      </c>
      <c r="BG982" s="191"/>
    </row>
    <row r="983" spans="1:59" x14ac:dyDescent="0.25">
      <c r="A983" s="167"/>
      <c r="B983" s="167"/>
      <c r="C983" s="161"/>
      <c r="D983" s="160"/>
      <c r="E983" s="162"/>
      <c r="F983" s="164"/>
      <c r="G983" s="161"/>
      <c r="H983" s="161"/>
      <c r="I983" s="161"/>
      <c r="J983" s="161"/>
      <c r="K983" s="161"/>
      <c r="L983" s="166"/>
      <c r="M983" s="166"/>
      <c r="N983" s="166"/>
      <c r="O983" s="166"/>
      <c r="P983" s="166"/>
      <c r="Q983" s="166"/>
      <c r="R983" s="166"/>
      <c r="S983" s="167"/>
      <c r="T983" s="167"/>
      <c r="U983" s="167"/>
      <c r="V983" s="167"/>
      <c r="W983" s="167"/>
      <c r="X983" s="164"/>
      <c r="Y983" s="164"/>
      <c r="Z983" s="172"/>
      <c r="AA983" s="188"/>
      <c r="AB983" s="172"/>
      <c r="AC983" s="172"/>
      <c r="AD983" s="175"/>
      <c r="AE983" s="62" t="s">
        <v>114</v>
      </c>
      <c r="AF983" s="133"/>
      <c r="AG983" s="65"/>
      <c r="AH983" s="64"/>
      <c r="AI983" s="64"/>
      <c r="AJ983" s="64"/>
      <c r="AK983" s="64"/>
      <c r="AL983" s="64"/>
      <c r="AM983" s="80" t="str">
        <f>IFERROR((Tablas!$C$1*VLOOKUP(AH983, tipo_control, 2, 0)+Tablas!$E$1*VLOOKUP(AI983, nat_control, 2, 0)+Tablas!$G$1*VLOOKUP(AJ983, ev_control, 2, 0)+Tablas!$I$1*VLOOKUP(AK983, frec_control, 2, 0)+Tablas!$K$1*VLOOKUP(AL983, doc_control, 2, 0))*0.1*peso_dis, "")</f>
        <v/>
      </c>
      <c r="AN983" s="64"/>
      <c r="AO983" s="64"/>
      <c r="AP983" s="64"/>
      <c r="AQ983" s="80" t="str">
        <f>IFERROR((Tablas!$C$9*VLOOKUP(AN983, amb_control, 2, 0)+Tablas!$E$9*VLOOKUP(AO983, ejec_control, 2, 0)+Tablas!$G$9*VLOOKUP(AP983, cub_control, 2, 0))*0.1*peso_ejec, "")</f>
        <v/>
      </c>
      <c r="AR983" s="91" t="str">
        <f t="shared" si="1672"/>
        <v/>
      </c>
      <c r="AS983" s="85" t="str">
        <f t="shared" si="1705"/>
        <v/>
      </c>
      <c r="AT983" s="85" t="str">
        <f t="shared" si="1706"/>
        <v/>
      </c>
      <c r="AU983" s="85" t="str">
        <f>IF(AR983&lt;Tablas!$G$19, 0, IF(AND(AR983&gt;=Tablas!$G$19, AR983&lt;Tablas!$G$20), 1,  IF(AND(AR983&gt;=Tablas!$G$20, AR983&lt;Tablas!$G$21), 2,  IF(AND(AR983&gt;=Tablas!$G$21, AR983&lt;=Tablas!$G$22), 3,  ""))))</f>
        <v/>
      </c>
      <c r="AV983" s="85" t="str">
        <f t="shared" si="1673"/>
        <v/>
      </c>
      <c r="AW983" s="101" t="str">
        <f t="shared" si="1674"/>
        <v/>
      </c>
      <c r="AX983" s="177"/>
      <c r="AY983" s="169"/>
      <c r="AZ983" s="158"/>
      <c r="BA983" s="169"/>
      <c r="BB983" s="182"/>
      <c r="BC983" s="182"/>
      <c r="BD983" s="185"/>
      <c r="BE983" s="185"/>
      <c r="BF983" s="158" t="str">
        <f t="shared" si="1717"/>
        <v/>
      </c>
      <c r="BG983" s="191"/>
    </row>
    <row r="984" spans="1:59" x14ac:dyDescent="0.25">
      <c r="A984" s="167"/>
      <c r="B984" s="167"/>
      <c r="C984" s="161"/>
      <c r="D984" s="160"/>
      <c r="E984" s="162"/>
      <c r="F984" s="164"/>
      <c r="G984" s="161"/>
      <c r="H984" s="161"/>
      <c r="I984" s="161"/>
      <c r="J984" s="161"/>
      <c r="K984" s="161"/>
      <c r="L984" s="166"/>
      <c r="M984" s="166"/>
      <c r="N984" s="166"/>
      <c r="O984" s="166"/>
      <c r="P984" s="166"/>
      <c r="Q984" s="166"/>
      <c r="R984" s="166"/>
      <c r="S984" s="167"/>
      <c r="T984" s="167"/>
      <c r="U984" s="167"/>
      <c r="V984" s="167"/>
      <c r="W984" s="167"/>
      <c r="X984" s="164"/>
      <c r="Y984" s="164"/>
      <c r="Z984" s="172"/>
      <c r="AA984" s="188"/>
      <c r="AB984" s="172"/>
      <c r="AC984" s="172"/>
      <c r="AD984" s="175"/>
      <c r="AE984" s="62" t="s">
        <v>115</v>
      </c>
      <c r="AF984" s="133"/>
      <c r="AG984" s="65"/>
      <c r="AH984" s="64"/>
      <c r="AI984" s="64"/>
      <c r="AJ984" s="64"/>
      <c r="AK984" s="64"/>
      <c r="AL984" s="64"/>
      <c r="AM984" s="80" t="str">
        <f>IFERROR((Tablas!$C$1*VLOOKUP(AH984, tipo_control, 2, 0)+Tablas!$E$1*VLOOKUP(AI984, nat_control, 2, 0)+Tablas!$G$1*VLOOKUP(AJ984, ev_control, 2, 0)+Tablas!$I$1*VLOOKUP(AK984, frec_control, 2, 0)+Tablas!$K$1*VLOOKUP(AL984, doc_control, 2, 0))*0.1*peso_dis, "")</f>
        <v/>
      </c>
      <c r="AN984" s="64"/>
      <c r="AO984" s="64"/>
      <c r="AP984" s="64"/>
      <c r="AQ984" s="80" t="str">
        <f>IFERROR((Tablas!$C$9*VLOOKUP(AN984, amb_control, 2, 0)+Tablas!$E$9*VLOOKUP(AO984, ejec_control, 2, 0)+Tablas!$G$9*VLOOKUP(AP984, cub_control, 2, 0))*0.1*peso_ejec, "")</f>
        <v/>
      </c>
      <c r="AR984" s="91" t="str">
        <f t="shared" si="1672"/>
        <v/>
      </c>
      <c r="AS984" s="85" t="str">
        <f t="shared" si="1705"/>
        <v/>
      </c>
      <c r="AT984" s="85" t="str">
        <f t="shared" si="1706"/>
        <v/>
      </c>
      <c r="AU984" s="85" t="str">
        <f>IF(AR984&lt;Tablas!$G$19, 0, IF(AND(AR984&gt;=Tablas!$G$19, AR984&lt;Tablas!$G$20), 1,  IF(AND(AR984&gt;=Tablas!$G$20, AR984&lt;Tablas!$G$21), 2,  IF(AND(AR984&gt;=Tablas!$G$21, AR984&lt;=Tablas!$G$22), 3,  ""))))</f>
        <v/>
      </c>
      <c r="AV984" s="85" t="str">
        <f t="shared" si="1673"/>
        <v/>
      </c>
      <c r="AW984" s="101" t="str">
        <f t="shared" si="1674"/>
        <v/>
      </c>
      <c r="AX984" s="177"/>
      <c r="AY984" s="169"/>
      <c r="AZ984" s="158"/>
      <c r="BA984" s="169"/>
      <c r="BB984" s="182"/>
      <c r="BC984" s="182"/>
      <c r="BD984" s="185"/>
      <c r="BE984" s="185"/>
      <c r="BF984" s="158" t="str">
        <f t="shared" si="1717"/>
        <v/>
      </c>
      <c r="BG984" s="191"/>
    </row>
    <row r="985" spans="1:59" x14ac:dyDescent="0.25">
      <c r="A985" s="167"/>
      <c r="B985" s="167"/>
      <c r="C985" s="161"/>
      <c r="D985" s="160"/>
      <c r="E985" s="162"/>
      <c r="F985" s="164"/>
      <c r="G985" s="161"/>
      <c r="H985" s="161"/>
      <c r="I985" s="161"/>
      <c r="J985" s="161"/>
      <c r="K985" s="161"/>
      <c r="L985" s="166"/>
      <c r="M985" s="166"/>
      <c r="N985" s="166"/>
      <c r="O985" s="166"/>
      <c r="P985" s="166"/>
      <c r="Q985" s="166"/>
      <c r="R985" s="166"/>
      <c r="S985" s="167"/>
      <c r="T985" s="167"/>
      <c r="U985" s="167"/>
      <c r="V985" s="167"/>
      <c r="W985" s="167"/>
      <c r="X985" s="164"/>
      <c r="Y985" s="164"/>
      <c r="Z985" s="172"/>
      <c r="AA985" s="188"/>
      <c r="AB985" s="172"/>
      <c r="AC985" s="172"/>
      <c r="AD985" s="175"/>
      <c r="AE985" s="62" t="s">
        <v>153</v>
      </c>
      <c r="AF985" s="133"/>
      <c r="AG985" s="65"/>
      <c r="AH985" s="64"/>
      <c r="AI985" s="64"/>
      <c r="AJ985" s="64"/>
      <c r="AK985" s="64"/>
      <c r="AL985" s="64"/>
      <c r="AM985" s="80" t="str">
        <f>IFERROR((Tablas!$C$1*VLOOKUP(AH985, tipo_control, 2, 0)+Tablas!$E$1*VLOOKUP(AI985, nat_control, 2, 0)+Tablas!$G$1*VLOOKUP(AJ985, ev_control, 2, 0)+Tablas!$I$1*VLOOKUP(AK985, frec_control, 2, 0)+Tablas!$K$1*VLOOKUP(AL985, doc_control, 2, 0))*0.1*peso_dis, "")</f>
        <v/>
      </c>
      <c r="AN985" s="64"/>
      <c r="AO985" s="64"/>
      <c r="AP985" s="64"/>
      <c r="AQ985" s="80" t="str">
        <f>IFERROR((Tablas!$C$9*VLOOKUP(AN985, amb_control, 2, 0)+Tablas!$E$9*VLOOKUP(AO985, ejec_control, 2, 0)+Tablas!$G$9*VLOOKUP(AP985, cub_control, 2, 0))*0.1*peso_ejec, "")</f>
        <v/>
      </c>
      <c r="AR985" s="91" t="str">
        <f t="shared" si="1672"/>
        <v/>
      </c>
      <c r="AS985" s="85" t="str">
        <f t="shared" si="1705"/>
        <v/>
      </c>
      <c r="AT985" s="85" t="str">
        <f t="shared" si="1706"/>
        <v/>
      </c>
      <c r="AU985" s="85" t="str">
        <f>IF(AR985&lt;Tablas!$G$19, 0, IF(AND(AR985&gt;=Tablas!$G$19, AR985&lt;Tablas!$G$20), 1,  IF(AND(AR985&gt;=Tablas!$G$20, AR985&lt;Tablas!$G$21), 2,  IF(AND(AR985&gt;=Tablas!$G$21, AR985&lt;=Tablas!$G$22), 3,  ""))))</f>
        <v/>
      </c>
      <c r="AV985" s="85" t="str">
        <f t="shared" si="1673"/>
        <v/>
      </c>
      <c r="AW985" s="101" t="str">
        <f t="shared" si="1674"/>
        <v/>
      </c>
      <c r="AX985" s="177"/>
      <c r="AY985" s="169"/>
      <c r="AZ985" s="158"/>
      <c r="BA985" s="169"/>
      <c r="BB985" s="182"/>
      <c r="BC985" s="182"/>
      <c r="BD985" s="185"/>
      <c r="BE985" s="185"/>
      <c r="BF985" s="158"/>
      <c r="BG985" s="191"/>
    </row>
    <row r="986" spans="1:59" ht="15.75" thickBot="1" x14ac:dyDescent="0.3">
      <c r="A986" s="167"/>
      <c r="B986" s="167"/>
      <c r="C986" s="161"/>
      <c r="D986" s="160"/>
      <c r="E986" s="162"/>
      <c r="F986" s="165"/>
      <c r="G986" s="161"/>
      <c r="H986" s="161"/>
      <c r="I986" s="161"/>
      <c r="J986" s="161"/>
      <c r="K986" s="161"/>
      <c r="L986" s="166"/>
      <c r="M986" s="166"/>
      <c r="N986" s="166"/>
      <c r="O986" s="166"/>
      <c r="P986" s="166"/>
      <c r="Q986" s="166"/>
      <c r="R986" s="166"/>
      <c r="S986" s="149"/>
      <c r="T986" s="149"/>
      <c r="U986" s="149"/>
      <c r="V986" s="149"/>
      <c r="W986" s="149"/>
      <c r="X986" s="165"/>
      <c r="Y986" s="165"/>
      <c r="Z986" s="172"/>
      <c r="AA986" s="188"/>
      <c r="AB986" s="172"/>
      <c r="AC986" s="172"/>
      <c r="AD986" s="175"/>
      <c r="AE986" s="66" t="s">
        <v>154</v>
      </c>
      <c r="AF986" s="134"/>
      <c r="AG986" s="67"/>
      <c r="AH986" s="69"/>
      <c r="AI986" s="69"/>
      <c r="AJ986" s="69"/>
      <c r="AK986" s="69"/>
      <c r="AL986" s="69"/>
      <c r="AM986" s="81" t="str">
        <f>IFERROR((Tablas!$C$1*VLOOKUP(AH986, tipo_control, 2, 0)+Tablas!$E$1*VLOOKUP(AI986, nat_control, 2, 0)+Tablas!$G$1*VLOOKUP(AJ986, ev_control, 2, 0)+Tablas!$I$1*VLOOKUP(AK986, frec_control, 2, 0)+Tablas!$K$1*VLOOKUP(AL986, doc_control, 2, 0))*0.1*peso_dis, "")</f>
        <v/>
      </c>
      <c r="AN986" s="69"/>
      <c r="AO986" s="69"/>
      <c r="AP986" s="69"/>
      <c r="AQ986" s="81" t="str">
        <f>IFERROR((Tablas!$C$9*VLOOKUP(AN986, amb_control, 2, 0)+Tablas!$E$9*VLOOKUP(AO986, ejec_control, 2, 0)+Tablas!$G$9*VLOOKUP(AP986, cub_control, 2, 0))*0.1*peso_ejec, "")</f>
        <v/>
      </c>
      <c r="AR986" s="93" t="str">
        <f t="shared" si="1672"/>
        <v/>
      </c>
      <c r="AS986" s="94" t="str">
        <f t="shared" si="1705"/>
        <v/>
      </c>
      <c r="AT986" s="94" t="str">
        <f t="shared" si="1706"/>
        <v/>
      </c>
      <c r="AU986" s="94" t="str">
        <f>IF(AR986&lt;Tablas!$G$19, 0, IF(AND(AR986&gt;=Tablas!$G$19, AR986&lt;Tablas!$G$20), 1,  IF(AND(AR986&gt;=Tablas!$G$20, AR986&lt;Tablas!$G$21), 2,  IF(AND(AR986&gt;=Tablas!$G$21, AR986&lt;=Tablas!$G$22), 3,  ""))))</f>
        <v/>
      </c>
      <c r="AV986" s="94" t="str">
        <f t="shared" si="1673"/>
        <v/>
      </c>
      <c r="AW986" s="102" t="str">
        <f t="shared" si="1674"/>
        <v/>
      </c>
      <c r="AX986" s="157"/>
      <c r="AY986" s="170"/>
      <c r="AZ986" s="179"/>
      <c r="BA986" s="170"/>
      <c r="BB986" s="182"/>
      <c r="BC986" s="182"/>
      <c r="BD986" s="185"/>
      <c r="BE986" s="185"/>
      <c r="BF986" s="159"/>
      <c r="BG986" s="191"/>
    </row>
    <row r="987" spans="1:59" x14ac:dyDescent="0.25">
      <c r="A987" s="167"/>
      <c r="B987" s="167"/>
      <c r="C987" s="161" t="s">
        <v>180</v>
      </c>
      <c r="D987" s="160" t="s">
        <v>158</v>
      </c>
      <c r="E987" s="162"/>
      <c r="F987" s="163" t="str">
        <f t="shared" si="1707"/>
        <v/>
      </c>
      <c r="G987" s="149"/>
      <c r="H987" s="149"/>
      <c r="I987" s="149"/>
      <c r="J987" s="149"/>
      <c r="K987" s="149"/>
      <c r="L987" s="165" t="str">
        <f t="shared" ref="L987" si="1718">IFERROR(VLOOKUP(G987, tabla02, 2, 0), "")</f>
        <v/>
      </c>
      <c r="M987" s="165" t="str">
        <f t="shared" ref="M987" si="1719">IFERROR(VLOOKUP(H987, tabla02, 2, 0), "")</f>
        <v/>
      </c>
      <c r="N987" s="165" t="str">
        <f t="shared" ref="N987" si="1720">IFERROR(VLOOKUP(I987, tabla02, 2, 0), "")</f>
        <v/>
      </c>
      <c r="O987" s="165" t="str">
        <f t="shared" ref="O987" si="1721">IFERROR(VLOOKUP(J987, tabla02, 2, 0), "")</f>
        <v/>
      </c>
      <c r="P987" s="165" t="str">
        <f t="shared" ref="P987" si="1722">IFERROR(VLOOKUP(K987, tabla02, 2, 0), "")</f>
        <v/>
      </c>
      <c r="Q987" s="165" t="str">
        <f t="shared" ref="Q987" si="1723">IF(SUM(L987:O991)=0, "", MAX(L987:P987))</f>
        <v/>
      </c>
      <c r="R987" s="165" t="str">
        <f>IFERROR(VLOOKUP(Q987, tabla04, 3, 0), "")</f>
        <v/>
      </c>
      <c r="S987" s="148"/>
      <c r="T987" s="148"/>
      <c r="U987" s="148"/>
      <c r="V987" s="148"/>
      <c r="W987" s="148"/>
      <c r="X987" s="163" t="str">
        <f>IFERROR(VLOOKUP(CONCATENATE(F987, "-", Q987), cuadrante_sev, 3, 0), "")</f>
        <v/>
      </c>
      <c r="Y987" s="163" t="str">
        <f t="shared" ref="Y987" si="1724">IFERROR(IF(X987="Baja", 1, IF(X987="Moderada", 2, IF(X987="Alta", 3, IF(X987="Extrema", 4, "")))), "")</f>
        <v/>
      </c>
      <c r="Z987" s="172"/>
      <c r="AA987" s="188"/>
      <c r="AB987" s="172"/>
      <c r="AC987" s="172"/>
      <c r="AD987" s="175"/>
      <c r="AE987" s="70" t="s">
        <v>113</v>
      </c>
      <c r="AF987" s="135"/>
      <c r="AG987" s="74"/>
      <c r="AH987" s="72"/>
      <c r="AI987" s="72"/>
      <c r="AJ987" s="72"/>
      <c r="AK987" s="72"/>
      <c r="AL987" s="72"/>
      <c r="AM987" s="82" t="str">
        <f>IFERROR((Tablas!$C$1*VLOOKUP(AH987, tipo_control, 2, 0)+Tablas!$E$1*VLOOKUP(AI987, nat_control, 2, 0)+Tablas!$G$1*VLOOKUP(AJ987, ev_control, 2, 0)+Tablas!$I$1*VLOOKUP(AK987, frec_control, 2, 0)+Tablas!$K$1*VLOOKUP(AL987, doc_control, 2, 0))*0.1*peso_dis, "")</f>
        <v/>
      </c>
      <c r="AN987" s="72"/>
      <c r="AO987" s="72"/>
      <c r="AP987" s="72"/>
      <c r="AQ987" s="82" t="str">
        <f>IFERROR((Tablas!$C$9*VLOOKUP(AN987, amb_control, 2, 0)+Tablas!$E$9*VLOOKUP(AO987, ejec_control, 2, 0)+Tablas!$G$9*VLOOKUP(AP987, cub_control, 2, 0))*0.1*peso_ejec, "")</f>
        <v/>
      </c>
      <c r="AR987" s="96" t="str">
        <f t="shared" si="1672"/>
        <v/>
      </c>
      <c r="AS987" s="97" t="str">
        <f t="shared" si="1705"/>
        <v/>
      </c>
      <c r="AT987" s="87" t="str">
        <f t="shared" si="1706"/>
        <v/>
      </c>
      <c r="AU987" s="97" t="str">
        <f>IF(AR987&lt;Tablas!$G$19, 0, IF(AND(AR987&gt;=Tablas!$G$19, AR987&lt;Tablas!$G$20), 1,  IF(AND(AR987&gt;=Tablas!$G$20, AR987&lt;Tablas!$G$21), 2,  IF(AND(AR987&gt;=Tablas!$G$21, AR987&lt;=Tablas!$G$22), 3,  ""))))</f>
        <v/>
      </c>
      <c r="AV987" s="97" t="str">
        <f t="shared" si="1673"/>
        <v/>
      </c>
      <c r="AW987" s="103" t="str">
        <f t="shared" si="1674"/>
        <v/>
      </c>
      <c r="AX987" s="176" t="str">
        <f t="shared" ref="AX987" si="1725">IFERROR(VLOOKUP(AY987, tabla04, 2, 0), "")</f>
        <v/>
      </c>
      <c r="AY987" s="168" t="str">
        <f>IF(F987="", "", IF((F987-MAX(AV987:AV991))&lt;=0, 1, F987-MAX(AV987:AV991)))</f>
        <v/>
      </c>
      <c r="AZ987" s="178" t="str">
        <f t="shared" ref="AZ987" si="1726">IFERROR(VLOOKUP(BA987, tabla04, 3, 0), "")</f>
        <v/>
      </c>
      <c r="BA987" s="168" t="str">
        <f>IF(Q987="", "", IF((Q987-MAX(AW987:AW991))&lt;=0, 1, Q987-MAX(AW987:AW991)))</f>
        <v/>
      </c>
      <c r="BB987" s="182"/>
      <c r="BC987" s="182"/>
      <c r="BD987" s="185"/>
      <c r="BE987" s="185"/>
      <c r="BF987" s="158" t="str">
        <f t="shared" ref="BF987:BF989" si="1727">IFERROR(VLOOKUP(CONCATENATE(AY987, "-", BA987), cuadrante_sev, 3, 0), "")</f>
        <v/>
      </c>
      <c r="BG987" s="191"/>
    </row>
    <row r="988" spans="1:59" x14ac:dyDescent="0.25">
      <c r="A988" s="167"/>
      <c r="B988" s="167"/>
      <c r="C988" s="161"/>
      <c r="D988" s="160"/>
      <c r="E988" s="162"/>
      <c r="F988" s="164"/>
      <c r="G988" s="161"/>
      <c r="H988" s="161"/>
      <c r="I988" s="161"/>
      <c r="J988" s="161"/>
      <c r="K988" s="161"/>
      <c r="L988" s="166"/>
      <c r="M988" s="166"/>
      <c r="N988" s="166"/>
      <c r="O988" s="166"/>
      <c r="P988" s="166"/>
      <c r="Q988" s="166"/>
      <c r="R988" s="166"/>
      <c r="S988" s="167"/>
      <c r="T988" s="167"/>
      <c r="U988" s="167"/>
      <c r="V988" s="167"/>
      <c r="W988" s="167"/>
      <c r="X988" s="164"/>
      <c r="Y988" s="164"/>
      <c r="Z988" s="172"/>
      <c r="AA988" s="188"/>
      <c r="AB988" s="172"/>
      <c r="AC988" s="172"/>
      <c r="AD988" s="175"/>
      <c r="AE988" s="62" t="s">
        <v>114</v>
      </c>
      <c r="AF988" s="133"/>
      <c r="AG988" s="65"/>
      <c r="AH988" s="64"/>
      <c r="AI988" s="64"/>
      <c r="AJ988" s="64"/>
      <c r="AK988" s="64"/>
      <c r="AL988" s="64"/>
      <c r="AM988" s="80" t="str">
        <f>IFERROR((Tablas!$C$1*VLOOKUP(AH988, tipo_control, 2, 0)+Tablas!$E$1*VLOOKUP(AI988, nat_control, 2, 0)+Tablas!$G$1*VLOOKUP(AJ988, ev_control, 2, 0)+Tablas!$I$1*VLOOKUP(AK988, frec_control, 2, 0)+Tablas!$K$1*VLOOKUP(AL988, doc_control, 2, 0))*0.1*peso_dis, "")</f>
        <v/>
      </c>
      <c r="AN988" s="64"/>
      <c r="AO988" s="64"/>
      <c r="AP988" s="64"/>
      <c r="AQ988" s="80" t="str">
        <f>IFERROR((Tablas!$C$9*VLOOKUP(AN988, amb_control, 2, 0)+Tablas!$E$9*VLOOKUP(AO988, ejec_control, 2, 0)+Tablas!$G$9*VLOOKUP(AP988, cub_control, 2, 0))*0.1*peso_ejec, "")</f>
        <v/>
      </c>
      <c r="AR988" s="91" t="str">
        <f t="shared" si="1672"/>
        <v/>
      </c>
      <c r="AS988" s="85" t="str">
        <f t="shared" si="1705"/>
        <v/>
      </c>
      <c r="AT988" s="85" t="str">
        <f t="shared" si="1706"/>
        <v/>
      </c>
      <c r="AU988" s="85" t="str">
        <f>IF(AR988&lt;Tablas!$G$19, 0, IF(AND(AR988&gt;=Tablas!$G$19, AR988&lt;Tablas!$G$20), 1,  IF(AND(AR988&gt;=Tablas!$G$20, AR988&lt;Tablas!$G$21), 2,  IF(AND(AR988&gt;=Tablas!$G$21, AR988&lt;=Tablas!$G$22), 3,  ""))))</f>
        <v/>
      </c>
      <c r="AV988" s="85" t="str">
        <f t="shared" si="1673"/>
        <v/>
      </c>
      <c r="AW988" s="101" t="str">
        <f t="shared" si="1674"/>
        <v/>
      </c>
      <c r="AX988" s="177"/>
      <c r="AY988" s="169"/>
      <c r="AZ988" s="158"/>
      <c r="BA988" s="169"/>
      <c r="BB988" s="182"/>
      <c r="BC988" s="182"/>
      <c r="BD988" s="185"/>
      <c r="BE988" s="185"/>
      <c r="BF988" s="158" t="str">
        <f t="shared" si="1727"/>
        <v/>
      </c>
      <c r="BG988" s="191"/>
    </row>
    <row r="989" spans="1:59" x14ac:dyDescent="0.25">
      <c r="A989" s="167"/>
      <c r="B989" s="167"/>
      <c r="C989" s="161"/>
      <c r="D989" s="160"/>
      <c r="E989" s="162"/>
      <c r="F989" s="164"/>
      <c r="G989" s="161"/>
      <c r="H989" s="161"/>
      <c r="I989" s="161"/>
      <c r="J989" s="161"/>
      <c r="K989" s="161"/>
      <c r="L989" s="166"/>
      <c r="M989" s="166"/>
      <c r="N989" s="166"/>
      <c r="O989" s="166"/>
      <c r="P989" s="166"/>
      <c r="Q989" s="166"/>
      <c r="R989" s="166"/>
      <c r="S989" s="167"/>
      <c r="T989" s="167"/>
      <c r="U989" s="167"/>
      <c r="V989" s="167"/>
      <c r="W989" s="167"/>
      <c r="X989" s="164"/>
      <c r="Y989" s="164"/>
      <c r="Z989" s="172"/>
      <c r="AA989" s="188"/>
      <c r="AB989" s="172"/>
      <c r="AC989" s="172"/>
      <c r="AD989" s="175"/>
      <c r="AE989" s="62" t="s">
        <v>115</v>
      </c>
      <c r="AF989" s="133"/>
      <c r="AG989" s="65"/>
      <c r="AH989" s="64"/>
      <c r="AI989" s="64"/>
      <c r="AJ989" s="64"/>
      <c r="AK989" s="64"/>
      <c r="AL989" s="64"/>
      <c r="AM989" s="80" t="str">
        <f>IFERROR((Tablas!$C$1*VLOOKUP(AH989, tipo_control, 2, 0)+Tablas!$E$1*VLOOKUP(AI989, nat_control, 2, 0)+Tablas!$G$1*VLOOKUP(AJ989, ev_control, 2, 0)+Tablas!$I$1*VLOOKUP(AK989, frec_control, 2, 0)+Tablas!$K$1*VLOOKUP(AL989, doc_control, 2, 0))*0.1*peso_dis, "")</f>
        <v/>
      </c>
      <c r="AN989" s="64"/>
      <c r="AO989" s="64"/>
      <c r="AP989" s="64"/>
      <c r="AQ989" s="80" t="str">
        <f>IFERROR((Tablas!$C$9*VLOOKUP(AN989, amb_control, 2, 0)+Tablas!$E$9*VLOOKUP(AO989, ejec_control, 2, 0)+Tablas!$G$9*VLOOKUP(AP989, cub_control, 2, 0))*0.1*peso_ejec, "")</f>
        <v/>
      </c>
      <c r="AR989" s="91" t="str">
        <f t="shared" si="1672"/>
        <v/>
      </c>
      <c r="AS989" s="85" t="str">
        <f t="shared" si="1705"/>
        <v/>
      </c>
      <c r="AT989" s="85" t="str">
        <f t="shared" si="1706"/>
        <v/>
      </c>
      <c r="AU989" s="85" t="str">
        <f>IF(AR989&lt;Tablas!$G$19, 0, IF(AND(AR989&gt;=Tablas!$G$19, AR989&lt;Tablas!$G$20), 1,  IF(AND(AR989&gt;=Tablas!$G$20, AR989&lt;Tablas!$G$21), 2,  IF(AND(AR989&gt;=Tablas!$G$21, AR989&lt;=Tablas!$G$22), 3,  ""))))</f>
        <v/>
      </c>
      <c r="AV989" s="85" t="str">
        <f t="shared" si="1673"/>
        <v/>
      </c>
      <c r="AW989" s="101" t="str">
        <f t="shared" si="1674"/>
        <v/>
      </c>
      <c r="AX989" s="177"/>
      <c r="AY989" s="169"/>
      <c r="AZ989" s="158"/>
      <c r="BA989" s="169"/>
      <c r="BB989" s="182"/>
      <c r="BC989" s="182"/>
      <c r="BD989" s="185"/>
      <c r="BE989" s="185"/>
      <c r="BF989" s="158" t="str">
        <f t="shared" si="1727"/>
        <v/>
      </c>
      <c r="BG989" s="191"/>
    </row>
    <row r="990" spans="1:59" x14ac:dyDescent="0.25">
      <c r="A990" s="167"/>
      <c r="B990" s="167"/>
      <c r="C990" s="161"/>
      <c r="D990" s="160"/>
      <c r="E990" s="162"/>
      <c r="F990" s="164"/>
      <c r="G990" s="161"/>
      <c r="H990" s="161"/>
      <c r="I990" s="161"/>
      <c r="J990" s="161"/>
      <c r="K990" s="161"/>
      <c r="L990" s="166"/>
      <c r="M990" s="166"/>
      <c r="N990" s="166"/>
      <c r="O990" s="166"/>
      <c r="P990" s="166"/>
      <c r="Q990" s="166"/>
      <c r="R990" s="166"/>
      <c r="S990" s="167"/>
      <c r="T990" s="167"/>
      <c r="U990" s="167"/>
      <c r="V990" s="167"/>
      <c r="W990" s="167"/>
      <c r="X990" s="164"/>
      <c r="Y990" s="164"/>
      <c r="Z990" s="172"/>
      <c r="AA990" s="188"/>
      <c r="AB990" s="172"/>
      <c r="AC990" s="172"/>
      <c r="AD990" s="175"/>
      <c r="AE990" s="62" t="s">
        <v>153</v>
      </c>
      <c r="AF990" s="133"/>
      <c r="AG990" s="65"/>
      <c r="AH990" s="64"/>
      <c r="AI990" s="64"/>
      <c r="AJ990" s="64"/>
      <c r="AK990" s="64"/>
      <c r="AL990" s="64"/>
      <c r="AM990" s="80" t="str">
        <f>IFERROR((Tablas!$C$1*VLOOKUP(AH990, tipo_control, 2, 0)+Tablas!$E$1*VLOOKUP(AI990, nat_control, 2, 0)+Tablas!$G$1*VLOOKUP(AJ990, ev_control, 2, 0)+Tablas!$I$1*VLOOKUP(AK990, frec_control, 2, 0)+Tablas!$K$1*VLOOKUP(AL990, doc_control, 2, 0))*0.1*peso_dis, "")</f>
        <v/>
      </c>
      <c r="AN990" s="64"/>
      <c r="AO990" s="64"/>
      <c r="AP990" s="64"/>
      <c r="AQ990" s="80" t="str">
        <f>IFERROR((Tablas!$C$9*VLOOKUP(AN990, amb_control, 2, 0)+Tablas!$E$9*VLOOKUP(AO990, ejec_control, 2, 0)+Tablas!$G$9*VLOOKUP(AP990, cub_control, 2, 0))*0.1*peso_ejec, "")</f>
        <v/>
      </c>
      <c r="AR990" s="91" t="str">
        <f t="shared" si="1672"/>
        <v/>
      </c>
      <c r="AS990" s="85" t="str">
        <f t="shared" si="1705"/>
        <v/>
      </c>
      <c r="AT990" s="85" t="str">
        <f t="shared" si="1706"/>
        <v/>
      </c>
      <c r="AU990" s="85" t="str">
        <f>IF(AR990&lt;Tablas!$G$19, 0, IF(AND(AR990&gt;=Tablas!$G$19, AR990&lt;Tablas!$G$20), 1,  IF(AND(AR990&gt;=Tablas!$G$20, AR990&lt;Tablas!$G$21), 2,  IF(AND(AR990&gt;=Tablas!$G$21, AR990&lt;=Tablas!$G$22), 3,  ""))))</f>
        <v/>
      </c>
      <c r="AV990" s="85" t="str">
        <f t="shared" si="1673"/>
        <v/>
      </c>
      <c r="AW990" s="101" t="str">
        <f t="shared" si="1674"/>
        <v/>
      </c>
      <c r="AX990" s="177"/>
      <c r="AY990" s="169"/>
      <c r="AZ990" s="158"/>
      <c r="BA990" s="169"/>
      <c r="BB990" s="182"/>
      <c r="BC990" s="182"/>
      <c r="BD990" s="185"/>
      <c r="BE990" s="185"/>
      <c r="BF990" s="158"/>
      <c r="BG990" s="191"/>
    </row>
    <row r="991" spans="1:59" ht="15.75" thickBot="1" x14ac:dyDescent="0.3">
      <c r="A991" s="167"/>
      <c r="B991" s="167"/>
      <c r="C991" s="161"/>
      <c r="D991" s="160"/>
      <c r="E991" s="162"/>
      <c r="F991" s="165"/>
      <c r="G991" s="161"/>
      <c r="H991" s="161"/>
      <c r="I991" s="161"/>
      <c r="J991" s="161"/>
      <c r="K991" s="161"/>
      <c r="L991" s="166"/>
      <c r="M991" s="166"/>
      <c r="N991" s="166"/>
      <c r="O991" s="166"/>
      <c r="P991" s="166"/>
      <c r="Q991" s="166"/>
      <c r="R991" s="166"/>
      <c r="S991" s="149"/>
      <c r="T991" s="149"/>
      <c r="U991" s="149"/>
      <c r="V991" s="149"/>
      <c r="W991" s="149"/>
      <c r="X991" s="165"/>
      <c r="Y991" s="165"/>
      <c r="Z991" s="172"/>
      <c r="AA991" s="188"/>
      <c r="AB991" s="172"/>
      <c r="AC991" s="172"/>
      <c r="AD991" s="175"/>
      <c r="AE991" s="66" t="s">
        <v>154</v>
      </c>
      <c r="AF991" s="134"/>
      <c r="AG991" s="67"/>
      <c r="AH991" s="69"/>
      <c r="AI991" s="69"/>
      <c r="AJ991" s="69"/>
      <c r="AK991" s="69"/>
      <c r="AL991" s="69"/>
      <c r="AM991" s="81" t="str">
        <f>IFERROR((Tablas!$C$1*VLOOKUP(AH991, tipo_control, 2, 0)+Tablas!$E$1*VLOOKUP(AI991, nat_control, 2, 0)+Tablas!$G$1*VLOOKUP(AJ991, ev_control, 2, 0)+Tablas!$I$1*VLOOKUP(AK991, frec_control, 2, 0)+Tablas!$K$1*VLOOKUP(AL991, doc_control, 2, 0))*0.1*peso_dis, "")</f>
        <v/>
      </c>
      <c r="AN991" s="69"/>
      <c r="AO991" s="69"/>
      <c r="AP991" s="69"/>
      <c r="AQ991" s="81" t="str">
        <f>IFERROR((Tablas!$C$9*VLOOKUP(AN991, amb_control, 2, 0)+Tablas!$E$9*VLOOKUP(AO991, ejec_control, 2, 0)+Tablas!$G$9*VLOOKUP(AP991, cub_control, 2, 0))*0.1*peso_ejec, "")</f>
        <v/>
      </c>
      <c r="AR991" s="93" t="str">
        <f t="shared" si="1672"/>
        <v/>
      </c>
      <c r="AS991" s="94" t="str">
        <f t="shared" si="1705"/>
        <v/>
      </c>
      <c r="AT991" s="94" t="str">
        <f t="shared" si="1706"/>
        <v/>
      </c>
      <c r="AU991" s="94" t="str">
        <f>IF(AR991&lt;Tablas!$G$19, 0, IF(AND(AR991&gt;=Tablas!$G$19, AR991&lt;Tablas!$G$20), 1,  IF(AND(AR991&gt;=Tablas!$G$20, AR991&lt;Tablas!$G$21), 2,  IF(AND(AR991&gt;=Tablas!$G$21, AR991&lt;=Tablas!$G$22), 3,  ""))))</f>
        <v/>
      </c>
      <c r="AV991" s="94" t="str">
        <f t="shared" si="1673"/>
        <v/>
      </c>
      <c r="AW991" s="102" t="str">
        <f t="shared" si="1674"/>
        <v/>
      </c>
      <c r="AX991" s="157"/>
      <c r="AY991" s="170"/>
      <c r="AZ991" s="179"/>
      <c r="BA991" s="170"/>
      <c r="BB991" s="182"/>
      <c r="BC991" s="182"/>
      <c r="BD991" s="185"/>
      <c r="BE991" s="185"/>
      <c r="BF991" s="159"/>
      <c r="BG991" s="191"/>
    </row>
    <row r="992" spans="1:59" x14ac:dyDescent="0.25">
      <c r="A992" s="167"/>
      <c r="B992" s="167"/>
      <c r="C992" s="161" t="s">
        <v>181</v>
      </c>
      <c r="D992" s="160" t="s">
        <v>158</v>
      </c>
      <c r="E992" s="162"/>
      <c r="F992" s="163" t="str">
        <f t="shared" si="1707"/>
        <v/>
      </c>
      <c r="G992" s="149"/>
      <c r="H992" s="149"/>
      <c r="I992" s="149"/>
      <c r="J992" s="149"/>
      <c r="K992" s="149"/>
      <c r="L992" s="165" t="str">
        <f t="shared" ref="L992" si="1728">IFERROR(VLOOKUP(G992, tabla02, 2, 0), "")</f>
        <v/>
      </c>
      <c r="M992" s="165" t="str">
        <f t="shared" ref="M992" si="1729">IFERROR(VLOOKUP(H992, tabla02, 2, 0), "")</f>
        <v/>
      </c>
      <c r="N992" s="165" t="str">
        <f t="shared" ref="N992" si="1730">IFERROR(VLOOKUP(I992, tabla02, 2, 0), "")</f>
        <v/>
      </c>
      <c r="O992" s="165" t="str">
        <f t="shared" ref="O992" si="1731">IFERROR(VLOOKUP(J992, tabla02, 2, 0), "")</f>
        <v/>
      </c>
      <c r="P992" s="165" t="str">
        <f t="shared" ref="P992" si="1732">IFERROR(VLOOKUP(K992, tabla02, 2, 0), "")</f>
        <v/>
      </c>
      <c r="Q992" s="165" t="str">
        <f t="shared" ref="Q992" si="1733">IF(SUM(L992:O996)=0, "", MAX(L992:P992))</f>
        <v/>
      </c>
      <c r="R992" s="165" t="str">
        <f>IFERROR(VLOOKUP(Q992, tabla04, 3, 0), "")</f>
        <v/>
      </c>
      <c r="S992" s="148"/>
      <c r="T992" s="148"/>
      <c r="U992" s="148"/>
      <c r="V992" s="148"/>
      <c r="W992" s="148"/>
      <c r="X992" s="163" t="str">
        <f>IFERROR(VLOOKUP(CONCATENATE(F992, "-", Q992), cuadrante_sev, 3, 0), "")</f>
        <v/>
      </c>
      <c r="Y992" s="163" t="str">
        <f t="shared" ref="Y992" si="1734">IFERROR(IF(X992="Baja", 1, IF(X992="Moderada", 2, IF(X992="Alta", 3, IF(X992="Extrema", 4, "")))), "")</f>
        <v/>
      </c>
      <c r="Z992" s="172"/>
      <c r="AA992" s="188"/>
      <c r="AB992" s="172"/>
      <c r="AC992" s="172"/>
      <c r="AD992" s="175"/>
      <c r="AE992" s="70" t="s">
        <v>113</v>
      </c>
      <c r="AF992" s="135"/>
      <c r="AG992" s="74"/>
      <c r="AH992" s="72"/>
      <c r="AI992" s="72"/>
      <c r="AJ992" s="72"/>
      <c r="AK992" s="72"/>
      <c r="AL992" s="72"/>
      <c r="AM992" s="82" t="str">
        <f>IFERROR((Tablas!$C$1*VLOOKUP(AH992, tipo_control, 2, 0)+Tablas!$E$1*VLOOKUP(AI992, nat_control, 2, 0)+Tablas!$G$1*VLOOKUP(AJ992, ev_control, 2, 0)+Tablas!$I$1*VLOOKUP(AK992, frec_control, 2, 0)+Tablas!$K$1*VLOOKUP(AL992, doc_control, 2, 0))*0.1*peso_dis, "")</f>
        <v/>
      </c>
      <c r="AN992" s="72"/>
      <c r="AO992" s="72"/>
      <c r="AP992" s="72"/>
      <c r="AQ992" s="82" t="str">
        <f>IFERROR((Tablas!$C$9*VLOOKUP(AN992, amb_control, 2, 0)+Tablas!$E$9*VLOOKUP(AO992, ejec_control, 2, 0)+Tablas!$G$9*VLOOKUP(AP992, cub_control, 2, 0))*0.1*peso_ejec, "")</f>
        <v/>
      </c>
      <c r="AR992" s="96" t="str">
        <f t="shared" si="1672"/>
        <v/>
      </c>
      <c r="AS992" s="97" t="str">
        <f t="shared" si="1705"/>
        <v/>
      </c>
      <c r="AT992" s="87" t="str">
        <f t="shared" si="1706"/>
        <v/>
      </c>
      <c r="AU992" s="97" t="str">
        <f>IF(AR992&lt;Tablas!$G$19, 0, IF(AND(AR992&gt;=Tablas!$G$19, AR992&lt;Tablas!$G$20), 1,  IF(AND(AR992&gt;=Tablas!$G$20, AR992&lt;Tablas!$G$21), 2,  IF(AND(AR992&gt;=Tablas!$G$21, AR992&lt;=Tablas!$G$22), 3,  ""))))</f>
        <v/>
      </c>
      <c r="AV992" s="97" t="str">
        <f t="shared" si="1673"/>
        <v/>
      </c>
      <c r="AW992" s="103" t="str">
        <f t="shared" si="1674"/>
        <v/>
      </c>
      <c r="AX992" s="176" t="str">
        <f t="shared" ref="AX992" si="1735">IFERROR(VLOOKUP(AY992, tabla04, 2, 0), "")</f>
        <v/>
      </c>
      <c r="AY992" s="168" t="str">
        <f>IF(F992="", "", IF((F992-MAX(AV992:AV996))&lt;=0, 1, F992-MAX(AV992:AV996)))</f>
        <v/>
      </c>
      <c r="AZ992" s="178" t="str">
        <f t="shared" ref="AZ992" si="1736">IFERROR(VLOOKUP(BA992, tabla04, 3, 0), "")</f>
        <v/>
      </c>
      <c r="BA992" s="168" t="str">
        <f>IF(Q992="", "", IF((Q992-MAX(AW992:AW996))&lt;=0, 1, Q992-MAX(AW992:AW996)))</f>
        <v/>
      </c>
      <c r="BB992" s="182"/>
      <c r="BC992" s="182"/>
      <c r="BD992" s="185"/>
      <c r="BE992" s="185"/>
      <c r="BF992" s="158" t="str">
        <f t="shared" ref="BF992:BF994" si="1737">IFERROR(VLOOKUP(CONCATENATE(AY992, "-", BA992), cuadrante_sev, 3, 0), "")</f>
        <v/>
      </c>
      <c r="BG992" s="191"/>
    </row>
    <row r="993" spans="1:59" x14ac:dyDescent="0.25">
      <c r="A993" s="167"/>
      <c r="B993" s="167"/>
      <c r="C993" s="161"/>
      <c r="D993" s="160"/>
      <c r="E993" s="162"/>
      <c r="F993" s="164"/>
      <c r="G993" s="161"/>
      <c r="H993" s="161"/>
      <c r="I993" s="161"/>
      <c r="J993" s="161"/>
      <c r="K993" s="161"/>
      <c r="L993" s="166"/>
      <c r="M993" s="166"/>
      <c r="N993" s="166"/>
      <c r="O993" s="166"/>
      <c r="P993" s="166"/>
      <c r="Q993" s="166"/>
      <c r="R993" s="166"/>
      <c r="S993" s="167"/>
      <c r="T993" s="167"/>
      <c r="U993" s="167"/>
      <c r="V993" s="167"/>
      <c r="W993" s="167"/>
      <c r="X993" s="164"/>
      <c r="Y993" s="164"/>
      <c r="Z993" s="172"/>
      <c r="AA993" s="188"/>
      <c r="AB993" s="172"/>
      <c r="AC993" s="172"/>
      <c r="AD993" s="175"/>
      <c r="AE993" s="62" t="s">
        <v>114</v>
      </c>
      <c r="AF993" s="133"/>
      <c r="AG993" s="65"/>
      <c r="AH993" s="64"/>
      <c r="AI993" s="64"/>
      <c r="AJ993" s="64"/>
      <c r="AK993" s="64"/>
      <c r="AL993" s="64"/>
      <c r="AM993" s="80" t="str">
        <f>IFERROR((Tablas!$C$1*VLOOKUP(AH993, tipo_control, 2, 0)+Tablas!$E$1*VLOOKUP(AI993, nat_control, 2, 0)+Tablas!$G$1*VLOOKUP(AJ993, ev_control, 2, 0)+Tablas!$I$1*VLOOKUP(AK993, frec_control, 2, 0)+Tablas!$K$1*VLOOKUP(AL993, doc_control, 2, 0))*0.1*peso_dis, "")</f>
        <v/>
      </c>
      <c r="AN993" s="64"/>
      <c r="AO993" s="64"/>
      <c r="AP993" s="64"/>
      <c r="AQ993" s="80" t="str">
        <f>IFERROR((Tablas!$C$9*VLOOKUP(AN993, amb_control, 2, 0)+Tablas!$E$9*VLOOKUP(AO993, ejec_control, 2, 0)+Tablas!$G$9*VLOOKUP(AP993, cub_control, 2, 0))*0.1*peso_ejec, "")</f>
        <v/>
      </c>
      <c r="AR993" s="91" t="str">
        <f t="shared" si="1672"/>
        <v/>
      </c>
      <c r="AS993" s="85" t="str">
        <f t="shared" si="1705"/>
        <v/>
      </c>
      <c r="AT993" s="85" t="str">
        <f t="shared" si="1706"/>
        <v/>
      </c>
      <c r="AU993" s="85" t="str">
        <f>IF(AR993&lt;Tablas!$G$19, 0, IF(AND(AR993&gt;=Tablas!$G$19, AR993&lt;Tablas!$G$20), 1,  IF(AND(AR993&gt;=Tablas!$G$20, AR993&lt;Tablas!$G$21), 2,  IF(AND(AR993&gt;=Tablas!$G$21, AR993&lt;=Tablas!$G$22), 3,  ""))))</f>
        <v/>
      </c>
      <c r="AV993" s="85" t="str">
        <f t="shared" si="1673"/>
        <v/>
      </c>
      <c r="AW993" s="101" t="str">
        <f t="shared" si="1674"/>
        <v/>
      </c>
      <c r="AX993" s="177"/>
      <c r="AY993" s="169"/>
      <c r="AZ993" s="158"/>
      <c r="BA993" s="169"/>
      <c r="BB993" s="182"/>
      <c r="BC993" s="182"/>
      <c r="BD993" s="185"/>
      <c r="BE993" s="185"/>
      <c r="BF993" s="158" t="str">
        <f t="shared" si="1737"/>
        <v/>
      </c>
      <c r="BG993" s="191"/>
    </row>
    <row r="994" spans="1:59" x14ac:dyDescent="0.25">
      <c r="A994" s="167"/>
      <c r="B994" s="167"/>
      <c r="C994" s="161"/>
      <c r="D994" s="160"/>
      <c r="E994" s="162"/>
      <c r="F994" s="164"/>
      <c r="G994" s="161"/>
      <c r="H994" s="161"/>
      <c r="I994" s="161"/>
      <c r="J994" s="161"/>
      <c r="K994" s="161"/>
      <c r="L994" s="166"/>
      <c r="M994" s="166"/>
      <c r="N994" s="166"/>
      <c r="O994" s="166"/>
      <c r="P994" s="166"/>
      <c r="Q994" s="166"/>
      <c r="R994" s="166"/>
      <c r="S994" s="167"/>
      <c r="T994" s="167"/>
      <c r="U994" s="167"/>
      <c r="V994" s="167"/>
      <c r="W994" s="167"/>
      <c r="X994" s="164"/>
      <c r="Y994" s="164"/>
      <c r="Z994" s="172"/>
      <c r="AA994" s="188"/>
      <c r="AB994" s="172"/>
      <c r="AC994" s="172"/>
      <c r="AD994" s="175"/>
      <c r="AE994" s="62" t="s">
        <v>115</v>
      </c>
      <c r="AF994" s="133"/>
      <c r="AG994" s="65"/>
      <c r="AH994" s="64"/>
      <c r="AI994" s="64"/>
      <c r="AJ994" s="64"/>
      <c r="AK994" s="64"/>
      <c r="AL994" s="64"/>
      <c r="AM994" s="80" t="str">
        <f>IFERROR((Tablas!$C$1*VLOOKUP(AH994, tipo_control, 2, 0)+Tablas!$E$1*VLOOKUP(AI994, nat_control, 2, 0)+Tablas!$G$1*VLOOKUP(AJ994, ev_control, 2, 0)+Tablas!$I$1*VLOOKUP(AK994, frec_control, 2, 0)+Tablas!$K$1*VLOOKUP(AL994, doc_control, 2, 0))*0.1*peso_dis, "")</f>
        <v/>
      </c>
      <c r="AN994" s="64"/>
      <c r="AO994" s="64"/>
      <c r="AP994" s="64"/>
      <c r="AQ994" s="80" t="str">
        <f>IFERROR((Tablas!$C$9*VLOOKUP(AN994, amb_control, 2, 0)+Tablas!$E$9*VLOOKUP(AO994, ejec_control, 2, 0)+Tablas!$G$9*VLOOKUP(AP994, cub_control, 2, 0))*0.1*peso_ejec, "")</f>
        <v/>
      </c>
      <c r="AR994" s="91" t="str">
        <f t="shared" si="1672"/>
        <v/>
      </c>
      <c r="AS994" s="85" t="str">
        <f t="shared" si="1705"/>
        <v/>
      </c>
      <c r="AT994" s="85" t="str">
        <f t="shared" si="1706"/>
        <v/>
      </c>
      <c r="AU994" s="85" t="str">
        <f>IF(AR994&lt;Tablas!$G$19, 0, IF(AND(AR994&gt;=Tablas!$G$19, AR994&lt;Tablas!$G$20), 1,  IF(AND(AR994&gt;=Tablas!$G$20, AR994&lt;Tablas!$G$21), 2,  IF(AND(AR994&gt;=Tablas!$G$21, AR994&lt;=Tablas!$G$22), 3,  ""))))</f>
        <v/>
      </c>
      <c r="AV994" s="85" t="str">
        <f t="shared" si="1673"/>
        <v/>
      </c>
      <c r="AW994" s="101" t="str">
        <f t="shared" si="1674"/>
        <v/>
      </c>
      <c r="AX994" s="177"/>
      <c r="AY994" s="169"/>
      <c r="AZ994" s="158"/>
      <c r="BA994" s="169"/>
      <c r="BB994" s="182"/>
      <c r="BC994" s="182"/>
      <c r="BD994" s="185"/>
      <c r="BE994" s="185"/>
      <c r="BF994" s="158" t="str">
        <f t="shared" si="1737"/>
        <v/>
      </c>
      <c r="BG994" s="191"/>
    </row>
    <row r="995" spans="1:59" x14ac:dyDescent="0.25">
      <c r="A995" s="167"/>
      <c r="B995" s="167"/>
      <c r="C995" s="161"/>
      <c r="D995" s="160"/>
      <c r="E995" s="162"/>
      <c r="F995" s="164"/>
      <c r="G995" s="161"/>
      <c r="H995" s="161"/>
      <c r="I995" s="161"/>
      <c r="J995" s="161"/>
      <c r="K995" s="161"/>
      <c r="L995" s="166"/>
      <c r="M995" s="166"/>
      <c r="N995" s="166"/>
      <c r="O995" s="166"/>
      <c r="P995" s="166"/>
      <c r="Q995" s="166"/>
      <c r="R995" s="166"/>
      <c r="S995" s="167"/>
      <c r="T995" s="167"/>
      <c r="U995" s="167"/>
      <c r="V995" s="167"/>
      <c r="W995" s="167"/>
      <c r="X995" s="164"/>
      <c r="Y995" s="164"/>
      <c r="Z995" s="172"/>
      <c r="AA995" s="188"/>
      <c r="AB995" s="172"/>
      <c r="AC995" s="172"/>
      <c r="AD995" s="175"/>
      <c r="AE995" s="62" t="s">
        <v>153</v>
      </c>
      <c r="AF995" s="133"/>
      <c r="AG995" s="65"/>
      <c r="AH995" s="64"/>
      <c r="AI995" s="64"/>
      <c r="AJ995" s="64"/>
      <c r="AK995" s="64"/>
      <c r="AL995" s="64"/>
      <c r="AM995" s="80" t="str">
        <f>IFERROR((Tablas!$C$1*VLOOKUP(AH995, tipo_control, 2, 0)+Tablas!$E$1*VLOOKUP(AI995, nat_control, 2, 0)+Tablas!$G$1*VLOOKUP(AJ995, ev_control, 2, 0)+Tablas!$I$1*VLOOKUP(AK995, frec_control, 2, 0)+Tablas!$K$1*VLOOKUP(AL995, doc_control, 2, 0))*0.1*peso_dis, "")</f>
        <v/>
      </c>
      <c r="AN995" s="64"/>
      <c r="AO995" s="64"/>
      <c r="AP995" s="64"/>
      <c r="AQ995" s="80" t="str">
        <f>IFERROR((Tablas!$C$9*VLOOKUP(AN995, amb_control, 2, 0)+Tablas!$E$9*VLOOKUP(AO995, ejec_control, 2, 0)+Tablas!$G$9*VLOOKUP(AP995, cub_control, 2, 0))*0.1*peso_ejec, "")</f>
        <v/>
      </c>
      <c r="AR995" s="91" t="str">
        <f t="shared" si="1672"/>
        <v/>
      </c>
      <c r="AS995" s="85" t="str">
        <f t="shared" si="1705"/>
        <v/>
      </c>
      <c r="AT995" s="85" t="str">
        <f t="shared" si="1706"/>
        <v/>
      </c>
      <c r="AU995" s="85" t="str">
        <f>IF(AR995&lt;Tablas!$G$19, 0, IF(AND(AR995&gt;=Tablas!$G$19, AR995&lt;Tablas!$G$20), 1,  IF(AND(AR995&gt;=Tablas!$G$20, AR995&lt;Tablas!$G$21), 2,  IF(AND(AR995&gt;=Tablas!$G$21, AR995&lt;=Tablas!$G$22), 3,  ""))))</f>
        <v/>
      </c>
      <c r="AV995" s="85" t="str">
        <f t="shared" si="1673"/>
        <v/>
      </c>
      <c r="AW995" s="101" t="str">
        <f t="shared" si="1674"/>
        <v/>
      </c>
      <c r="AX995" s="177"/>
      <c r="AY995" s="169"/>
      <c r="AZ995" s="158"/>
      <c r="BA995" s="169"/>
      <c r="BB995" s="182"/>
      <c r="BC995" s="182"/>
      <c r="BD995" s="185"/>
      <c r="BE995" s="185"/>
      <c r="BF995" s="158"/>
      <c r="BG995" s="191"/>
    </row>
    <row r="996" spans="1:59" ht="15.75" thickBot="1" x14ac:dyDescent="0.3">
      <c r="A996" s="167"/>
      <c r="B996" s="167"/>
      <c r="C996" s="161"/>
      <c r="D996" s="160"/>
      <c r="E996" s="162"/>
      <c r="F996" s="165"/>
      <c r="G996" s="161"/>
      <c r="H996" s="161"/>
      <c r="I996" s="161"/>
      <c r="J996" s="161"/>
      <c r="K996" s="161"/>
      <c r="L996" s="166"/>
      <c r="M996" s="166"/>
      <c r="N996" s="166"/>
      <c r="O996" s="166"/>
      <c r="P996" s="166"/>
      <c r="Q996" s="166"/>
      <c r="R996" s="166"/>
      <c r="S996" s="149"/>
      <c r="T996" s="149"/>
      <c r="U996" s="149"/>
      <c r="V996" s="149"/>
      <c r="W996" s="149"/>
      <c r="X996" s="165"/>
      <c r="Y996" s="165"/>
      <c r="Z996" s="172"/>
      <c r="AA996" s="188"/>
      <c r="AB996" s="172"/>
      <c r="AC996" s="172"/>
      <c r="AD996" s="175"/>
      <c r="AE996" s="66" t="s">
        <v>154</v>
      </c>
      <c r="AF996" s="134"/>
      <c r="AG996" s="67"/>
      <c r="AH996" s="69"/>
      <c r="AI996" s="69"/>
      <c r="AJ996" s="69"/>
      <c r="AK996" s="69"/>
      <c r="AL996" s="69"/>
      <c r="AM996" s="81" t="str">
        <f>IFERROR((Tablas!$C$1*VLOOKUP(AH996, tipo_control, 2, 0)+Tablas!$E$1*VLOOKUP(AI996, nat_control, 2, 0)+Tablas!$G$1*VLOOKUP(AJ996, ev_control, 2, 0)+Tablas!$I$1*VLOOKUP(AK996, frec_control, 2, 0)+Tablas!$K$1*VLOOKUP(AL996, doc_control, 2, 0))*0.1*peso_dis, "")</f>
        <v/>
      </c>
      <c r="AN996" s="69"/>
      <c r="AO996" s="69"/>
      <c r="AP996" s="69"/>
      <c r="AQ996" s="81" t="str">
        <f>IFERROR((Tablas!$C$9*VLOOKUP(AN996, amb_control, 2, 0)+Tablas!$E$9*VLOOKUP(AO996, ejec_control, 2, 0)+Tablas!$G$9*VLOOKUP(AP996, cub_control, 2, 0))*0.1*peso_ejec, "")</f>
        <v/>
      </c>
      <c r="AR996" s="93" t="str">
        <f t="shared" si="1672"/>
        <v/>
      </c>
      <c r="AS996" s="94" t="str">
        <f t="shared" si="1705"/>
        <v/>
      </c>
      <c r="AT996" s="94" t="str">
        <f t="shared" si="1706"/>
        <v/>
      </c>
      <c r="AU996" s="94" t="str">
        <f>IF(AR996&lt;Tablas!$G$19, 0, IF(AND(AR996&gt;=Tablas!$G$19, AR996&lt;Tablas!$G$20), 1,  IF(AND(AR996&gt;=Tablas!$G$20, AR996&lt;Tablas!$G$21), 2,  IF(AND(AR996&gt;=Tablas!$G$21, AR996&lt;=Tablas!$G$22), 3,  ""))))</f>
        <v/>
      </c>
      <c r="AV996" s="94" t="str">
        <f t="shared" si="1673"/>
        <v/>
      </c>
      <c r="AW996" s="102" t="str">
        <f t="shared" si="1674"/>
        <v/>
      </c>
      <c r="AX996" s="157"/>
      <c r="AY996" s="170"/>
      <c r="AZ996" s="179"/>
      <c r="BA996" s="170"/>
      <c r="BB996" s="182"/>
      <c r="BC996" s="182"/>
      <c r="BD996" s="185"/>
      <c r="BE996" s="185"/>
      <c r="BF996" s="159"/>
      <c r="BG996" s="191"/>
    </row>
    <row r="997" spans="1:59" x14ac:dyDescent="0.25">
      <c r="A997" s="167"/>
      <c r="B997" s="167"/>
      <c r="C997" s="161" t="s">
        <v>182</v>
      </c>
      <c r="D997" s="160" t="s">
        <v>158</v>
      </c>
      <c r="E997" s="162"/>
      <c r="F997" s="163" t="str">
        <f t="shared" si="1707"/>
        <v/>
      </c>
      <c r="G997" s="149"/>
      <c r="H997" s="149"/>
      <c r="I997" s="149"/>
      <c r="J997" s="149"/>
      <c r="K997" s="149"/>
      <c r="L997" s="165" t="str">
        <f t="shared" ref="L997" si="1738">IFERROR(VLOOKUP(G997, tabla02, 2, 0), "")</f>
        <v/>
      </c>
      <c r="M997" s="165" t="str">
        <f t="shared" ref="M997" si="1739">IFERROR(VLOOKUP(H997, tabla02, 2, 0), "")</f>
        <v/>
      </c>
      <c r="N997" s="165" t="str">
        <f t="shared" ref="N997" si="1740">IFERROR(VLOOKUP(I997, tabla02, 2, 0), "")</f>
        <v/>
      </c>
      <c r="O997" s="165" t="str">
        <f t="shared" ref="O997" si="1741">IFERROR(VLOOKUP(J997, tabla02, 2, 0), "")</f>
        <v/>
      </c>
      <c r="P997" s="165" t="str">
        <f t="shared" ref="P997" si="1742">IFERROR(VLOOKUP(K997, tabla02, 2, 0), "")</f>
        <v/>
      </c>
      <c r="Q997" s="165" t="str">
        <f t="shared" ref="Q997" si="1743">IF(SUM(L997:O1001)=0, "", MAX(L997:P997))</f>
        <v/>
      </c>
      <c r="R997" s="165" t="str">
        <f>IFERROR(VLOOKUP(Q997, tabla04, 3, 0), "")</f>
        <v/>
      </c>
      <c r="S997" s="148"/>
      <c r="T997" s="148"/>
      <c r="U997" s="148"/>
      <c r="V997" s="148"/>
      <c r="W997" s="148"/>
      <c r="X997" s="163" t="str">
        <f>IFERROR(VLOOKUP(CONCATENATE(F997, "-", Q997), cuadrante_sev, 3, 0), "")</f>
        <v/>
      </c>
      <c r="Y997" s="163" t="str">
        <f t="shared" ref="Y997" si="1744">IFERROR(IF(X997="Baja", 1, IF(X997="Moderada", 2, IF(X997="Alta", 3, IF(X997="Extrema", 4, "")))), "")</f>
        <v/>
      </c>
      <c r="Z997" s="172"/>
      <c r="AA997" s="188"/>
      <c r="AB997" s="172"/>
      <c r="AC997" s="172"/>
      <c r="AD997" s="175"/>
      <c r="AE997" s="70" t="s">
        <v>113</v>
      </c>
      <c r="AF997" s="135"/>
      <c r="AG997" s="74"/>
      <c r="AH997" s="72"/>
      <c r="AI997" s="72"/>
      <c r="AJ997" s="72"/>
      <c r="AK997" s="72"/>
      <c r="AL997" s="72"/>
      <c r="AM997" s="82" t="str">
        <f>IFERROR((Tablas!$C$1*VLOOKUP(AH997, tipo_control, 2, 0)+Tablas!$E$1*VLOOKUP(AI997, nat_control, 2, 0)+Tablas!$G$1*VLOOKUP(AJ997, ev_control, 2, 0)+Tablas!$I$1*VLOOKUP(AK997, frec_control, 2, 0)+Tablas!$K$1*VLOOKUP(AL997, doc_control, 2, 0))*0.1*peso_dis, "")</f>
        <v/>
      </c>
      <c r="AN997" s="72"/>
      <c r="AO997" s="72"/>
      <c r="AP997" s="72"/>
      <c r="AQ997" s="82" t="str">
        <f>IFERROR((Tablas!$C$9*VLOOKUP(AN997, amb_control, 2, 0)+Tablas!$E$9*VLOOKUP(AO997, ejec_control, 2, 0)+Tablas!$G$9*VLOOKUP(AP997, cub_control, 2, 0))*0.1*peso_ejec, "")</f>
        <v/>
      </c>
      <c r="AR997" s="96" t="str">
        <f t="shared" si="1672"/>
        <v/>
      </c>
      <c r="AS997" s="97" t="str">
        <f t="shared" si="1705"/>
        <v/>
      </c>
      <c r="AT997" s="87" t="str">
        <f t="shared" si="1706"/>
        <v/>
      </c>
      <c r="AU997" s="97" t="str">
        <f>IF(AR997&lt;Tablas!$G$19, 0, IF(AND(AR997&gt;=Tablas!$G$19, AR997&lt;Tablas!$G$20), 1,  IF(AND(AR997&gt;=Tablas!$G$20, AR997&lt;Tablas!$G$21), 2,  IF(AND(AR997&gt;=Tablas!$G$21, AR997&lt;=Tablas!$G$22), 3,  ""))))</f>
        <v/>
      </c>
      <c r="AV997" s="97" t="str">
        <f t="shared" si="1673"/>
        <v/>
      </c>
      <c r="AW997" s="103" t="str">
        <f t="shared" si="1674"/>
        <v/>
      </c>
      <c r="AX997" s="176" t="str">
        <f t="shared" ref="AX997" si="1745">IFERROR(VLOOKUP(AY997, tabla04, 2, 0), "")</f>
        <v/>
      </c>
      <c r="AY997" s="168" t="str">
        <f>IF(F997="", "", IF((F997-MAX(AV997:AV1001))&lt;=0, 1, F997-MAX(AV997:AV1001)))</f>
        <v/>
      </c>
      <c r="AZ997" s="178" t="str">
        <f t="shared" ref="AZ997" si="1746">IFERROR(VLOOKUP(BA997, tabla04, 3, 0), "")</f>
        <v/>
      </c>
      <c r="BA997" s="168" t="str">
        <f>IF(Q997="", "", IF((Q997-MAX(AW997:AW1001))&lt;=0, 1, Q997-MAX(AW997:AW1001)))</f>
        <v/>
      </c>
      <c r="BB997" s="182"/>
      <c r="BC997" s="182"/>
      <c r="BD997" s="185"/>
      <c r="BE997" s="185"/>
      <c r="BF997" s="158" t="str">
        <f t="shared" ref="BF997:BF999" si="1747">IFERROR(VLOOKUP(CONCATENATE(AY997, "-", BA997), cuadrante_sev, 3, 0), "")</f>
        <v/>
      </c>
      <c r="BG997" s="191"/>
    </row>
    <row r="998" spans="1:59" x14ac:dyDescent="0.25">
      <c r="A998" s="167"/>
      <c r="B998" s="167"/>
      <c r="C998" s="161"/>
      <c r="D998" s="160"/>
      <c r="E998" s="162"/>
      <c r="F998" s="164"/>
      <c r="G998" s="161"/>
      <c r="H998" s="161"/>
      <c r="I998" s="161"/>
      <c r="J998" s="161"/>
      <c r="K998" s="161"/>
      <c r="L998" s="166"/>
      <c r="M998" s="166"/>
      <c r="N998" s="166"/>
      <c r="O998" s="166"/>
      <c r="P998" s="166"/>
      <c r="Q998" s="166"/>
      <c r="R998" s="166"/>
      <c r="S998" s="167"/>
      <c r="T998" s="167"/>
      <c r="U998" s="167"/>
      <c r="V998" s="167"/>
      <c r="W998" s="167"/>
      <c r="X998" s="164"/>
      <c r="Y998" s="164"/>
      <c r="Z998" s="172"/>
      <c r="AA998" s="188"/>
      <c r="AB998" s="172"/>
      <c r="AC998" s="172"/>
      <c r="AD998" s="175"/>
      <c r="AE998" s="62" t="s">
        <v>114</v>
      </c>
      <c r="AF998" s="133"/>
      <c r="AG998" s="65"/>
      <c r="AH998" s="64"/>
      <c r="AI998" s="64"/>
      <c r="AJ998" s="64"/>
      <c r="AK998" s="64"/>
      <c r="AL998" s="64"/>
      <c r="AM998" s="80" t="str">
        <f>IFERROR((Tablas!$C$1*VLOOKUP(AH998, tipo_control, 2, 0)+Tablas!$E$1*VLOOKUP(AI998, nat_control, 2, 0)+Tablas!$G$1*VLOOKUP(AJ998, ev_control, 2, 0)+Tablas!$I$1*VLOOKUP(AK998, frec_control, 2, 0)+Tablas!$K$1*VLOOKUP(AL998, doc_control, 2, 0))*0.1*peso_dis, "")</f>
        <v/>
      </c>
      <c r="AN998" s="64"/>
      <c r="AO998" s="64"/>
      <c r="AP998" s="64"/>
      <c r="AQ998" s="80" t="str">
        <f>IFERROR((Tablas!$C$9*VLOOKUP(AN998, amb_control, 2, 0)+Tablas!$E$9*VLOOKUP(AO998, ejec_control, 2, 0)+Tablas!$G$9*VLOOKUP(AP998, cub_control, 2, 0))*0.1*peso_ejec, "")</f>
        <v/>
      </c>
      <c r="AR998" s="91" t="str">
        <f t="shared" si="1672"/>
        <v/>
      </c>
      <c r="AS998" s="85" t="str">
        <f t="shared" si="1705"/>
        <v/>
      </c>
      <c r="AT998" s="85" t="str">
        <f t="shared" si="1706"/>
        <v/>
      </c>
      <c r="AU998" s="85" t="str">
        <f>IF(AR998&lt;Tablas!$G$19, 0, IF(AND(AR998&gt;=Tablas!$G$19, AR998&lt;Tablas!$G$20), 1,  IF(AND(AR998&gt;=Tablas!$G$20, AR998&lt;Tablas!$G$21), 2,  IF(AND(AR998&gt;=Tablas!$G$21, AR998&lt;=Tablas!$G$22), 3,  ""))))</f>
        <v/>
      </c>
      <c r="AV998" s="85" t="str">
        <f t="shared" si="1673"/>
        <v/>
      </c>
      <c r="AW998" s="101" t="str">
        <f t="shared" si="1674"/>
        <v/>
      </c>
      <c r="AX998" s="177"/>
      <c r="AY998" s="169"/>
      <c r="AZ998" s="158"/>
      <c r="BA998" s="169"/>
      <c r="BB998" s="182"/>
      <c r="BC998" s="182"/>
      <c r="BD998" s="185"/>
      <c r="BE998" s="185"/>
      <c r="BF998" s="158" t="str">
        <f t="shared" si="1747"/>
        <v/>
      </c>
      <c r="BG998" s="191"/>
    </row>
    <row r="999" spans="1:59" x14ac:dyDescent="0.25">
      <c r="A999" s="167"/>
      <c r="B999" s="167"/>
      <c r="C999" s="161"/>
      <c r="D999" s="160"/>
      <c r="E999" s="162"/>
      <c r="F999" s="164"/>
      <c r="G999" s="161"/>
      <c r="H999" s="161"/>
      <c r="I999" s="161"/>
      <c r="J999" s="161"/>
      <c r="K999" s="161"/>
      <c r="L999" s="166"/>
      <c r="M999" s="166"/>
      <c r="N999" s="166"/>
      <c r="O999" s="166"/>
      <c r="P999" s="166"/>
      <c r="Q999" s="166"/>
      <c r="R999" s="166"/>
      <c r="S999" s="167"/>
      <c r="T999" s="167"/>
      <c r="U999" s="167"/>
      <c r="V999" s="167"/>
      <c r="W999" s="167"/>
      <c r="X999" s="164"/>
      <c r="Y999" s="164"/>
      <c r="Z999" s="172"/>
      <c r="AA999" s="188"/>
      <c r="AB999" s="172"/>
      <c r="AC999" s="172"/>
      <c r="AD999" s="175"/>
      <c r="AE999" s="62" t="s">
        <v>115</v>
      </c>
      <c r="AF999" s="133"/>
      <c r="AG999" s="65"/>
      <c r="AH999" s="64"/>
      <c r="AI999" s="64"/>
      <c r="AJ999" s="64"/>
      <c r="AK999" s="64"/>
      <c r="AL999" s="64"/>
      <c r="AM999" s="80" t="str">
        <f>IFERROR((Tablas!$C$1*VLOOKUP(AH999, tipo_control, 2, 0)+Tablas!$E$1*VLOOKUP(AI999, nat_control, 2, 0)+Tablas!$G$1*VLOOKUP(AJ999, ev_control, 2, 0)+Tablas!$I$1*VLOOKUP(AK999, frec_control, 2, 0)+Tablas!$K$1*VLOOKUP(AL999, doc_control, 2, 0))*0.1*peso_dis, "")</f>
        <v/>
      </c>
      <c r="AN999" s="64"/>
      <c r="AO999" s="64"/>
      <c r="AP999" s="64"/>
      <c r="AQ999" s="80" t="str">
        <f>IFERROR((Tablas!$C$9*VLOOKUP(AN999, amb_control, 2, 0)+Tablas!$E$9*VLOOKUP(AO999, ejec_control, 2, 0)+Tablas!$G$9*VLOOKUP(AP999, cub_control, 2, 0))*0.1*peso_ejec, "")</f>
        <v/>
      </c>
      <c r="AR999" s="91" t="str">
        <f t="shared" si="1672"/>
        <v/>
      </c>
      <c r="AS999" s="85" t="str">
        <f t="shared" si="1705"/>
        <v/>
      </c>
      <c r="AT999" s="85" t="str">
        <f t="shared" si="1706"/>
        <v/>
      </c>
      <c r="AU999" s="85" t="str">
        <f>IF(AR999&lt;Tablas!$G$19, 0, IF(AND(AR999&gt;=Tablas!$G$19, AR999&lt;Tablas!$G$20), 1,  IF(AND(AR999&gt;=Tablas!$G$20, AR999&lt;Tablas!$G$21), 2,  IF(AND(AR999&gt;=Tablas!$G$21, AR999&lt;=Tablas!$G$22), 3,  ""))))</f>
        <v/>
      </c>
      <c r="AV999" s="85" t="str">
        <f t="shared" si="1673"/>
        <v/>
      </c>
      <c r="AW999" s="101" t="str">
        <f t="shared" si="1674"/>
        <v/>
      </c>
      <c r="AX999" s="177"/>
      <c r="AY999" s="169"/>
      <c r="AZ999" s="158"/>
      <c r="BA999" s="169"/>
      <c r="BB999" s="182"/>
      <c r="BC999" s="182"/>
      <c r="BD999" s="185"/>
      <c r="BE999" s="185"/>
      <c r="BF999" s="158" t="str">
        <f t="shared" si="1747"/>
        <v/>
      </c>
      <c r="BG999" s="191"/>
    </row>
    <row r="1000" spans="1:59" x14ac:dyDescent="0.25">
      <c r="A1000" s="167"/>
      <c r="B1000" s="167"/>
      <c r="C1000" s="161"/>
      <c r="D1000" s="160"/>
      <c r="E1000" s="162"/>
      <c r="F1000" s="164"/>
      <c r="G1000" s="161"/>
      <c r="H1000" s="161"/>
      <c r="I1000" s="161"/>
      <c r="J1000" s="161"/>
      <c r="K1000" s="161"/>
      <c r="L1000" s="166"/>
      <c r="M1000" s="166"/>
      <c r="N1000" s="166"/>
      <c r="O1000" s="166"/>
      <c r="P1000" s="166"/>
      <c r="Q1000" s="166"/>
      <c r="R1000" s="166"/>
      <c r="S1000" s="167"/>
      <c r="T1000" s="167"/>
      <c r="U1000" s="167"/>
      <c r="V1000" s="167"/>
      <c r="W1000" s="167"/>
      <c r="X1000" s="164"/>
      <c r="Y1000" s="164"/>
      <c r="Z1000" s="172"/>
      <c r="AA1000" s="188"/>
      <c r="AB1000" s="172"/>
      <c r="AC1000" s="172"/>
      <c r="AD1000" s="175"/>
      <c r="AE1000" s="62" t="s">
        <v>153</v>
      </c>
      <c r="AF1000" s="133"/>
      <c r="AG1000" s="65"/>
      <c r="AH1000" s="64"/>
      <c r="AI1000" s="64"/>
      <c r="AJ1000" s="64"/>
      <c r="AK1000" s="64"/>
      <c r="AL1000" s="64"/>
      <c r="AM1000" s="80" t="str">
        <f>IFERROR((Tablas!$C$1*VLOOKUP(AH1000, tipo_control, 2, 0)+Tablas!$E$1*VLOOKUP(AI1000, nat_control, 2, 0)+Tablas!$G$1*VLOOKUP(AJ1000, ev_control, 2, 0)+Tablas!$I$1*VLOOKUP(AK1000, frec_control, 2, 0)+Tablas!$K$1*VLOOKUP(AL1000, doc_control, 2, 0))*0.1*peso_dis, "")</f>
        <v/>
      </c>
      <c r="AN1000" s="64"/>
      <c r="AO1000" s="64"/>
      <c r="AP1000" s="64"/>
      <c r="AQ1000" s="80" t="str">
        <f>IFERROR((Tablas!$C$9*VLOOKUP(AN1000, amb_control, 2, 0)+Tablas!$E$9*VLOOKUP(AO1000, ejec_control, 2, 0)+Tablas!$G$9*VLOOKUP(AP1000, cub_control, 2, 0))*0.1*peso_ejec, "")</f>
        <v/>
      </c>
      <c r="AR1000" s="91" t="str">
        <f t="shared" si="1672"/>
        <v/>
      </c>
      <c r="AS1000" s="85" t="str">
        <f t="shared" si="1705"/>
        <v/>
      </c>
      <c r="AT1000" s="85" t="str">
        <f t="shared" si="1706"/>
        <v/>
      </c>
      <c r="AU1000" s="85" t="str">
        <f>IF(AR1000&lt;Tablas!$G$19, 0, IF(AND(AR1000&gt;=Tablas!$G$19, AR1000&lt;Tablas!$G$20), 1,  IF(AND(AR1000&gt;=Tablas!$G$20, AR1000&lt;Tablas!$G$21), 2,  IF(AND(AR1000&gt;=Tablas!$G$21, AR1000&lt;=Tablas!$G$22), 3,  ""))))</f>
        <v/>
      </c>
      <c r="AV1000" s="85" t="str">
        <f t="shared" si="1673"/>
        <v/>
      </c>
      <c r="AW1000" s="101" t="str">
        <f t="shared" si="1674"/>
        <v/>
      </c>
      <c r="AX1000" s="177"/>
      <c r="AY1000" s="169"/>
      <c r="AZ1000" s="158"/>
      <c r="BA1000" s="169"/>
      <c r="BB1000" s="182"/>
      <c r="BC1000" s="182"/>
      <c r="BD1000" s="185"/>
      <c r="BE1000" s="185"/>
      <c r="BF1000" s="158"/>
      <c r="BG1000" s="191"/>
    </row>
    <row r="1001" spans="1:59" ht="15.75" thickBot="1" x14ac:dyDescent="0.3">
      <c r="A1001" s="167"/>
      <c r="B1001" s="167"/>
      <c r="C1001" s="161"/>
      <c r="D1001" s="160"/>
      <c r="E1001" s="162"/>
      <c r="F1001" s="165"/>
      <c r="G1001" s="161"/>
      <c r="H1001" s="161"/>
      <c r="I1001" s="161"/>
      <c r="J1001" s="161"/>
      <c r="K1001" s="161"/>
      <c r="L1001" s="166"/>
      <c r="M1001" s="166"/>
      <c r="N1001" s="166"/>
      <c r="O1001" s="166"/>
      <c r="P1001" s="166"/>
      <c r="Q1001" s="166"/>
      <c r="R1001" s="166"/>
      <c r="S1001" s="149"/>
      <c r="T1001" s="149"/>
      <c r="U1001" s="149"/>
      <c r="V1001" s="149"/>
      <c r="W1001" s="149"/>
      <c r="X1001" s="165"/>
      <c r="Y1001" s="165"/>
      <c r="Z1001" s="172"/>
      <c r="AA1001" s="188"/>
      <c r="AB1001" s="172"/>
      <c r="AC1001" s="172"/>
      <c r="AD1001" s="175"/>
      <c r="AE1001" s="66" t="s">
        <v>154</v>
      </c>
      <c r="AF1001" s="134"/>
      <c r="AG1001" s="67"/>
      <c r="AH1001" s="69"/>
      <c r="AI1001" s="69"/>
      <c r="AJ1001" s="69"/>
      <c r="AK1001" s="69"/>
      <c r="AL1001" s="69"/>
      <c r="AM1001" s="81" t="str">
        <f>IFERROR((Tablas!$C$1*VLOOKUP(AH1001, tipo_control, 2, 0)+Tablas!$E$1*VLOOKUP(AI1001, nat_control, 2, 0)+Tablas!$G$1*VLOOKUP(AJ1001, ev_control, 2, 0)+Tablas!$I$1*VLOOKUP(AK1001, frec_control, 2, 0)+Tablas!$K$1*VLOOKUP(AL1001, doc_control, 2, 0))*0.1*peso_dis, "")</f>
        <v/>
      </c>
      <c r="AN1001" s="69"/>
      <c r="AO1001" s="69"/>
      <c r="AP1001" s="69"/>
      <c r="AQ1001" s="81" t="str">
        <f>IFERROR((Tablas!$C$9*VLOOKUP(AN1001, amb_control, 2, 0)+Tablas!$E$9*VLOOKUP(AO1001, ejec_control, 2, 0)+Tablas!$G$9*VLOOKUP(AP1001, cub_control, 2, 0))*0.1*peso_ejec, "")</f>
        <v/>
      </c>
      <c r="AR1001" s="93" t="str">
        <f t="shared" si="1672"/>
        <v/>
      </c>
      <c r="AS1001" s="94" t="str">
        <f t="shared" si="1705"/>
        <v/>
      </c>
      <c r="AT1001" s="94" t="str">
        <f t="shared" si="1706"/>
        <v/>
      </c>
      <c r="AU1001" s="94" t="str">
        <f>IF(AR1001&lt;Tablas!$G$19, 0, IF(AND(AR1001&gt;=Tablas!$G$19, AR1001&lt;Tablas!$G$20), 1,  IF(AND(AR1001&gt;=Tablas!$G$20, AR1001&lt;Tablas!$G$21), 2,  IF(AND(AR1001&gt;=Tablas!$G$21, AR1001&lt;=Tablas!$G$22), 3,  ""))))</f>
        <v/>
      </c>
      <c r="AV1001" s="94" t="str">
        <f t="shared" si="1673"/>
        <v/>
      </c>
      <c r="AW1001" s="102" t="str">
        <f t="shared" si="1674"/>
        <v/>
      </c>
      <c r="AX1001" s="157"/>
      <c r="AY1001" s="170"/>
      <c r="AZ1001" s="179"/>
      <c r="BA1001" s="170"/>
      <c r="BB1001" s="182"/>
      <c r="BC1001" s="182"/>
      <c r="BD1001" s="185"/>
      <c r="BE1001" s="185"/>
      <c r="BF1001" s="159"/>
      <c r="BG1001" s="191"/>
    </row>
    <row r="1002" spans="1:59" x14ac:dyDescent="0.25">
      <c r="A1002" s="167"/>
      <c r="B1002" s="167"/>
      <c r="C1002" s="161" t="s">
        <v>183</v>
      </c>
      <c r="D1002" s="160" t="s">
        <v>158</v>
      </c>
      <c r="E1002" s="162"/>
      <c r="F1002" s="163" t="str">
        <f t="shared" si="1707"/>
        <v/>
      </c>
      <c r="G1002" s="149"/>
      <c r="H1002" s="149"/>
      <c r="I1002" s="149"/>
      <c r="J1002" s="149"/>
      <c r="K1002" s="149"/>
      <c r="L1002" s="165" t="str">
        <f t="shared" ref="L1002" si="1748">IFERROR(VLOOKUP(G1002, tabla02, 2, 0), "")</f>
        <v/>
      </c>
      <c r="M1002" s="165" t="str">
        <f t="shared" ref="M1002" si="1749">IFERROR(VLOOKUP(H1002, tabla02, 2, 0), "")</f>
        <v/>
      </c>
      <c r="N1002" s="165" t="str">
        <f t="shared" ref="N1002" si="1750">IFERROR(VLOOKUP(I1002, tabla02, 2, 0), "")</f>
        <v/>
      </c>
      <c r="O1002" s="165" t="str">
        <f t="shared" ref="O1002" si="1751">IFERROR(VLOOKUP(J1002, tabla02, 2, 0), "")</f>
        <v/>
      </c>
      <c r="P1002" s="165" t="str">
        <f t="shared" ref="P1002" si="1752">IFERROR(VLOOKUP(K1002, tabla02, 2, 0), "")</f>
        <v/>
      </c>
      <c r="Q1002" s="165" t="str">
        <f t="shared" ref="Q1002" si="1753">IF(SUM(L1002:O1006)=0, "", MAX(L1002:P1002))</f>
        <v/>
      </c>
      <c r="R1002" s="165" t="str">
        <f>IFERROR(VLOOKUP(Q1002, tabla04, 3, 0), "")</f>
        <v/>
      </c>
      <c r="S1002" s="148"/>
      <c r="T1002" s="148"/>
      <c r="U1002" s="148"/>
      <c r="V1002" s="148"/>
      <c r="W1002" s="148"/>
      <c r="X1002" s="163" t="str">
        <f>IFERROR(VLOOKUP(CONCATENATE(F1002, "-", Q1002), cuadrante_sev, 3, 0), "")</f>
        <v/>
      </c>
      <c r="Y1002" s="163" t="str">
        <f t="shared" ref="Y1002" si="1754">IFERROR(IF(X1002="Baja", 1, IF(X1002="Moderada", 2, IF(X1002="Alta", 3, IF(X1002="Extrema", 4, "")))), "")</f>
        <v/>
      </c>
      <c r="Z1002" s="172"/>
      <c r="AA1002" s="188"/>
      <c r="AB1002" s="172"/>
      <c r="AC1002" s="172"/>
      <c r="AD1002" s="175"/>
      <c r="AE1002" s="70" t="s">
        <v>113</v>
      </c>
      <c r="AF1002" s="135"/>
      <c r="AG1002" s="74"/>
      <c r="AH1002" s="72"/>
      <c r="AI1002" s="72"/>
      <c r="AJ1002" s="72"/>
      <c r="AK1002" s="72"/>
      <c r="AL1002" s="72"/>
      <c r="AM1002" s="82" t="str">
        <f>IFERROR((Tablas!$C$1*VLOOKUP(AH1002, tipo_control, 2, 0)+Tablas!$E$1*VLOOKUP(AI1002, nat_control, 2, 0)+Tablas!$G$1*VLOOKUP(AJ1002, ev_control, 2, 0)+Tablas!$I$1*VLOOKUP(AK1002, frec_control, 2, 0)+Tablas!$K$1*VLOOKUP(AL1002, doc_control, 2, 0))*0.1*peso_dis, "")</f>
        <v/>
      </c>
      <c r="AN1002" s="72"/>
      <c r="AO1002" s="72"/>
      <c r="AP1002" s="72"/>
      <c r="AQ1002" s="82" t="str">
        <f>IFERROR((Tablas!$C$9*VLOOKUP(AN1002, amb_control, 2, 0)+Tablas!$E$9*VLOOKUP(AO1002, ejec_control, 2, 0)+Tablas!$G$9*VLOOKUP(AP1002, cub_control, 2, 0))*0.1*peso_ejec, "")</f>
        <v/>
      </c>
      <c r="AR1002" s="96" t="str">
        <f t="shared" si="1672"/>
        <v/>
      </c>
      <c r="AS1002" s="97" t="str">
        <f t="shared" si="1705"/>
        <v/>
      </c>
      <c r="AT1002" s="87" t="str">
        <f t="shared" si="1706"/>
        <v/>
      </c>
      <c r="AU1002" s="97" t="str">
        <f>IF(AR1002&lt;Tablas!$G$19, 0, IF(AND(AR1002&gt;=Tablas!$G$19, AR1002&lt;Tablas!$G$20), 1,  IF(AND(AR1002&gt;=Tablas!$G$20, AR1002&lt;Tablas!$G$21), 2,  IF(AND(AR1002&gt;=Tablas!$G$21, AR1002&lt;=Tablas!$G$22), 3,  ""))))</f>
        <v/>
      </c>
      <c r="AV1002" s="97" t="str">
        <f t="shared" si="1673"/>
        <v/>
      </c>
      <c r="AW1002" s="103" t="str">
        <f t="shared" si="1674"/>
        <v/>
      </c>
      <c r="AX1002" s="180" t="str">
        <f t="shared" ref="AX1002" si="1755">IFERROR(VLOOKUP(AY1002, tabla04, 2, 0), "")</f>
        <v/>
      </c>
      <c r="AY1002" s="168" t="str">
        <f>IF(F1002="", "", IF((F1002-MAX(AV1002:AV1006))&lt;=0, 1, F1002-MAX(AV1002:AV1006)))</f>
        <v/>
      </c>
      <c r="AZ1002" s="178" t="str">
        <f t="shared" ref="AZ1002" si="1756">IFERROR(VLOOKUP(BA1002, tabla04, 3, 0), "")</f>
        <v/>
      </c>
      <c r="BA1002" s="168" t="str">
        <f>IF(Q1002="", "", IF((Q1002-MAX(AW1002:AW1006))&lt;=0, 1, Q1002-MAX(AW1002:AW1006)))</f>
        <v/>
      </c>
      <c r="BB1002" s="182"/>
      <c r="BC1002" s="182"/>
      <c r="BD1002" s="185"/>
      <c r="BE1002" s="185"/>
      <c r="BF1002" s="158" t="str">
        <f t="shared" ref="BF1002:BF1004" si="1757">IFERROR(VLOOKUP(CONCATENATE(AY1002, "-", BA1002), cuadrante_sev, 3, 0), "")</f>
        <v/>
      </c>
      <c r="BG1002" s="191"/>
    </row>
    <row r="1003" spans="1:59" x14ac:dyDescent="0.25">
      <c r="A1003" s="167"/>
      <c r="B1003" s="167"/>
      <c r="C1003" s="161"/>
      <c r="D1003" s="160"/>
      <c r="E1003" s="162"/>
      <c r="F1003" s="164"/>
      <c r="G1003" s="161"/>
      <c r="H1003" s="161"/>
      <c r="I1003" s="161"/>
      <c r="J1003" s="161"/>
      <c r="K1003" s="161"/>
      <c r="L1003" s="166"/>
      <c r="M1003" s="166"/>
      <c r="N1003" s="166"/>
      <c r="O1003" s="166"/>
      <c r="P1003" s="166"/>
      <c r="Q1003" s="166"/>
      <c r="R1003" s="166"/>
      <c r="S1003" s="167"/>
      <c r="T1003" s="167"/>
      <c r="U1003" s="167"/>
      <c r="V1003" s="167"/>
      <c r="W1003" s="167"/>
      <c r="X1003" s="164"/>
      <c r="Y1003" s="164"/>
      <c r="Z1003" s="172"/>
      <c r="AA1003" s="188"/>
      <c r="AB1003" s="172"/>
      <c r="AC1003" s="172"/>
      <c r="AD1003" s="175"/>
      <c r="AE1003" s="62" t="s">
        <v>114</v>
      </c>
      <c r="AF1003" s="133"/>
      <c r="AG1003" s="65"/>
      <c r="AH1003" s="64"/>
      <c r="AI1003" s="64"/>
      <c r="AJ1003" s="64"/>
      <c r="AK1003" s="64"/>
      <c r="AL1003" s="64"/>
      <c r="AM1003" s="80" t="str">
        <f>IFERROR((Tablas!$C$1*VLOOKUP(AH1003, tipo_control, 2, 0)+Tablas!$E$1*VLOOKUP(AI1003, nat_control, 2, 0)+Tablas!$G$1*VLOOKUP(AJ1003, ev_control, 2, 0)+Tablas!$I$1*VLOOKUP(AK1003, frec_control, 2, 0)+Tablas!$K$1*VLOOKUP(AL1003, doc_control, 2, 0))*0.1*peso_dis, "")</f>
        <v/>
      </c>
      <c r="AN1003" s="64"/>
      <c r="AO1003" s="64"/>
      <c r="AP1003" s="64"/>
      <c r="AQ1003" s="80" t="str">
        <f>IFERROR((Tablas!$C$9*VLOOKUP(AN1003, amb_control, 2, 0)+Tablas!$E$9*VLOOKUP(AO1003, ejec_control, 2, 0)+Tablas!$G$9*VLOOKUP(AP1003, cub_control, 2, 0))*0.1*peso_ejec, "")</f>
        <v/>
      </c>
      <c r="AR1003" s="91" t="str">
        <f t="shared" si="1672"/>
        <v/>
      </c>
      <c r="AS1003" s="85" t="str">
        <f t="shared" si="1705"/>
        <v/>
      </c>
      <c r="AT1003" s="85" t="str">
        <f t="shared" si="1706"/>
        <v/>
      </c>
      <c r="AU1003" s="85" t="str">
        <f>IF(AR1003&lt;Tablas!$G$19, 0, IF(AND(AR1003&gt;=Tablas!$G$19, AR1003&lt;Tablas!$G$20), 1,  IF(AND(AR1003&gt;=Tablas!$G$20, AR1003&lt;Tablas!$G$21), 2,  IF(AND(AR1003&gt;=Tablas!$G$21, AR1003&lt;=Tablas!$G$22), 3,  ""))))</f>
        <v/>
      </c>
      <c r="AV1003" s="85" t="str">
        <f t="shared" si="1673"/>
        <v/>
      </c>
      <c r="AW1003" s="101" t="str">
        <f t="shared" si="1674"/>
        <v/>
      </c>
      <c r="AX1003" s="181"/>
      <c r="AY1003" s="169"/>
      <c r="AZ1003" s="158"/>
      <c r="BA1003" s="169"/>
      <c r="BB1003" s="182"/>
      <c r="BC1003" s="182"/>
      <c r="BD1003" s="185"/>
      <c r="BE1003" s="185"/>
      <c r="BF1003" s="158" t="str">
        <f t="shared" si="1757"/>
        <v/>
      </c>
      <c r="BG1003" s="191"/>
    </row>
    <row r="1004" spans="1:59" x14ac:dyDescent="0.25">
      <c r="A1004" s="167"/>
      <c r="B1004" s="167"/>
      <c r="C1004" s="161"/>
      <c r="D1004" s="160"/>
      <c r="E1004" s="162"/>
      <c r="F1004" s="164"/>
      <c r="G1004" s="161"/>
      <c r="H1004" s="161"/>
      <c r="I1004" s="161"/>
      <c r="J1004" s="161"/>
      <c r="K1004" s="161"/>
      <c r="L1004" s="166"/>
      <c r="M1004" s="166"/>
      <c r="N1004" s="166"/>
      <c r="O1004" s="166"/>
      <c r="P1004" s="166"/>
      <c r="Q1004" s="166"/>
      <c r="R1004" s="166"/>
      <c r="S1004" s="167"/>
      <c r="T1004" s="167"/>
      <c r="U1004" s="167"/>
      <c r="V1004" s="167"/>
      <c r="W1004" s="167"/>
      <c r="X1004" s="164"/>
      <c r="Y1004" s="164"/>
      <c r="Z1004" s="172"/>
      <c r="AA1004" s="188"/>
      <c r="AB1004" s="172"/>
      <c r="AC1004" s="172"/>
      <c r="AD1004" s="175"/>
      <c r="AE1004" s="62" t="s">
        <v>115</v>
      </c>
      <c r="AF1004" s="133"/>
      <c r="AG1004" s="65"/>
      <c r="AH1004" s="64"/>
      <c r="AI1004" s="64"/>
      <c r="AJ1004" s="64"/>
      <c r="AK1004" s="64"/>
      <c r="AL1004" s="64"/>
      <c r="AM1004" s="80" t="str">
        <f>IFERROR((Tablas!$C$1*VLOOKUP(AH1004, tipo_control, 2, 0)+Tablas!$E$1*VLOOKUP(AI1004, nat_control, 2, 0)+Tablas!$G$1*VLOOKUP(AJ1004, ev_control, 2, 0)+Tablas!$I$1*VLOOKUP(AK1004, frec_control, 2, 0)+Tablas!$K$1*VLOOKUP(AL1004, doc_control, 2, 0))*0.1*peso_dis, "")</f>
        <v/>
      </c>
      <c r="AN1004" s="64"/>
      <c r="AO1004" s="64"/>
      <c r="AP1004" s="64"/>
      <c r="AQ1004" s="80" t="str">
        <f>IFERROR((Tablas!$C$9*VLOOKUP(AN1004, amb_control, 2, 0)+Tablas!$E$9*VLOOKUP(AO1004, ejec_control, 2, 0)+Tablas!$G$9*VLOOKUP(AP1004, cub_control, 2, 0))*0.1*peso_ejec, "")</f>
        <v/>
      </c>
      <c r="AR1004" s="91" t="str">
        <f t="shared" si="1672"/>
        <v/>
      </c>
      <c r="AS1004" s="85" t="str">
        <f t="shared" si="1705"/>
        <v/>
      </c>
      <c r="AT1004" s="85" t="str">
        <f t="shared" si="1706"/>
        <v/>
      </c>
      <c r="AU1004" s="85" t="str">
        <f>IF(AR1004&lt;Tablas!$G$19, 0, IF(AND(AR1004&gt;=Tablas!$G$19, AR1004&lt;Tablas!$G$20), 1,  IF(AND(AR1004&gt;=Tablas!$G$20, AR1004&lt;Tablas!$G$21), 2,  IF(AND(AR1004&gt;=Tablas!$G$21, AR1004&lt;=Tablas!$G$22), 3,  ""))))</f>
        <v/>
      </c>
      <c r="AV1004" s="85" t="str">
        <f t="shared" si="1673"/>
        <v/>
      </c>
      <c r="AW1004" s="101" t="str">
        <f t="shared" si="1674"/>
        <v/>
      </c>
      <c r="AX1004" s="181"/>
      <c r="AY1004" s="169"/>
      <c r="AZ1004" s="158"/>
      <c r="BA1004" s="169"/>
      <c r="BB1004" s="182"/>
      <c r="BC1004" s="182"/>
      <c r="BD1004" s="185"/>
      <c r="BE1004" s="185"/>
      <c r="BF1004" s="158" t="str">
        <f t="shared" si="1757"/>
        <v/>
      </c>
      <c r="BG1004" s="191"/>
    </row>
    <row r="1005" spans="1:59" x14ac:dyDescent="0.25">
      <c r="A1005" s="167"/>
      <c r="B1005" s="167"/>
      <c r="C1005" s="161"/>
      <c r="D1005" s="160"/>
      <c r="E1005" s="162"/>
      <c r="F1005" s="164"/>
      <c r="G1005" s="161"/>
      <c r="H1005" s="161"/>
      <c r="I1005" s="161"/>
      <c r="J1005" s="161"/>
      <c r="K1005" s="161"/>
      <c r="L1005" s="166"/>
      <c r="M1005" s="166"/>
      <c r="N1005" s="166"/>
      <c r="O1005" s="166"/>
      <c r="P1005" s="166"/>
      <c r="Q1005" s="166"/>
      <c r="R1005" s="166"/>
      <c r="S1005" s="167"/>
      <c r="T1005" s="167"/>
      <c r="U1005" s="167"/>
      <c r="V1005" s="167"/>
      <c r="W1005" s="167"/>
      <c r="X1005" s="164"/>
      <c r="Y1005" s="164"/>
      <c r="Z1005" s="172"/>
      <c r="AA1005" s="188"/>
      <c r="AB1005" s="172"/>
      <c r="AC1005" s="172"/>
      <c r="AD1005" s="175"/>
      <c r="AE1005" s="62" t="s">
        <v>153</v>
      </c>
      <c r="AF1005" s="133"/>
      <c r="AG1005" s="65"/>
      <c r="AH1005" s="64"/>
      <c r="AI1005" s="64"/>
      <c r="AJ1005" s="64"/>
      <c r="AK1005" s="64"/>
      <c r="AL1005" s="64"/>
      <c r="AM1005" s="80" t="str">
        <f>IFERROR((Tablas!$C$1*VLOOKUP(AH1005, tipo_control, 2, 0)+Tablas!$E$1*VLOOKUP(AI1005, nat_control, 2, 0)+Tablas!$G$1*VLOOKUP(AJ1005, ev_control, 2, 0)+Tablas!$I$1*VLOOKUP(AK1005, frec_control, 2, 0)+Tablas!$K$1*VLOOKUP(AL1005, doc_control, 2, 0))*0.1*peso_dis, "")</f>
        <v/>
      </c>
      <c r="AN1005" s="64"/>
      <c r="AO1005" s="64"/>
      <c r="AP1005" s="64"/>
      <c r="AQ1005" s="80" t="str">
        <f>IFERROR((Tablas!$C$9*VLOOKUP(AN1005, amb_control, 2, 0)+Tablas!$E$9*VLOOKUP(AO1005, ejec_control, 2, 0)+Tablas!$G$9*VLOOKUP(AP1005, cub_control, 2, 0))*0.1*peso_ejec, "")</f>
        <v/>
      </c>
      <c r="AR1005" s="91" t="str">
        <f t="shared" si="1672"/>
        <v/>
      </c>
      <c r="AS1005" s="85" t="str">
        <f t="shared" si="1705"/>
        <v/>
      </c>
      <c r="AT1005" s="85" t="str">
        <f t="shared" si="1706"/>
        <v/>
      </c>
      <c r="AU1005" s="85" t="str">
        <f>IF(AR1005&lt;Tablas!$G$19, 0, IF(AND(AR1005&gt;=Tablas!$G$19, AR1005&lt;Tablas!$G$20), 1,  IF(AND(AR1005&gt;=Tablas!$G$20, AR1005&lt;Tablas!$G$21), 2,  IF(AND(AR1005&gt;=Tablas!$G$21, AR1005&lt;=Tablas!$G$22), 3,  ""))))</f>
        <v/>
      </c>
      <c r="AV1005" s="85" t="str">
        <f t="shared" si="1673"/>
        <v/>
      </c>
      <c r="AW1005" s="101" t="str">
        <f t="shared" si="1674"/>
        <v/>
      </c>
      <c r="AX1005" s="181"/>
      <c r="AY1005" s="169"/>
      <c r="AZ1005" s="158"/>
      <c r="BA1005" s="169"/>
      <c r="BB1005" s="182"/>
      <c r="BC1005" s="182"/>
      <c r="BD1005" s="185"/>
      <c r="BE1005" s="185"/>
      <c r="BF1005" s="158"/>
      <c r="BG1005" s="191"/>
    </row>
    <row r="1006" spans="1:59" x14ac:dyDescent="0.25">
      <c r="A1006" s="149"/>
      <c r="B1006" s="149"/>
      <c r="C1006" s="161"/>
      <c r="D1006" s="160"/>
      <c r="E1006" s="162"/>
      <c r="F1006" s="165"/>
      <c r="G1006" s="161"/>
      <c r="H1006" s="161"/>
      <c r="I1006" s="161"/>
      <c r="J1006" s="161"/>
      <c r="K1006" s="161"/>
      <c r="L1006" s="166"/>
      <c r="M1006" s="166"/>
      <c r="N1006" s="166"/>
      <c r="O1006" s="166"/>
      <c r="P1006" s="166"/>
      <c r="Q1006" s="166"/>
      <c r="R1006" s="166"/>
      <c r="S1006" s="149"/>
      <c r="T1006" s="149"/>
      <c r="U1006" s="149"/>
      <c r="V1006" s="149"/>
      <c r="W1006" s="149"/>
      <c r="X1006" s="165"/>
      <c r="Y1006" s="165"/>
      <c r="Z1006" s="173"/>
      <c r="AA1006" s="189"/>
      <c r="AB1006" s="173"/>
      <c r="AC1006" s="173"/>
      <c r="AD1006" s="175"/>
      <c r="AE1006" s="75" t="s">
        <v>154</v>
      </c>
      <c r="AF1006" s="136"/>
      <c r="AG1006" s="68"/>
      <c r="AH1006" s="76"/>
      <c r="AI1006" s="76"/>
      <c r="AJ1006" s="76"/>
      <c r="AK1006" s="76"/>
      <c r="AL1006" s="76"/>
      <c r="AM1006" s="83" t="str">
        <f>IFERROR((Tablas!$C$1*VLOOKUP(AH1006, tipo_control, 2, 0)+Tablas!$E$1*VLOOKUP(AI1006, nat_control, 2, 0)+Tablas!$G$1*VLOOKUP(AJ1006, ev_control, 2, 0)+Tablas!$I$1*VLOOKUP(AK1006, frec_control, 2, 0)+Tablas!$K$1*VLOOKUP(AL1006, doc_control, 2, 0))*0.1*peso_dis, "")</f>
        <v/>
      </c>
      <c r="AN1006" s="76"/>
      <c r="AO1006" s="76"/>
      <c r="AP1006" s="64"/>
      <c r="AQ1006" s="80" t="str">
        <f>IFERROR((Tablas!$C$9*VLOOKUP(AN1006, amb_control, 2, 0)+Tablas!$E$9*VLOOKUP(AO1006, ejec_control, 2, 0)+Tablas!$G$9*VLOOKUP(AP1006, cub_control, 2, 0))*0.1*peso_ejec, "")</f>
        <v/>
      </c>
      <c r="AR1006" s="99" t="str">
        <f t="shared" si="1672"/>
        <v/>
      </c>
      <c r="AS1006" s="85" t="str">
        <f t="shared" si="1705"/>
        <v/>
      </c>
      <c r="AT1006" s="86" t="str">
        <f t="shared" si="1706"/>
        <v/>
      </c>
      <c r="AU1006" s="85" t="str">
        <f>IF(AR1006&lt;Tablas!$G$19, 0, IF(AND(AR1006&gt;=Tablas!$G$19, AR1006&lt;Tablas!$G$20), 1,  IF(AND(AR1006&gt;=Tablas!$G$20, AR1006&lt;Tablas!$G$21), 2,  IF(AND(AR1006&gt;=Tablas!$G$21, AR1006&lt;=Tablas!$G$22), 3,  ""))))</f>
        <v/>
      </c>
      <c r="AV1006" s="86" t="str">
        <f t="shared" si="1673"/>
        <v/>
      </c>
      <c r="AW1006" s="84" t="str">
        <f t="shared" si="1674"/>
        <v/>
      </c>
      <c r="AX1006" s="181"/>
      <c r="AY1006" s="170"/>
      <c r="AZ1006" s="158"/>
      <c r="BA1006" s="170"/>
      <c r="BB1006" s="183"/>
      <c r="BC1006" s="183"/>
      <c r="BD1006" s="186"/>
      <c r="BE1006" s="186"/>
      <c r="BF1006" s="159"/>
      <c r="BG1006" s="192"/>
    </row>
    <row r="1007" spans="1:59" x14ac:dyDescent="0.25">
      <c r="AD1007" s="137"/>
      <c r="AE1007" s="137"/>
      <c r="AF1007" s="137"/>
      <c r="AG1007" s="137"/>
      <c r="AH1007" s="137"/>
      <c r="AI1007" s="137"/>
      <c r="AJ1007" s="137"/>
      <c r="AK1007" s="137"/>
      <c r="AL1007" s="137"/>
      <c r="AM1007" s="137"/>
      <c r="AN1007" s="137"/>
      <c r="AO1007" s="137"/>
      <c r="AR1007" s="138"/>
      <c r="AT1007" s="138"/>
      <c r="AV1007" s="138"/>
      <c r="AW1007" s="138"/>
      <c r="AY1007" s="139"/>
      <c r="AZ1007" s="138"/>
      <c r="BA1007" s="138"/>
    </row>
    <row r="1008" spans="1:59" x14ac:dyDescent="0.25">
      <c r="AY1008" s="112"/>
    </row>
    <row r="1009" spans="51:51" x14ac:dyDescent="0.25">
      <c r="AY1009" s="112"/>
    </row>
    <row r="1010" spans="51:51" x14ac:dyDescent="0.25">
      <c r="AY1010" s="112"/>
    </row>
    <row r="1011" spans="51:51" x14ac:dyDescent="0.25">
      <c r="AY1011" s="112"/>
    </row>
  </sheetData>
  <sheetProtection formatCells="0" formatRows="0"/>
  <mergeCells count="5884">
    <mergeCell ref="AX47:AX51"/>
    <mergeCell ref="AY47:AY51"/>
    <mergeCell ref="AZ47:AZ51"/>
    <mergeCell ref="AX52:AX56"/>
    <mergeCell ref="AY52:AY56"/>
    <mergeCell ref="AZ52:AZ56"/>
    <mergeCell ref="AZ12:AZ16"/>
    <mergeCell ref="AX17:AX21"/>
    <mergeCell ref="AY17:AY21"/>
    <mergeCell ref="AZ17:AZ21"/>
    <mergeCell ref="AX22:AX26"/>
    <mergeCell ref="AY22:AY26"/>
    <mergeCell ref="AZ22:AZ26"/>
    <mergeCell ref="AX27:AX31"/>
    <mergeCell ref="AY27:AY31"/>
    <mergeCell ref="AZ27:AZ31"/>
    <mergeCell ref="AY12:AY16"/>
    <mergeCell ref="AX32:AX36"/>
    <mergeCell ref="AY32:AY36"/>
    <mergeCell ref="AZ32:AZ36"/>
    <mergeCell ref="AX37:AX41"/>
    <mergeCell ref="AY37:AY41"/>
    <mergeCell ref="AZ37:AZ41"/>
    <mergeCell ref="AX42:AX46"/>
    <mergeCell ref="BG7:BG56"/>
    <mergeCell ref="F7:F11"/>
    <mergeCell ref="F12:F16"/>
    <mergeCell ref="F17:F21"/>
    <mergeCell ref="F22:F26"/>
    <mergeCell ref="F27:F31"/>
    <mergeCell ref="F32:F36"/>
    <mergeCell ref="F37:F41"/>
    <mergeCell ref="F42:F46"/>
    <mergeCell ref="F47:F51"/>
    <mergeCell ref="F52:F56"/>
    <mergeCell ref="Y32:Y36"/>
    <mergeCell ref="Y37:Y41"/>
    <mergeCell ref="Y42:Y46"/>
    <mergeCell ref="Y47:Y51"/>
    <mergeCell ref="Y52:Y56"/>
    <mergeCell ref="Z7:Z56"/>
    <mergeCell ref="I42:I46"/>
    <mergeCell ref="J42:J46"/>
    <mergeCell ref="K42:K46"/>
    <mergeCell ref="L42:L46"/>
    <mergeCell ref="M42:M46"/>
    <mergeCell ref="W42:W46"/>
    <mergeCell ref="X42:X46"/>
    <mergeCell ref="U47:U51"/>
    <mergeCell ref="V47:V51"/>
    <mergeCell ref="W47:W51"/>
    <mergeCell ref="X47:X51"/>
    <mergeCell ref="H37:H41"/>
    <mergeCell ref="I37:I41"/>
    <mergeCell ref="J37:J41"/>
    <mergeCell ref="K37:K41"/>
    <mergeCell ref="C42:C46"/>
    <mergeCell ref="P52:P56"/>
    <mergeCell ref="Q52:Q56"/>
    <mergeCell ref="R52:R56"/>
    <mergeCell ref="S52:S56"/>
    <mergeCell ref="U42:U46"/>
    <mergeCell ref="V42:V46"/>
    <mergeCell ref="N42:N46"/>
    <mergeCell ref="O42:O46"/>
    <mergeCell ref="P42:P46"/>
    <mergeCell ref="Q42:Q46"/>
    <mergeCell ref="R42:R46"/>
    <mergeCell ref="S42:S46"/>
    <mergeCell ref="C52:C56"/>
    <mergeCell ref="D52:D56"/>
    <mergeCell ref="E52:E56"/>
    <mergeCell ref="G52:G56"/>
    <mergeCell ref="H52:H56"/>
    <mergeCell ref="I52:I56"/>
    <mergeCell ref="J52:J56"/>
    <mergeCell ref="K52:K56"/>
    <mergeCell ref="L52:L56"/>
    <mergeCell ref="T52:T56"/>
    <mergeCell ref="U52:U56"/>
    <mergeCell ref="V52:V56"/>
    <mergeCell ref="D42:D46"/>
    <mergeCell ref="E42:E46"/>
    <mergeCell ref="G42:G46"/>
    <mergeCell ref="H42:H46"/>
    <mergeCell ref="C47:C51"/>
    <mergeCell ref="D47:D51"/>
    <mergeCell ref="E47:E51"/>
    <mergeCell ref="K47:K51"/>
    <mergeCell ref="L47:L51"/>
    <mergeCell ref="M47:M51"/>
    <mergeCell ref="N47:N51"/>
    <mergeCell ref="O47:O51"/>
    <mergeCell ref="P47:P51"/>
    <mergeCell ref="Q47:Q51"/>
    <mergeCell ref="R47:R51"/>
    <mergeCell ref="S47:S51"/>
    <mergeCell ref="T47:T51"/>
    <mergeCell ref="BA7:BA11"/>
    <mergeCell ref="BF7:BF11"/>
    <mergeCell ref="Y17:Y21"/>
    <mergeCell ref="BD7:BD56"/>
    <mergeCell ref="BE7:BE56"/>
    <mergeCell ref="BA32:BA36"/>
    <mergeCell ref="BA37:BA41"/>
    <mergeCell ref="BA42:BA46"/>
    <mergeCell ref="BA47:BA51"/>
    <mergeCell ref="BA52:BA56"/>
    <mergeCell ref="BB7:BB56"/>
    <mergeCell ref="BC7:BC56"/>
    <mergeCell ref="BF32:BF36"/>
    <mergeCell ref="BF37:BF41"/>
    <mergeCell ref="BF42:BF46"/>
    <mergeCell ref="BF47:BF51"/>
    <mergeCell ref="BF52:BF56"/>
    <mergeCell ref="AX12:AX16"/>
    <mergeCell ref="X52:X56"/>
    <mergeCell ref="AB7:AB56"/>
    <mergeCell ref="AY42:AY46"/>
    <mergeCell ref="AZ42:AZ46"/>
    <mergeCell ref="BF12:BF16"/>
    <mergeCell ref="W32:W36"/>
    <mergeCell ref="X32:X36"/>
    <mergeCell ref="C37:C41"/>
    <mergeCell ref="D37:D41"/>
    <mergeCell ref="E37:E41"/>
    <mergeCell ref="G37:G41"/>
    <mergeCell ref="C27:C31"/>
    <mergeCell ref="E27:E31"/>
    <mergeCell ref="G27:G31"/>
    <mergeCell ref="H27:H31"/>
    <mergeCell ref="I27:I31"/>
    <mergeCell ref="J27:J31"/>
    <mergeCell ref="BF17:BF21"/>
    <mergeCell ref="BF22:BF26"/>
    <mergeCell ref="BF27:BF31"/>
    <mergeCell ref="L37:L41"/>
    <mergeCell ref="M37:M41"/>
    <mergeCell ref="N37:N41"/>
    <mergeCell ref="O37:O41"/>
    <mergeCell ref="P37:P41"/>
    <mergeCell ref="Q37:Q41"/>
    <mergeCell ref="R37:R41"/>
    <mergeCell ref="S37:S41"/>
    <mergeCell ref="T37:T41"/>
    <mergeCell ref="U37:U41"/>
    <mergeCell ref="L32:L36"/>
    <mergeCell ref="M32:M36"/>
    <mergeCell ref="N32:N36"/>
    <mergeCell ref="T32:T36"/>
    <mergeCell ref="C22:C26"/>
    <mergeCell ref="G22:G26"/>
    <mergeCell ref="E12:E16"/>
    <mergeCell ref="G12:G16"/>
    <mergeCell ref="H12:H16"/>
    <mergeCell ref="I12:I16"/>
    <mergeCell ref="J12:J16"/>
    <mergeCell ref="K12:K16"/>
    <mergeCell ref="R12:R16"/>
    <mergeCell ref="A7:A56"/>
    <mergeCell ref="B7:B56"/>
    <mergeCell ref="C32:C36"/>
    <mergeCell ref="D32:D36"/>
    <mergeCell ref="E32:E36"/>
    <mergeCell ref="G32:G36"/>
    <mergeCell ref="H32:H36"/>
    <mergeCell ref="I32:I36"/>
    <mergeCell ref="J32:J36"/>
    <mergeCell ref="K32:K36"/>
    <mergeCell ref="K17:K21"/>
    <mergeCell ref="R17:R21"/>
    <mergeCell ref="E22:E26"/>
    <mergeCell ref="H22:H26"/>
    <mergeCell ref="I22:I26"/>
    <mergeCell ref="J22:J26"/>
    <mergeCell ref="K22:K26"/>
    <mergeCell ref="Q32:Q36"/>
    <mergeCell ref="G47:G51"/>
    <mergeCell ref="H47:H51"/>
    <mergeCell ref="I47:I51"/>
    <mergeCell ref="C7:C11"/>
    <mergeCell ref="E7:E11"/>
    <mergeCell ref="G7:G11"/>
    <mergeCell ref="J47:J51"/>
    <mergeCell ref="H7:H11"/>
    <mergeCell ref="I7:I11"/>
    <mergeCell ref="J7:J11"/>
    <mergeCell ref="K7:K11"/>
    <mergeCell ref="R7:R11"/>
    <mergeCell ref="R22:R26"/>
    <mergeCell ref="X27:X31"/>
    <mergeCell ref="X12:X16"/>
    <mergeCell ref="C17:C21"/>
    <mergeCell ref="E17:E21"/>
    <mergeCell ref="G17:G21"/>
    <mergeCell ref="H17:H21"/>
    <mergeCell ref="I17:I21"/>
    <mergeCell ref="J17:J21"/>
    <mergeCell ref="Q12:Q16"/>
    <mergeCell ref="M7:M11"/>
    <mergeCell ref="N7:N11"/>
    <mergeCell ref="K27:K31"/>
    <mergeCell ref="R27:R31"/>
    <mergeCell ref="Q27:Q31"/>
    <mergeCell ref="D22:D26"/>
    <mergeCell ref="D27:D31"/>
    <mergeCell ref="P22:P26"/>
    <mergeCell ref="Q22:Q26"/>
    <mergeCell ref="L27:L31"/>
    <mergeCell ref="X22:X26"/>
    <mergeCell ref="D12:D16"/>
    <mergeCell ref="D17:D21"/>
    <mergeCell ref="O17:O21"/>
    <mergeCell ref="P17:P21"/>
    <mergeCell ref="Q17:Q21"/>
    <mergeCell ref="C12:C16"/>
    <mergeCell ref="BA27:BA31"/>
    <mergeCell ref="BA12:BA16"/>
    <mergeCell ref="BA17:BA21"/>
    <mergeCell ref="BA22:BA26"/>
    <mergeCell ref="X7:X11"/>
    <mergeCell ref="Y7:Y11"/>
    <mergeCell ref="AX7:AX11"/>
    <mergeCell ref="AY7:AY11"/>
    <mergeCell ref="O7:O11"/>
    <mergeCell ref="P7:P11"/>
    <mergeCell ref="Q7:Q11"/>
    <mergeCell ref="L12:L16"/>
    <mergeCell ref="M12:M16"/>
    <mergeCell ref="N12:N16"/>
    <mergeCell ref="O12:O16"/>
    <mergeCell ref="P12:P16"/>
    <mergeCell ref="AA7:AA56"/>
    <mergeCell ref="U32:U36"/>
    <mergeCell ref="V32:V36"/>
    <mergeCell ref="W52:W56"/>
    <mergeCell ref="T22:T26"/>
    <mergeCell ref="U22:U26"/>
    <mergeCell ref="R32:R36"/>
    <mergeCell ref="M52:M56"/>
    <mergeCell ref="N52:N56"/>
    <mergeCell ref="O52:O56"/>
    <mergeCell ref="O32:O36"/>
    <mergeCell ref="P32:P36"/>
    <mergeCell ref="S32:S36"/>
    <mergeCell ref="W37:W41"/>
    <mergeCell ref="X37:X41"/>
    <mergeCell ref="X17:X21"/>
    <mergeCell ref="BG5:BG6"/>
    <mergeCell ref="A5:A6"/>
    <mergeCell ref="C5:C6"/>
    <mergeCell ref="E5:E6"/>
    <mergeCell ref="G5:G6"/>
    <mergeCell ref="X5:X6"/>
    <mergeCell ref="H5:H6"/>
    <mergeCell ref="I5:I6"/>
    <mergeCell ref="J5:J6"/>
    <mergeCell ref="F5:F6"/>
    <mergeCell ref="K5:K6"/>
    <mergeCell ref="L5:P6"/>
    <mergeCell ref="Q5:Q6"/>
    <mergeCell ref="R5:R6"/>
    <mergeCell ref="B5:B6"/>
    <mergeCell ref="D5:D6"/>
    <mergeCell ref="Y5:Y6"/>
    <mergeCell ref="Z5:Z6"/>
    <mergeCell ref="AT5:AT6"/>
    <mergeCell ref="AB5:AB6"/>
    <mergeCell ref="AC5:AC6"/>
    <mergeCell ref="BB5:BB6"/>
    <mergeCell ref="AG5:AG6"/>
    <mergeCell ref="L22:L26"/>
    <mergeCell ref="M22:M26"/>
    <mergeCell ref="N22:N26"/>
    <mergeCell ref="O22:O26"/>
    <mergeCell ref="M27:M31"/>
    <mergeCell ref="G4:K4"/>
    <mergeCell ref="BF5:BF6"/>
    <mergeCell ref="AN5:AQ5"/>
    <mergeCell ref="AR5:AR6"/>
    <mergeCell ref="AS5:AS6"/>
    <mergeCell ref="AF5:AF6"/>
    <mergeCell ref="BE5:BE6"/>
    <mergeCell ref="AU5:AU6"/>
    <mergeCell ref="AY5:AY6"/>
    <mergeCell ref="BA5:BA6"/>
    <mergeCell ref="AX5:AX6"/>
    <mergeCell ref="AZ5:AZ6"/>
    <mergeCell ref="AV5:AV6"/>
    <mergeCell ref="AW5:AW6"/>
    <mergeCell ref="AA5:AA6"/>
    <mergeCell ref="AD5:AD6"/>
    <mergeCell ref="AE5:AE6"/>
    <mergeCell ref="AH5:AM5"/>
    <mergeCell ref="BC5:BC6"/>
    <mergeCell ref="BD5:BD6"/>
    <mergeCell ref="S5:W5"/>
    <mergeCell ref="Y12:Y16"/>
    <mergeCell ref="Y22:Y26"/>
    <mergeCell ref="Y27:Y31"/>
    <mergeCell ref="AZ7:AZ11"/>
    <mergeCell ref="AC7:AC56"/>
    <mergeCell ref="AD7:AD56"/>
    <mergeCell ref="T42:T46"/>
    <mergeCell ref="S27:S31"/>
    <mergeCell ref="T27:T31"/>
    <mergeCell ref="U27:U31"/>
    <mergeCell ref="V27:V31"/>
    <mergeCell ref="W27:W31"/>
    <mergeCell ref="L17:L21"/>
    <mergeCell ref="S7:S11"/>
    <mergeCell ref="T7:T11"/>
    <mergeCell ref="U7:U11"/>
    <mergeCell ref="V7:V11"/>
    <mergeCell ref="W7:W11"/>
    <mergeCell ref="S12:S16"/>
    <mergeCell ref="T12:T16"/>
    <mergeCell ref="U12:U16"/>
    <mergeCell ref="V12:V16"/>
    <mergeCell ref="W12:W16"/>
    <mergeCell ref="S17:S21"/>
    <mergeCell ref="T17:T21"/>
    <mergeCell ref="U17:U21"/>
    <mergeCell ref="V17:V21"/>
    <mergeCell ref="L7:L11"/>
    <mergeCell ref="M17:M21"/>
    <mergeCell ref="N17:N21"/>
    <mergeCell ref="N27:N31"/>
    <mergeCell ref="O27:O31"/>
    <mergeCell ref="P27:P31"/>
    <mergeCell ref="W17:W21"/>
    <mergeCell ref="S22:S26"/>
    <mergeCell ref="V22:V26"/>
    <mergeCell ref="W22:W26"/>
    <mergeCell ref="V37:V41"/>
    <mergeCell ref="J57:J61"/>
    <mergeCell ref="K57:K61"/>
    <mergeCell ref="L57:L61"/>
    <mergeCell ref="M57:M61"/>
    <mergeCell ref="N57:N61"/>
    <mergeCell ref="O57:O61"/>
    <mergeCell ref="P57:P61"/>
    <mergeCell ref="Q57:Q61"/>
    <mergeCell ref="R57:R61"/>
    <mergeCell ref="A57:A106"/>
    <mergeCell ref="B57:B106"/>
    <mergeCell ref="C57:C61"/>
    <mergeCell ref="D57:D61"/>
    <mergeCell ref="E57:E61"/>
    <mergeCell ref="F57:F61"/>
    <mergeCell ref="G57:G61"/>
    <mergeCell ref="H57:H61"/>
    <mergeCell ref="I57:I61"/>
    <mergeCell ref="C77:C81"/>
    <mergeCell ref="D77:D81"/>
    <mergeCell ref="E77:E81"/>
    <mergeCell ref="F77:F81"/>
    <mergeCell ref="G77:G81"/>
    <mergeCell ref="H77:H81"/>
    <mergeCell ref="I77:I81"/>
    <mergeCell ref="J77:J81"/>
    <mergeCell ref="K77:K81"/>
    <mergeCell ref="L77:L81"/>
    <mergeCell ref="M77:M81"/>
    <mergeCell ref="N77:N81"/>
    <mergeCell ref="O77:O81"/>
    <mergeCell ref="P77:P81"/>
    <mergeCell ref="S57:S61"/>
    <mergeCell ref="T57:T61"/>
    <mergeCell ref="U57:U61"/>
    <mergeCell ref="V57:V61"/>
    <mergeCell ref="W57:W61"/>
    <mergeCell ref="X57:X61"/>
    <mergeCell ref="Y57:Y61"/>
    <mergeCell ref="Z57:Z106"/>
    <mergeCell ref="AA57:AA106"/>
    <mergeCell ref="W62:W66"/>
    <mergeCell ref="X62:X66"/>
    <mergeCell ref="Y62:Y66"/>
    <mergeCell ref="Y82:Y86"/>
    <mergeCell ref="V87:V91"/>
    <mergeCell ref="W87:W91"/>
    <mergeCell ref="X87:X91"/>
    <mergeCell ref="Y87:Y91"/>
    <mergeCell ref="V92:V96"/>
    <mergeCell ref="W92:W96"/>
    <mergeCell ref="X92:X96"/>
    <mergeCell ref="Y92:Y96"/>
    <mergeCell ref="V97:V101"/>
    <mergeCell ref="W97:W101"/>
    <mergeCell ref="X97:X101"/>
    <mergeCell ref="U82:U86"/>
    <mergeCell ref="V82:V86"/>
    <mergeCell ref="W82:W86"/>
    <mergeCell ref="X82:X86"/>
    <mergeCell ref="T92:T96"/>
    <mergeCell ref="U92:U96"/>
    <mergeCell ref="U87:U91"/>
    <mergeCell ref="BG57:BG106"/>
    <mergeCell ref="C62:C66"/>
    <mergeCell ref="D62:D66"/>
    <mergeCell ref="E62:E66"/>
    <mergeCell ref="F62:F66"/>
    <mergeCell ref="G62:G66"/>
    <mergeCell ref="H62:H66"/>
    <mergeCell ref="I62:I66"/>
    <mergeCell ref="J62:J66"/>
    <mergeCell ref="K62:K66"/>
    <mergeCell ref="L62:L66"/>
    <mergeCell ref="M62:M66"/>
    <mergeCell ref="N62:N66"/>
    <mergeCell ref="O62:O66"/>
    <mergeCell ref="P62:P66"/>
    <mergeCell ref="Q62:Q66"/>
    <mergeCell ref="R62:R66"/>
    <mergeCell ref="S62:S66"/>
    <mergeCell ref="T62:T66"/>
    <mergeCell ref="U62:U66"/>
    <mergeCell ref="V62:V66"/>
    <mergeCell ref="AB57:AB106"/>
    <mergeCell ref="AC57:AC106"/>
    <mergeCell ref="AD57:AD106"/>
    <mergeCell ref="AX57:AX61"/>
    <mergeCell ref="AY57:AY61"/>
    <mergeCell ref="AZ57:AZ61"/>
    <mergeCell ref="BA57:BA61"/>
    <mergeCell ref="BB57:BB106"/>
    <mergeCell ref="BC57:BC106"/>
    <mergeCell ref="AX62:AX66"/>
    <mergeCell ref="AY62:AY66"/>
    <mergeCell ref="BF62:BF66"/>
    <mergeCell ref="C67:C71"/>
    <mergeCell ref="D67:D71"/>
    <mergeCell ref="E67:E71"/>
    <mergeCell ref="F67:F71"/>
    <mergeCell ref="G67:G71"/>
    <mergeCell ref="H67:H71"/>
    <mergeCell ref="I67:I71"/>
    <mergeCell ref="J67:J71"/>
    <mergeCell ref="K67:K71"/>
    <mergeCell ref="L67:L71"/>
    <mergeCell ref="M67:M71"/>
    <mergeCell ref="N67:N71"/>
    <mergeCell ref="O67:O71"/>
    <mergeCell ref="P67:P71"/>
    <mergeCell ref="Q67:Q71"/>
    <mergeCell ref="R67:R71"/>
    <mergeCell ref="S67:S71"/>
    <mergeCell ref="T67:T71"/>
    <mergeCell ref="U67:U71"/>
    <mergeCell ref="V67:V71"/>
    <mergeCell ref="W67:W71"/>
    <mergeCell ref="X67:X71"/>
    <mergeCell ref="Y67:Y71"/>
    <mergeCell ref="BD57:BD106"/>
    <mergeCell ref="BE57:BE106"/>
    <mergeCell ref="BF57:BF61"/>
    <mergeCell ref="AZ62:AZ66"/>
    <mergeCell ref="BA62:BA66"/>
    <mergeCell ref="AX67:AX71"/>
    <mergeCell ref="AY67:AY71"/>
    <mergeCell ref="AZ67:AZ71"/>
    <mergeCell ref="BF67:BF71"/>
    <mergeCell ref="C72:C76"/>
    <mergeCell ref="D72:D76"/>
    <mergeCell ref="E72:E76"/>
    <mergeCell ref="F72:F76"/>
    <mergeCell ref="G72:G76"/>
    <mergeCell ref="H72:H76"/>
    <mergeCell ref="I72:I76"/>
    <mergeCell ref="J72:J76"/>
    <mergeCell ref="K72:K76"/>
    <mergeCell ref="L72:L76"/>
    <mergeCell ref="M72:M76"/>
    <mergeCell ref="N72:N76"/>
    <mergeCell ref="O72:O76"/>
    <mergeCell ref="P72:P76"/>
    <mergeCell ref="Q72:Q76"/>
    <mergeCell ref="R72:R76"/>
    <mergeCell ref="S72:S76"/>
    <mergeCell ref="T72:T76"/>
    <mergeCell ref="U72:U76"/>
    <mergeCell ref="V72:V76"/>
    <mergeCell ref="W72:W76"/>
    <mergeCell ref="X72:X76"/>
    <mergeCell ref="Y72:Y76"/>
    <mergeCell ref="BA67:BA71"/>
    <mergeCell ref="AX72:AX76"/>
    <mergeCell ref="AY72:AY76"/>
    <mergeCell ref="AZ72:AZ76"/>
    <mergeCell ref="BA72:BA76"/>
    <mergeCell ref="BF72:BF76"/>
    <mergeCell ref="C82:C86"/>
    <mergeCell ref="D82:D86"/>
    <mergeCell ref="E82:E86"/>
    <mergeCell ref="F82:F86"/>
    <mergeCell ref="G82:G86"/>
    <mergeCell ref="H82:H86"/>
    <mergeCell ref="I82:I86"/>
    <mergeCell ref="J82:J86"/>
    <mergeCell ref="K82:K86"/>
    <mergeCell ref="L82:L86"/>
    <mergeCell ref="M82:M86"/>
    <mergeCell ref="N82:N86"/>
    <mergeCell ref="O82:O86"/>
    <mergeCell ref="P82:P86"/>
    <mergeCell ref="Q82:Q86"/>
    <mergeCell ref="R82:R86"/>
    <mergeCell ref="S82:S86"/>
    <mergeCell ref="AX87:AX91"/>
    <mergeCell ref="AY87:AY91"/>
    <mergeCell ref="AZ87:AZ91"/>
    <mergeCell ref="BA87:BA91"/>
    <mergeCell ref="BF87:BF91"/>
    <mergeCell ref="Q77:Q81"/>
    <mergeCell ref="R77:R81"/>
    <mergeCell ref="S77:S81"/>
    <mergeCell ref="T77:T81"/>
    <mergeCell ref="U77:U81"/>
    <mergeCell ref="V77:V81"/>
    <mergeCell ref="W77:W81"/>
    <mergeCell ref="X77:X81"/>
    <mergeCell ref="Y77:Y81"/>
    <mergeCell ref="AX77:AX81"/>
    <mergeCell ref="AY77:AY81"/>
    <mergeCell ref="AZ77:AZ81"/>
    <mergeCell ref="BA77:BA81"/>
    <mergeCell ref="BF77:BF81"/>
    <mergeCell ref="T82:T86"/>
    <mergeCell ref="K92:K96"/>
    <mergeCell ref="L92:L96"/>
    <mergeCell ref="M92:M96"/>
    <mergeCell ref="N92:N96"/>
    <mergeCell ref="O92:O96"/>
    <mergeCell ref="P92:P96"/>
    <mergeCell ref="Q92:Q96"/>
    <mergeCell ref="R92:R96"/>
    <mergeCell ref="S92:S96"/>
    <mergeCell ref="AX82:AX86"/>
    <mergeCell ref="AY82:AY86"/>
    <mergeCell ref="AZ82:AZ86"/>
    <mergeCell ref="BA82:BA86"/>
    <mergeCell ref="BF82:BF86"/>
    <mergeCell ref="C87:C91"/>
    <mergeCell ref="D87:D91"/>
    <mergeCell ref="E87:E91"/>
    <mergeCell ref="F87:F91"/>
    <mergeCell ref="G87:G91"/>
    <mergeCell ref="H87:H91"/>
    <mergeCell ref="I87:I91"/>
    <mergeCell ref="J87:J91"/>
    <mergeCell ref="K87:K91"/>
    <mergeCell ref="L87:L91"/>
    <mergeCell ref="M87:M91"/>
    <mergeCell ref="N87:N91"/>
    <mergeCell ref="O87:O91"/>
    <mergeCell ref="P87:P91"/>
    <mergeCell ref="Q87:Q91"/>
    <mergeCell ref="R87:R91"/>
    <mergeCell ref="S87:S91"/>
    <mergeCell ref="T87:T91"/>
    <mergeCell ref="AX92:AX96"/>
    <mergeCell ref="AY92:AY96"/>
    <mergeCell ref="AZ92:AZ96"/>
    <mergeCell ref="BA92:BA96"/>
    <mergeCell ref="BF92:BF96"/>
    <mergeCell ref="C97:C101"/>
    <mergeCell ref="D97:D101"/>
    <mergeCell ref="E97:E101"/>
    <mergeCell ref="F97:F101"/>
    <mergeCell ref="G97:G101"/>
    <mergeCell ref="H97:H101"/>
    <mergeCell ref="I97:I101"/>
    <mergeCell ref="J97:J101"/>
    <mergeCell ref="K97:K101"/>
    <mergeCell ref="L97:L101"/>
    <mergeCell ref="M97:M101"/>
    <mergeCell ref="N97:N101"/>
    <mergeCell ref="O97:O101"/>
    <mergeCell ref="P97:P101"/>
    <mergeCell ref="Q97:Q101"/>
    <mergeCell ref="R97:R101"/>
    <mergeCell ref="S97:S101"/>
    <mergeCell ref="T97:T101"/>
    <mergeCell ref="U97:U101"/>
    <mergeCell ref="C92:C96"/>
    <mergeCell ref="D92:D96"/>
    <mergeCell ref="E92:E96"/>
    <mergeCell ref="F92:F96"/>
    <mergeCell ref="G92:G96"/>
    <mergeCell ref="H92:H96"/>
    <mergeCell ref="I92:I96"/>
    <mergeCell ref="J92:J96"/>
    <mergeCell ref="BA102:BA106"/>
    <mergeCell ref="Y97:Y101"/>
    <mergeCell ref="AX97:AX101"/>
    <mergeCell ref="AY97:AY101"/>
    <mergeCell ref="AZ97:AZ101"/>
    <mergeCell ref="BA97:BA101"/>
    <mergeCell ref="BF97:BF101"/>
    <mergeCell ref="C102:C106"/>
    <mergeCell ref="D102:D106"/>
    <mergeCell ref="E102:E106"/>
    <mergeCell ref="F102:F106"/>
    <mergeCell ref="G102:G106"/>
    <mergeCell ref="H102:H106"/>
    <mergeCell ref="I102:I106"/>
    <mergeCell ref="J102:J106"/>
    <mergeCell ref="K102:K106"/>
    <mergeCell ref="L102:L106"/>
    <mergeCell ref="M102:M106"/>
    <mergeCell ref="N102:N106"/>
    <mergeCell ref="O102:O106"/>
    <mergeCell ref="P102:P106"/>
    <mergeCell ref="Q102:Q106"/>
    <mergeCell ref="R102:R106"/>
    <mergeCell ref="S102:S106"/>
    <mergeCell ref="T102:T106"/>
    <mergeCell ref="BF102:BF106"/>
    <mergeCell ref="U102:U106"/>
    <mergeCell ref="V102:V106"/>
    <mergeCell ref="W102:W106"/>
    <mergeCell ref="X102:X106"/>
    <mergeCell ref="Y102:Y106"/>
    <mergeCell ref="AX102:AX106"/>
    <mergeCell ref="A107:A156"/>
    <mergeCell ref="B107:B156"/>
    <mergeCell ref="C107:C111"/>
    <mergeCell ref="E107:E111"/>
    <mergeCell ref="F107:F111"/>
    <mergeCell ref="G107:G111"/>
    <mergeCell ref="H107:H111"/>
    <mergeCell ref="I107:I111"/>
    <mergeCell ref="J107:J111"/>
    <mergeCell ref="K107:K111"/>
    <mergeCell ref="L107:L111"/>
    <mergeCell ref="M107:M111"/>
    <mergeCell ref="N107:N111"/>
    <mergeCell ref="O107:O111"/>
    <mergeCell ref="P107:P111"/>
    <mergeCell ref="Q107:Q111"/>
    <mergeCell ref="F117:F121"/>
    <mergeCell ref="G117:G121"/>
    <mergeCell ref="H117:H121"/>
    <mergeCell ref="I117:I121"/>
    <mergeCell ref="J117:J121"/>
    <mergeCell ref="K117:K121"/>
    <mergeCell ref="L117:L121"/>
    <mergeCell ref="M117:M121"/>
    <mergeCell ref="N117:N121"/>
    <mergeCell ref="O117:O121"/>
    <mergeCell ref="P117:P121"/>
    <mergeCell ref="Q117:Q121"/>
    <mergeCell ref="C127:C131"/>
    <mergeCell ref="D127:D131"/>
    <mergeCell ref="E127:E131"/>
    <mergeCell ref="D107:D111"/>
    <mergeCell ref="AY102:AY106"/>
    <mergeCell ref="AZ102:AZ106"/>
    <mergeCell ref="AX107:AX111"/>
    <mergeCell ref="AY107:AY111"/>
    <mergeCell ref="X117:X121"/>
    <mergeCell ref="Y117:Y121"/>
    <mergeCell ref="AX117:AX121"/>
    <mergeCell ref="AY117:AY121"/>
    <mergeCell ref="R117:R121"/>
    <mergeCell ref="S117:S121"/>
    <mergeCell ref="T117:T121"/>
    <mergeCell ref="U117:U121"/>
    <mergeCell ref="V117:V121"/>
    <mergeCell ref="W117:W121"/>
    <mergeCell ref="S112:S116"/>
    <mergeCell ref="T112:T116"/>
    <mergeCell ref="U112:U116"/>
    <mergeCell ref="V112:V116"/>
    <mergeCell ref="W112:W116"/>
    <mergeCell ref="D117:D121"/>
    <mergeCell ref="E117:E121"/>
    <mergeCell ref="X122:X126"/>
    <mergeCell ref="Y122:Y126"/>
    <mergeCell ref="AY127:AY131"/>
    <mergeCell ref="X132:X136"/>
    <mergeCell ref="Y132:Y136"/>
    <mergeCell ref="AX132:AX136"/>
    <mergeCell ref="AY112:AY116"/>
    <mergeCell ref="AZ107:AZ111"/>
    <mergeCell ref="BA107:BA111"/>
    <mergeCell ref="BB107:BB156"/>
    <mergeCell ref="BC107:BC156"/>
    <mergeCell ref="BD107:BD156"/>
    <mergeCell ref="X112:X116"/>
    <mergeCell ref="Y112:Y116"/>
    <mergeCell ref="AX112:AX116"/>
    <mergeCell ref="AZ117:AZ121"/>
    <mergeCell ref="BA117:BA121"/>
    <mergeCell ref="BA147:BA151"/>
    <mergeCell ref="R107:R111"/>
    <mergeCell ref="S107:S111"/>
    <mergeCell ref="T107:T111"/>
    <mergeCell ref="U107:U111"/>
    <mergeCell ref="V107:V111"/>
    <mergeCell ref="W107:W111"/>
    <mergeCell ref="AZ127:AZ131"/>
    <mergeCell ref="BA127:BA131"/>
    <mergeCell ref="V137:V141"/>
    <mergeCell ref="AY142:AY146"/>
    <mergeCell ref="W137:W141"/>
    <mergeCell ref="X137:X141"/>
    <mergeCell ref="AY122:AY126"/>
    <mergeCell ref="X127:X131"/>
    <mergeCell ref="Y127:Y131"/>
    <mergeCell ref="AX127:AX131"/>
    <mergeCell ref="BG107:BG156"/>
    <mergeCell ref="C112:C116"/>
    <mergeCell ref="D112:D116"/>
    <mergeCell ref="E112:E116"/>
    <mergeCell ref="F112:F116"/>
    <mergeCell ref="G112:G116"/>
    <mergeCell ref="H112:H116"/>
    <mergeCell ref="I112:I116"/>
    <mergeCell ref="J112:J116"/>
    <mergeCell ref="K112:K116"/>
    <mergeCell ref="L112:L116"/>
    <mergeCell ref="M112:M116"/>
    <mergeCell ref="N112:N116"/>
    <mergeCell ref="O112:O116"/>
    <mergeCell ref="P112:P116"/>
    <mergeCell ref="Q112:Q116"/>
    <mergeCell ref="R112:R116"/>
    <mergeCell ref="X107:X111"/>
    <mergeCell ref="Y107:Y111"/>
    <mergeCell ref="Z107:Z156"/>
    <mergeCell ref="AA107:AA156"/>
    <mergeCell ref="AB107:AB156"/>
    <mergeCell ref="AC107:AC156"/>
    <mergeCell ref="AD107:AD156"/>
    <mergeCell ref="AZ112:AZ116"/>
    <mergeCell ref="BA112:BA116"/>
    <mergeCell ref="BF112:BF116"/>
    <mergeCell ref="C117:C121"/>
    <mergeCell ref="F127:F131"/>
    <mergeCell ref="G127:G131"/>
    <mergeCell ref="H127:H131"/>
    <mergeCell ref="I127:I131"/>
    <mergeCell ref="BF117:BF121"/>
    <mergeCell ref="C122:C126"/>
    <mergeCell ref="D122:D126"/>
    <mergeCell ref="E122:E126"/>
    <mergeCell ref="F122:F126"/>
    <mergeCell ref="G122:G126"/>
    <mergeCell ref="H122:H126"/>
    <mergeCell ref="I122:I126"/>
    <mergeCell ref="J122:J126"/>
    <mergeCell ref="K122:K126"/>
    <mergeCell ref="L122:L126"/>
    <mergeCell ref="M122:M126"/>
    <mergeCell ref="N122:N126"/>
    <mergeCell ref="O122:O126"/>
    <mergeCell ref="P122:P126"/>
    <mergeCell ref="Q122:Q126"/>
    <mergeCell ref="R122:R126"/>
    <mergeCell ref="S122:S126"/>
    <mergeCell ref="T122:T126"/>
    <mergeCell ref="U122:U126"/>
    <mergeCell ref="V122:V126"/>
    <mergeCell ref="W122:W126"/>
    <mergeCell ref="AZ122:AZ126"/>
    <mergeCell ref="BA122:BA126"/>
    <mergeCell ref="BF122:BF126"/>
    <mergeCell ref="BE107:BE156"/>
    <mergeCell ref="BF107:BF111"/>
    <mergeCell ref="AX122:AX126"/>
    <mergeCell ref="C132:C136"/>
    <mergeCell ref="D132:D136"/>
    <mergeCell ref="E132:E136"/>
    <mergeCell ref="F132:F136"/>
    <mergeCell ref="G132:G136"/>
    <mergeCell ref="H132:H136"/>
    <mergeCell ref="I132:I136"/>
    <mergeCell ref="J132:J136"/>
    <mergeCell ref="K132:K136"/>
    <mergeCell ref="L132:L136"/>
    <mergeCell ref="M132:M136"/>
    <mergeCell ref="N132:N136"/>
    <mergeCell ref="O132:O136"/>
    <mergeCell ref="P132:P136"/>
    <mergeCell ref="Q132:Q136"/>
    <mergeCell ref="R132:R136"/>
    <mergeCell ref="S132:S136"/>
    <mergeCell ref="W127:W131"/>
    <mergeCell ref="J127:J131"/>
    <mergeCell ref="K127:K131"/>
    <mergeCell ref="L127:L131"/>
    <mergeCell ref="M127:M131"/>
    <mergeCell ref="N127:N131"/>
    <mergeCell ref="O127:O131"/>
    <mergeCell ref="P127:P131"/>
    <mergeCell ref="Q127:Q131"/>
    <mergeCell ref="R127:R131"/>
    <mergeCell ref="S127:S131"/>
    <mergeCell ref="T127:T131"/>
    <mergeCell ref="U127:U131"/>
    <mergeCell ref="V127:V131"/>
    <mergeCell ref="T137:T141"/>
    <mergeCell ref="U137:U141"/>
    <mergeCell ref="BF127:BF131"/>
    <mergeCell ref="T132:T136"/>
    <mergeCell ref="U132:U136"/>
    <mergeCell ref="V132:V136"/>
    <mergeCell ref="W132:W136"/>
    <mergeCell ref="AY132:AY136"/>
    <mergeCell ref="AZ132:AZ136"/>
    <mergeCell ref="BA132:BA136"/>
    <mergeCell ref="BF132:BF136"/>
    <mergeCell ref="Y137:Y141"/>
    <mergeCell ref="AX137:AX141"/>
    <mergeCell ref="AY137:AY141"/>
    <mergeCell ref="AZ137:AZ141"/>
    <mergeCell ref="BA137:BA141"/>
    <mergeCell ref="BF137:BF141"/>
    <mergeCell ref="C137:C141"/>
    <mergeCell ref="S142:S146"/>
    <mergeCell ref="T142:T146"/>
    <mergeCell ref="U142:U146"/>
    <mergeCell ref="V142:V146"/>
    <mergeCell ref="W142:W146"/>
    <mergeCell ref="X142:X146"/>
    <mergeCell ref="Y142:Y146"/>
    <mergeCell ref="AX142:AX146"/>
    <mergeCell ref="D137:D141"/>
    <mergeCell ref="E137:E141"/>
    <mergeCell ref="F137:F141"/>
    <mergeCell ref="G137:G141"/>
    <mergeCell ref="H137:H141"/>
    <mergeCell ref="I137:I141"/>
    <mergeCell ref="J137:J141"/>
    <mergeCell ref="K137:K141"/>
    <mergeCell ref="L137:L141"/>
    <mergeCell ref="M137:M141"/>
    <mergeCell ref="N137:N141"/>
    <mergeCell ref="O137:O141"/>
    <mergeCell ref="P137:P141"/>
    <mergeCell ref="Q137:Q141"/>
    <mergeCell ref="R137:R141"/>
    <mergeCell ref="S137:S141"/>
    <mergeCell ref="C142:C146"/>
    <mergeCell ref="D142:D146"/>
    <mergeCell ref="E142:E146"/>
    <mergeCell ref="F142:F146"/>
    <mergeCell ref="G142:G146"/>
    <mergeCell ref="H142:H146"/>
    <mergeCell ref="I142:I146"/>
    <mergeCell ref="J142:J146"/>
    <mergeCell ref="K142:K146"/>
    <mergeCell ref="L142:L146"/>
    <mergeCell ref="M142:M146"/>
    <mergeCell ref="N142:N146"/>
    <mergeCell ref="O142:O146"/>
    <mergeCell ref="P142:P146"/>
    <mergeCell ref="Q142:Q146"/>
    <mergeCell ref="R142:R146"/>
    <mergeCell ref="AZ142:AZ146"/>
    <mergeCell ref="E147:E151"/>
    <mergeCell ref="F147:F151"/>
    <mergeCell ref="G147:G151"/>
    <mergeCell ref="H147:H151"/>
    <mergeCell ref="I147:I151"/>
    <mergeCell ref="J147:J151"/>
    <mergeCell ref="K147:K151"/>
    <mergeCell ref="L147:L151"/>
    <mergeCell ref="M147:M151"/>
    <mergeCell ref="N147:N151"/>
    <mergeCell ref="O147:O151"/>
    <mergeCell ref="P147:P151"/>
    <mergeCell ref="Q147:Q151"/>
    <mergeCell ref="R147:R151"/>
    <mergeCell ref="S147:S151"/>
    <mergeCell ref="BA142:BA146"/>
    <mergeCell ref="BF142:BF146"/>
    <mergeCell ref="BF147:BF151"/>
    <mergeCell ref="C152:C156"/>
    <mergeCell ref="D152:D156"/>
    <mergeCell ref="E152:E156"/>
    <mergeCell ref="F152:F156"/>
    <mergeCell ref="G152:G156"/>
    <mergeCell ref="H152:H156"/>
    <mergeCell ref="I152:I156"/>
    <mergeCell ref="J152:J156"/>
    <mergeCell ref="K152:K156"/>
    <mergeCell ref="L152:L156"/>
    <mergeCell ref="M152:M156"/>
    <mergeCell ref="N152:N156"/>
    <mergeCell ref="O152:O156"/>
    <mergeCell ref="P152:P156"/>
    <mergeCell ref="Q152:Q156"/>
    <mergeCell ref="R152:R156"/>
    <mergeCell ref="S152:S156"/>
    <mergeCell ref="BA152:BA156"/>
    <mergeCell ref="BF152:BF156"/>
    <mergeCell ref="T147:T151"/>
    <mergeCell ref="U147:U151"/>
    <mergeCell ref="V147:V151"/>
    <mergeCell ref="W147:W151"/>
    <mergeCell ref="AZ152:AZ156"/>
    <mergeCell ref="X147:X151"/>
    <mergeCell ref="Y147:Y151"/>
    <mergeCell ref="AX147:AX151"/>
    <mergeCell ref="AY147:AY151"/>
    <mergeCell ref="AZ147:AZ151"/>
    <mergeCell ref="C147:C151"/>
    <mergeCell ref="D147:D151"/>
    <mergeCell ref="A157:A206"/>
    <mergeCell ref="B157:B206"/>
    <mergeCell ref="C157:C161"/>
    <mergeCell ref="D157:D161"/>
    <mergeCell ref="E157:E161"/>
    <mergeCell ref="F157:F161"/>
    <mergeCell ref="G157:G161"/>
    <mergeCell ref="H157:H161"/>
    <mergeCell ref="I157:I161"/>
    <mergeCell ref="J157:J161"/>
    <mergeCell ref="K157:K161"/>
    <mergeCell ref="L157:L161"/>
    <mergeCell ref="M157:M161"/>
    <mergeCell ref="N157:N161"/>
    <mergeCell ref="O157:O161"/>
    <mergeCell ref="L172:L176"/>
    <mergeCell ref="M172:M176"/>
    <mergeCell ref="N172:N176"/>
    <mergeCell ref="O172:O176"/>
    <mergeCell ref="C177:C181"/>
    <mergeCell ref="D177:D181"/>
    <mergeCell ref="E177:E181"/>
    <mergeCell ref="F177:F181"/>
    <mergeCell ref="G177:G181"/>
    <mergeCell ref="H177:H181"/>
    <mergeCell ref="I177:I181"/>
    <mergeCell ref="J177:J181"/>
    <mergeCell ref="K177:K181"/>
    <mergeCell ref="C172:C176"/>
    <mergeCell ref="D172:D176"/>
    <mergeCell ref="P157:P161"/>
    <mergeCell ref="Q157:Q161"/>
    <mergeCell ref="C162:C166"/>
    <mergeCell ref="D162:D166"/>
    <mergeCell ref="E162:E166"/>
    <mergeCell ref="F162:F166"/>
    <mergeCell ref="G162:G166"/>
    <mergeCell ref="H162:H166"/>
    <mergeCell ref="I162:I166"/>
    <mergeCell ref="J162:J166"/>
    <mergeCell ref="K162:K166"/>
    <mergeCell ref="L162:L166"/>
    <mergeCell ref="M162:M166"/>
    <mergeCell ref="N162:N166"/>
    <mergeCell ref="O162:O166"/>
    <mergeCell ref="P162:P166"/>
    <mergeCell ref="Q162:Q166"/>
    <mergeCell ref="R157:R161"/>
    <mergeCell ref="S157:S161"/>
    <mergeCell ref="T157:T161"/>
    <mergeCell ref="U157:U161"/>
    <mergeCell ref="V157:V161"/>
    <mergeCell ref="T152:T156"/>
    <mergeCell ref="U152:U156"/>
    <mergeCell ref="V152:V156"/>
    <mergeCell ref="W152:W156"/>
    <mergeCell ref="X152:X156"/>
    <mergeCell ref="Y152:Y156"/>
    <mergeCell ref="AX152:AX156"/>
    <mergeCell ref="AY152:AY156"/>
    <mergeCell ref="BG157:BG206"/>
    <mergeCell ref="BF162:BF166"/>
    <mergeCell ref="BF167:BF171"/>
    <mergeCell ref="BF172:BF176"/>
    <mergeCell ref="BF177:BF181"/>
    <mergeCell ref="BF182:BF186"/>
    <mergeCell ref="BF187:BF191"/>
    <mergeCell ref="BF192:BF196"/>
    <mergeCell ref="BF197:BF201"/>
    <mergeCell ref="BF202:BF206"/>
    <mergeCell ref="W157:W161"/>
    <mergeCell ref="X157:X161"/>
    <mergeCell ref="Y157:Y161"/>
    <mergeCell ref="Z157:Z206"/>
    <mergeCell ref="AA157:AA206"/>
    <mergeCell ref="AB157:AB206"/>
    <mergeCell ref="AC157:AC206"/>
    <mergeCell ref="AD157:AD206"/>
    <mergeCell ref="AX157:AX161"/>
    <mergeCell ref="AY157:AY161"/>
    <mergeCell ref="AZ157:AZ161"/>
    <mergeCell ref="BA157:BA161"/>
    <mergeCell ref="BB157:BB206"/>
    <mergeCell ref="BC157:BC206"/>
    <mergeCell ref="BD157:BD206"/>
    <mergeCell ref="BE157:BE206"/>
    <mergeCell ref="BF157:BF161"/>
    <mergeCell ref="U162:U166"/>
    <mergeCell ref="V162:V166"/>
    <mergeCell ref="W162:W166"/>
    <mergeCell ref="X162:X166"/>
    <mergeCell ref="Y162:Y166"/>
    <mergeCell ref="AX162:AX166"/>
    <mergeCell ref="AY162:AY166"/>
    <mergeCell ref="AZ162:AZ166"/>
    <mergeCell ref="BA162:BA166"/>
    <mergeCell ref="BA172:BA176"/>
    <mergeCell ref="BA182:BA186"/>
    <mergeCell ref="BA192:BA196"/>
    <mergeCell ref="BA202:BA206"/>
    <mergeCell ref="U172:U176"/>
    <mergeCell ref="V172:V176"/>
    <mergeCell ref="W172:W176"/>
    <mergeCell ref="X172:X176"/>
    <mergeCell ref="Y172:Y176"/>
    <mergeCell ref="AX172:AX176"/>
    <mergeCell ref="AY172:AY176"/>
    <mergeCell ref="AZ172:AZ176"/>
    <mergeCell ref="U182:U186"/>
    <mergeCell ref="V182:V186"/>
    <mergeCell ref="W182:W186"/>
    <mergeCell ref="R162:R166"/>
    <mergeCell ref="S162:S166"/>
    <mergeCell ref="T162:T166"/>
    <mergeCell ref="BA167:BA171"/>
    <mergeCell ref="L167:L171"/>
    <mergeCell ref="M167:M171"/>
    <mergeCell ref="N167:N171"/>
    <mergeCell ref="O167:O171"/>
    <mergeCell ref="P167:P171"/>
    <mergeCell ref="Q167:Q171"/>
    <mergeCell ref="R167:R171"/>
    <mergeCell ref="S167:S171"/>
    <mergeCell ref="T167:T171"/>
    <mergeCell ref="C167:C171"/>
    <mergeCell ref="D167:D171"/>
    <mergeCell ref="E167:E171"/>
    <mergeCell ref="F167:F171"/>
    <mergeCell ref="G167:G171"/>
    <mergeCell ref="H167:H171"/>
    <mergeCell ref="I167:I171"/>
    <mergeCell ref="J167:J171"/>
    <mergeCell ref="K167:K171"/>
    <mergeCell ref="U167:U171"/>
    <mergeCell ref="V167:V171"/>
    <mergeCell ref="W167:W171"/>
    <mergeCell ref="X167:X171"/>
    <mergeCell ref="Y167:Y171"/>
    <mergeCell ref="AX167:AX171"/>
    <mergeCell ref="AY167:AY171"/>
    <mergeCell ref="AZ167:AZ171"/>
    <mergeCell ref="BA177:BA181"/>
    <mergeCell ref="L177:L181"/>
    <mergeCell ref="M177:M181"/>
    <mergeCell ref="N177:N181"/>
    <mergeCell ref="O177:O181"/>
    <mergeCell ref="P177:P181"/>
    <mergeCell ref="Q177:Q181"/>
    <mergeCell ref="R177:R181"/>
    <mergeCell ref="S177:S181"/>
    <mergeCell ref="T177:T181"/>
    <mergeCell ref="U177:U181"/>
    <mergeCell ref="V177:V181"/>
    <mergeCell ref="W177:W181"/>
    <mergeCell ref="X177:X181"/>
    <mergeCell ref="Y177:Y181"/>
    <mergeCell ref="AX177:AX181"/>
    <mergeCell ref="AY177:AY181"/>
    <mergeCell ref="AZ177:AZ181"/>
    <mergeCell ref="E172:E176"/>
    <mergeCell ref="F172:F176"/>
    <mergeCell ref="G172:G176"/>
    <mergeCell ref="H172:H176"/>
    <mergeCell ref="I172:I176"/>
    <mergeCell ref="J172:J176"/>
    <mergeCell ref="K172:K176"/>
    <mergeCell ref="X182:X186"/>
    <mergeCell ref="Y182:Y186"/>
    <mergeCell ref="AX182:AX186"/>
    <mergeCell ref="AY182:AY186"/>
    <mergeCell ref="AZ182:AZ186"/>
    <mergeCell ref="L182:L186"/>
    <mergeCell ref="M182:M186"/>
    <mergeCell ref="N182:N186"/>
    <mergeCell ref="O182:O186"/>
    <mergeCell ref="P182:P186"/>
    <mergeCell ref="Q182:Q186"/>
    <mergeCell ref="R182:R186"/>
    <mergeCell ref="S182:S186"/>
    <mergeCell ref="T182:T186"/>
    <mergeCell ref="P172:P176"/>
    <mergeCell ref="Q172:Q176"/>
    <mergeCell ref="R172:R176"/>
    <mergeCell ref="S172:S176"/>
    <mergeCell ref="T172:T176"/>
    <mergeCell ref="BA187:BA191"/>
    <mergeCell ref="L187:L191"/>
    <mergeCell ref="M187:M191"/>
    <mergeCell ref="N187:N191"/>
    <mergeCell ref="O187:O191"/>
    <mergeCell ref="P187:P191"/>
    <mergeCell ref="Q187:Q191"/>
    <mergeCell ref="R187:R191"/>
    <mergeCell ref="S187:S191"/>
    <mergeCell ref="T187:T191"/>
    <mergeCell ref="U187:U191"/>
    <mergeCell ref="V187:V191"/>
    <mergeCell ref="W187:W191"/>
    <mergeCell ref="X187:X191"/>
    <mergeCell ref="Y187:Y191"/>
    <mergeCell ref="AX187:AX191"/>
    <mergeCell ref="AY187:AY191"/>
    <mergeCell ref="AZ187:AZ191"/>
    <mergeCell ref="C187:C191"/>
    <mergeCell ref="D187:D191"/>
    <mergeCell ref="E187:E191"/>
    <mergeCell ref="F187:F191"/>
    <mergeCell ref="G187:G191"/>
    <mergeCell ref="H187:H191"/>
    <mergeCell ref="I187:I191"/>
    <mergeCell ref="J187:J191"/>
    <mergeCell ref="K187:K191"/>
    <mergeCell ref="C182:C186"/>
    <mergeCell ref="D182:D186"/>
    <mergeCell ref="E182:E186"/>
    <mergeCell ref="F182:F186"/>
    <mergeCell ref="G182:G186"/>
    <mergeCell ref="H182:H186"/>
    <mergeCell ref="I182:I186"/>
    <mergeCell ref="J182:J186"/>
    <mergeCell ref="K182:K186"/>
    <mergeCell ref="U192:U196"/>
    <mergeCell ref="V192:V196"/>
    <mergeCell ref="W192:W196"/>
    <mergeCell ref="X192:X196"/>
    <mergeCell ref="Y192:Y196"/>
    <mergeCell ref="AX192:AX196"/>
    <mergeCell ref="AY192:AY196"/>
    <mergeCell ref="AZ192:AZ196"/>
    <mergeCell ref="L192:L196"/>
    <mergeCell ref="M192:M196"/>
    <mergeCell ref="N192:N196"/>
    <mergeCell ref="O192:O196"/>
    <mergeCell ref="P192:P196"/>
    <mergeCell ref="Q192:Q196"/>
    <mergeCell ref="R192:R196"/>
    <mergeCell ref="S192:S196"/>
    <mergeCell ref="T192:T196"/>
    <mergeCell ref="BA197:BA201"/>
    <mergeCell ref="L197:L201"/>
    <mergeCell ref="M197:M201"/>
    <mergeCell ref="N197:N201"/>
    <mergeCell ref="O197:O201"/>
    <mergeCell ref="P197:P201"/>
    <mergeCell ref="Q197:Q201"/>
    <mergeCell ref="R197:R201"/>
    <mergeCell ref="S197:S201"/>
    <mergeCell ref="T197:T201"/>
    <mergeCell ref="C197:C201"/>
    <mergeCell ref="D197:D201"/>
    <mergeCell ref="E197:E201"/>
    <mergeCell ref="F197:F201"/>
    <mergeCell ref="G197:G201"/>
    <mergeCell ref="H197:H201"/>
    <mergeCell ref="I197:I201"/>
    <mergeCell ref="J197:J201"/>
    <mergeCell ref="K197:K201"/>
    <mergeCell ref="U197:U201"/>
    <mergeCell ref="V197:V201"/>
    <mergeCell ref="W197:W201"/>
    <mergeCell ref="X197:X201"/>
    <mergeCell ref="Y197:Y201"/>
    <mergeCell ref="AX197:AX201"/>
    <mergeCell ref="AY197:AY201"/>
    <mergeCell ref="AZ197:AZ201"/>
    <mergeCell ref="C192:C196"/>
    <mergeCell ref="D192:D196"/>
    <mergeCell ref="E192:E196"/>
    <mergeCell ref="F192:F196"/>
    <mergeCell ref="G192:G196"/>
    <mergeCell ref="H192:H196"/>
    <mergeCell ref="I192:I196"/>
    <mergeCell ref="J192:J196"/>
    <mergeCell ref="K192:K196"/>
    <mergeCell ref="C202:C206"/>
    <mergeCell ref="D202:D206"/>
    <mergeCell ref="E202:E206"/>
    <mergeCell ref="F202:F206"/>
    <mergeCell ref="G202:G206"/>
    <mergeCell ref="H202:H206"/>
    <mergeCell ref="I202:I206"/>
    <mergeCell ref="J202:J206"/>
    <mergeCell ref="K202:K206"/>
    <mergeCell ref="U202:U206"/>
    <mergeCell ref="V202:V206"/>
    <mergeCell ref="W202:W206"/>
    <mergeCell ref="X202:X206"/>
    <mergeCell ref="Y202:Y206"/>
    <mergeCell ref="AX202:AX206"/>
    <mergeCell ref="AY202:AY206"/>
    <mergeCell ref="AZ202:AZ206"/>
    <mergeCell ref="L202:L206"/>
    <mergeCell ref="M202:M206"/>
    <mergeCell ref="N202:N206"/>
    <mergeCell ref="O202:O206"/>
    <mergeCell ref="P202:P206"/>
    <mergeCell ref="Q202:Q206"/>
    <mergeCell ref="R202:R206"/>
    <mergeCell ref="S202:S206"/>
    <mergeCell ref="T202:T206"/>
    <mergeCell ref="J207:J211"/>
    <mergeCell ref="K207:K211"/>
    <mergeCell ref="L207:L211"/>
    <mergeCell ref="M207:M211"/>
    <mergeCell ref="N207:N211"/>
    <mergeCell ref="O207:O211"/>
    <mergeCell ref="P207:P211"/>
    <mergeCell ref="Q207:Q211"/>
    <mergeCell ref="R207:R211"/>
    <mergeCell ref="A207:A256"/>
    <mergeCell ref="B207:B256"/>
    <mergeCell ref="C207:C211"/>
    <mergeCell ref="D207:D211"/>
    <mergeCell ref="E207:E211"/>
    <mergeCell ref="F207:F211"/>
    <mergeCell ref="G207:G211"/>
    <mergeCell ref="H207:H211"/>
    <mergeCell ref="I207:I211"/>
    <mergeCell ref="C232:C236"/>
    <mergeCell ref="D232:D236"/>
    <mergeCell ref="E232:E236"/>
    <mergeCell ref="F232:F236"/>
    <mergeCell ref="G232:G236"/>
    <mergeCell ref="H232:H236"/>
    <mergeCell ref="I232:I236"/>
    <mergeCell ref="J232:J236"/>
    <mergeCell ref="K232:K236"/>
    <mergeCell ref="L232:L236"/>
    <mergeCell ref="M232:M236"/>
    <mergeCell ref="N232:N236"/>
    <mergeCell ref="O232:O236"/>
    <mergeCell ref="P232:P236"/>
    <mergeCell ref="S207:S211"/>
    <mergeCell ref="T207:T211"/>
    <mergeCell ref="C227:C231"/>
    <mergeCell ref="D227:D231"/>
    <mergeCell ref="E227:E231"/>
    <mergeCell ref="F227:F231"/>
    <mergeCell ref="G227:G231"/>
    <mergeCell ref="H227:H231"/>
    <mergeCell ref="I227:I231"/>
    <mergeCell ref="J227:J231"/>
    <mergeCell ref="K227:K231"/>
    <mergeCell ref="L227:L231"/>
    <mergeCell ref="AX207:AX211"/>
    <mergeCell ref="AY207:AY211"/>
    <mergeCell ref="AZ207:AZ211"/>
    <mergeCell ref="BA207:BA211"/>
    <mergeCell ref="BB207:BB256"/>
    <mergeCell ref="AY222:AY226"/>
    <mergeCell ref="AZ222:AZ226"/>
    <mergeCell ref="BA222:BA226"/>
    <mergeCell ref="Q227:Q231"/>
    <mergeCell ref="R227:R231"/>
    <mergeCell ref="S227:S231"/>
    <mergeCell ref="T227:T231"/>
    <mergeCell ref="U227:U231"/>
    <mergeCell ref="V227:V231"/>
    <mergeCell ref="W227:W231"/>
    <mergeCell ref="X227:X231"/>
    <mergeCell ref="Y227:Y231"/>
    <mergeCell ref="AX227:AX231"/>
    <mergeCell ref="AY227:AY231"/>
    <mergeCell ref="AZ227:AZ231"/>
    <mergeCell ref="X212:X216"/>
    <mergeCell ref="Y212:Y216"/>
    <mergeCell ref="Y232:Y236"/>
    <mergeCell ref="V237:V241"/>
    <mergeCell ref="W237:W241"/>
    <mergeCell ref="X237:X241"/>
    <mergeCell ref="Y237:Y241"/>
    <mergeCell ref="V242:V246"/>
    <mergeCell ref="W242:W246"/>
    <mergeCell ref="X242:X246"/>
    <mergeCell ref="Y242:Y246"/>
    <mergeCell ref="V247:V251"/>
    <mergeCell ref="W247:W251"/>
    <mergeCell ref="X247:X251"/>
    <mergeCell ref="W217:W221"/>
    <mergeCell ref="X217:X221"/>
    <mergeCell ref="Y217:Y221"/>
    <mergeCell ref="X222:X226"/>
    <mergeCell ref="Y222:Y226"/>
    <mergeCell ref="BG207:BG256"/>
    <mergeCell ref="C212:C216"/>
    <mergeCell ref="D212:D216"/>
    <mergeCell ref="E212:E216"/>
    <mergeCell ref="F212:F216"/>
    <mergeCell ref="G212:G216"/>
    <mergeCell ref="H212:H216"/>
    <mergeCell ref="I212:I216"/>
    <mergeCell ref="J212:J216"/>
    <mergeCell ref="K212:K216"/>
    <mergeCell ref="L212:L216"/>
    <mergeCell ref="M212:M216"/>
    <mergeCell ref="N212:N216"/>
    <mergeCell ref="O212:O216"/>
    <mergeCell ref="P212:P216"/>
    <mergeCell ref="Q212:Q216"/>
    <mergeCell ref="R212:R216"/>
    <mergeCell ref="S212:S216"/>
    <mergeCell ref="T212:T216"/>
    <mergeCell ref="U212:U216"/>
    <mergeCell ref="V212:V216"/>
    <mergeCell ref="U222:U226"/>
    <mergeCell ref="V222:V226"/>
    <mergeCell ref="W222:W226"/>
    <mergeCell ref="BC207:BC256"/>
    <mergeCell ref="AX212:AX216"/>
    <mergeCell ref="AY212:AY216"/>
    <mergeCell ref="U207:U211"/>
    <mergeCell ref="V207:V211"/>
    <mergeCell ref="W207:W211"/>
    <mergeCell ref="X207:X211"/>
    <mergeCell ref="Y207:Y211"/>
    <mergeCell ref="BF212:BF216"/>
    <mergeCell ref="C217:C221"/>
    <mergeCell ref="D217:D221"/>
    <mergeCell ref="E217:E221"/>
    <mergeCell ref="F217:F221"/>
    <mergeCell ref="G217:G221"/>
    <mergeCell ref="H217:H221"/>
    <mergeCell ref="I217:I221"/>
    <mergeCell ref="J217:J221"/>
    <mergeCell ref="K217:K221"/>
    <mergeCell ref="L217:L221"/>
    <mergeCell ref="M217:M221"/>
    <mergeCell ref="N217:N221"/>
    <mergeCell ref="O217:O221"/>
    <mergeCell ref="P217:P221"/>
    <mergeCell ref="Q217:Q221"/>
    <mergeCell ref="R217:R221"/>
    <mergeCell ref="S217:S221"/>
    <mergeCell ref="T217:T221"/>
    <mergeCell ref="U217:U221"/>
    <mergeCell ref="V217:V221"/>
    <mergeCell ref="BD207:BD256"/>
    <mergeCell ref="BE207:BE256"/>
    <mergeCell ref="BF207:BF211"/>
    <mergeCell ref="AZ212:AZ216"/>
    <mergeCell ref="BA212:BA216"/>
    <mergeCell ref="AX217:AX221"/>
    <mergeCell ref="AY217:AY221"/>
    <mergeCell ref="AZ217:AZ221"/>
    <mergeCell ref="Z207:Z256"/>
    <mergeCell ref="AA207:AA256"/>
    <mergeCell ref="W212:W216"/>
    <mergeCell ref="BF217:BF221"/>
    <mergeCell ref="C222:C226"/>
    <mergeCell ref="D222:D226"/>
    <mergeCell ref="E222:E226"/>
    <mergeCell ref="F222:F226"/>
    <mergeCell ref="G222:G226"/>
    <mergeCell ref="H222:H226"/>
    <mergeCell ref="I222:I226"/>
    <mergeCell ref="J222:J226"/>
    <mergeCell ref="K222:K226"/>
    <mergeCell ref="L222:L226"/>
    <mergeCell ref="M222:M226"/>
    <mergeCell ref="N222:N226"/>
    <mergeCell ref="O222:O226"/>
    <mergeCell ref="P222:P226"/>
    <mergeCell ref="Q222:Q226"/>
    <mergeCell ref="R222:R226"/>
    <mergeCell ref="S222:S226"/>
    <mergeCell ref="T222:T226"/>
    <mergeCell ref="BF222:BF226"/>
    <mergeCell ref="BA217:BA221"/>
    <mergeCell ref="AX222:AX226"/>
    <mergeCell ref="Q232:Q236"/>
    <mergeCell ref="R232:R236"/>
    <mergeCell ref="S232:S236"/>
    <mergeCell ref="T232:T236"/>
    <mergeCell ref="U232:U236"/>
    <mergeCell ref="V232:V236"/>
    <mergeCell ref="W232:W236"/>
    <mergeCell ref="X232:X236"/>
    <mergeCell ref="AX232:AX236"/>
    <mergeCell ref="AY232:AY236"/>
    <mergeCell ref="AZ232:AZ236"/>
    <mergeCell ref="BA232:BA236"/>
    <mergeCell ref="BF232:BF236"/>
    <mergeCell ref="M227:M231"/>
    <mergeCell ref="N227:N231"/>
    <mergeCell ref="O227:O231"/>
    <mergeCell ref="P227:P231"/>
    <mergeCell ref="BA227:BA231"/>
    <mergeCell ref="BF227:BF231"/>
    <mergeCell ref="AZ237:AZ241"/>
    <mergeCell ref="BA237:BA241"/>
    <mergeCell ref="BF237:BF241"/>
    <mergeCell ref="C242:C246"/>
    <mergeCell ref="D242:D246"/>
    <mergeCell ref="E242:E246"/>
    <mergeCell ref="F242:F246"/>
    <mergeCell ref="G242:G246"/>
    <mergeCell ref="H242:H246"/>
    <mergeCell ref="I242:I246"/>
    <mergeCell ref="J242:J246"/>
    <mergeCell ref="K242:K246"/>
    <mergeCell ref="L242:L246"/>
    <mergeCell ref="M242:M246"/>
    <mergeCell ref="N242:N246"/>
    <mergeCell ref="O242:O246"/>
    <mergeCell ref="P242:P246"/>
    <mergeCell ref="Q242:Q246"/>
    <mergeCell ref="R242:R246"/>
    <mergeCell ref="S242:S246"/>
    <mergeCell ref="T242:T246"/>
    <mergeCell ref="U242:U246"/>
    <mergeCell ref="AX242:AX246"/>
    <mergeCell ref="AY242:AY246"/>
    <mergeCell ref="AZ242:AZ246"/>
    <mergeCell ref="BA242:BA246"/>
    <mergeCell ref="BF242:BF246"/>
    <mergeCell ref="C237:C241"/>
    <mergeCell ref="D237:D241"/>
    <mergeCell ref="E237:E241"/>
    <mergeCell ref="F237:F241"/>
    <mergeCell ref="G237:G241"/>
    <mergeCell ref="G247:G251"/>
    <mergeCell ref="H247:H251"/>
    <mergeCell ref="I247:I251"/>
    <mergeCell ref="J247:J251"/>
    <mergeCell ref="K247:K251"/>
    <mergeCell ref="L247:L251"/>
    <mergeCell ref="M247:M251"/>
    <mergeCell ref="N247:N251"/>
    <mergeCell ref="O247:O251"/>
    <mergeCell ref="P247:P251"/>
    <mergeCell ref="Q247:Q251"/>
    <mergeCell ref="R247:R251"/>
    <mergeCell ref="S247:S251"/>
    <mergeCell ref="T237:T241"/>
    <mergeCell ref="U237:U241"/>
    <mergeCell ref="AX237:AX241"/>
    <mergeCell ref="AY237:AY241"/>
    <mergeCell ref="H237:H241"/>
    <mergeCell ref="I237:I241"/>
    <mergeCell ref="J237:J241"/>
    <mergeCell ref="K237:K241"/>
    <mergeCell ref="L237:L241"/>
    <mergeCell ref="M237:M241"/>
    <mergeCell ref="N237:N241"/>
    <mergeCell ref="O237:O241"/>
    <mergeCell ref="P237:P241"/>
    <mergeCell ref="Q237:Q241"/>
    <mergeCell ref="R237:R241"/>
    <mergeCell ref="S237:S241"/>
    <mergeCell ref="AB207:AB256"/>
    <mergeCell ref="AC207:AC256"/>
    <mergeCell ref="AD207:AD256"/>
    <mergeCell ref="T247:T251"/>
    <mergeCell ref="U247:U251"/>
    <mergeCell ref="BA252:BA256"/>
    <mergeCell ref="Y247:Y251"/>
    <mergeCell ref="AX247:AX251"/>
    <mergeCell ref="AY247:AY251"/>
    <mergeCell ref="AZ247:AZ251"/>
    <mergeCell ref="BA247:BA251"/>
    <mergeCell ref="BF247:BF251"/>
    <mergeCell ref="C252:C256"/>
    <mergeCell ref="D252:D256"/>
    <mergeCell ref="E252:E256"/>
    <mergeCell ref="F252:F256"/>
    <mergeCell ref="G252:G256"/>
    <mergeCell ref="H252:H256"/>
    <mergeCell ref="I252:I256"/>
    <mergeCell ref="J252:J256"/>
    <mergeCell ref="K252:K256"/>
    <mergeCell ref="L252:L256"/>
    <mergeCell ref="M252:M256"/>
    <mergeCell ref="N252:N256"/>
    <mergeCell ref="O252:O256"/>
    <mergeCell ref="P252:P256"/>
    <mergeCell ref="Q252:Q256"/>
    <mergeCell ref="R252:R256"/>
    <mergeCell ref="S252:S256"/>
    <mergeCell ref="T252:T256"/>
    <mergeCell ref="BF252:BF256"/>
    <mergeCell ref="C247:C251"/>
    <mergeCell ref="D247:D251"/>
    <mergeCell ref="E247:E251"/>
    <mergeCell ref="F247:F251"/>
    <mergeCell ref="A257:A306"/>
    <mergeCell ref="B257:B306"/>
    <mergeCell ref="C257:C261"/>
    <mergeCell ref="D257:D261"/>
    <mergeCell ref="E257:E261"/>
    <mergeCell ref="F257:F261"/>
    <mergeCell ref="G257:G261"/>
    <mergeCell ref="H257:H261"/>
    <mergeCell ref="I257:I261"/>
    <mergeCell ref="J257:J261"/>
    <mergeCell ref="K257:K261"/>
    <mergeCell ref="L257:L261"/>
    <mergeCell ref="M257:M261"/>
    <mergeCell ref="N257:N261"/>
    <mergeCell ref="O257:O261"/>
    <mergeCell ref="P257:P261"/>
    <mergeCell ref="Q257:Q261"/>
    <mergeCell ref="F267:F271"/>
    <mergeCell ref="G267:G271"/>
    <mergeCell ref="H267:H271"/>
    <mergeCell ref="I267:I271"/>
    <mergeCell ref="J267:J271"/>
    <mergeCell ref="K267:K271"/>
    <mergeCell ref="L267:L271"/>
    <mergeCell ref="M267:M271"/>
    <mergeCell ref="N267:N271"/>
    <mergeCell ref="O267:O271"/>
    <mergeCell ref="P267:P271"/>
    <mergeCell ref="Q267:Q271"/>
    <mergeCell ref="C277:C281"/>
    <mergeCell ref="D277:D281"/>
    <mergeCell ref="E277:E281"/>
    <mergeCell ref="U252:U256"/>
    <mergeCell ref="V252:V256"/>
    <mergeCell ref="W252:W256"/>
    <mergeCell ref="X252:X256"/>
    <mergeCell ref="Y252:Y256"/>
    <mergeCell ref="AX252:AX256"/>
    <mergeCell ref="AY252:AY256"/>
    <mergeCell ref="AZ252:AZ256"/>
    <mergeCell ref="AX257:AX261"/>
    <mergeCell ref="AY257:AY261"/>
    <mergeCell ref="X267:X271"/>
    <mergeCell ref="Y267:Y271"/>
    <mergeCell ref="AX267:AX271"/>
    <mergeCell ref="AY267:AY271"/>
    <mergeCell ref="R267:R271"/>
    <mergeCell ref="S267:S271"/>
    <mergeCell ref="T267:T271"/>
    <mergeCell ref="U267:U271"/>
    <mergeCell ref="V267:V271"/>
    <mergeCell ref="W267:W271"/>
    <mergeCell ref="S262:S266"/>
    <mergeCell ref="T262:T266"/>
    <mergeCell ref="U262:U266"/>
    <mergeCell ref="V262:V266"/>
    <mergeCell ref="W262:W266"/>
    <mergeCell ref="D267:D271"/>
    <mergeCell ref="E267:E271"/>
    <mergeCell ref="X272:X276"/>
    <mergeCell ref="Y272:Y276"/>
    <mergeCell ref="AY277:AY281"/>
    <mergeCell ref="X282:X286"/>
    <mergeCell ref="Y282:Y286"/>
    <mergeCell ref="AX282:AX286"/>
    <mergeCell ref="AY262:AY266"/>
    <mergeCell ref="AZ257:AZ261"/>
    <mergeCell ref="BA257:BA261"/>
    <mergeCell ref="BB257:BB306"/>
    <mergeCell ref="BC257:BC306"/>
    <mergeCell ref="BD257:BD306"/>
    <mergeCell ref="X262:X266"/>
    <mergeCell ref="Y262:Y266"/>
    <mergeCell ref="AX262:AX266"/>
    <mergeCell ref="AZ267:AZ271"/>
    <mergeCell ref="BA267:BA271"/>
    <mergeCell ref="BA297:BA301"/>
    <mergeCell ref="R257:R261"/>
    <mergeCell ref="S257:S261"/>
    <mergeCell ref="T257:T261"/>
    <mergeCell ref="U257:U261"/>
    <mergeCell ref="V257:V261"/>
    <mergeCell ref="W257:W261"/>
    <mergeCell ref="AZ277:AZ281"/>
    <mergeCell ref="BA277:BA281"/>
    <mergeCell ref="V287:V291"/>
    <mergeCell ref="AY292:AY296"/>
    <mergeCell ref="W287:W291"/>
    <mergeCell ref="X287:X291"/>
    <mergeCell ref="AY272:AY276"/>
    <mergeCell ref="X277:X281"/>
    <mergeCell ref="Y277:Y281"/>
    <mergeCell ref="AX277:AX281"/>
    <mergeCell ref="BG257:BG306"/>
    <mergeCell ref="C262:C266"/>
    <mergeCell ref="D262:D266"/>
    <mergeCell ref="E262:E266"/>
    <mergeCell ref="F262:F266"/>
    <mergeCell ref="G262:G266"/>
    <mergeCell ref="H262:H266"/>
    <mergeCell ref="I262:I266"/>
    <mergeCell ref="J262:J266"/>
    <mergeCell ref="K262:K266"/>
    <mergeCell ref="L262:L266"/>
    <mergeCell ref="M262:M266"/>
    <mergeCell ref="N262:N266"/>
    <mergeCell ref="O262:O266"/>
    <mergeCell ref="P262:P266"/>
    <mergeCell ref="Q262:Q266"/>
    <mergeCell ref="R262:R266"/>
    <mergeCell ref="X257:X261"/>
    <mergeCell ref="Y257:Y261"/>
    <mergeCell ref="Z257:Z306"/>
    <mergeCell ref="AA257:AA306"/>
    <mergeCell ref="AB257:AB306"/>
    <mergeCell ref="AC257:AC306"/>
    <mergeCell ref="AD257:AD306"/>
    <mergeCell ref="AZ262:AZ266"/>
    <mergeCell ref="BA262:BA266"/>
    <mergeCell ref="BF262:BF266"/>
    <mergeCell ref="C267:C271"/>
    <mergeCell ref="F277:F281"/>
    <mergeCell ref="G277:G281"/>
    <mergeCell ref="H277:H281"/>
    <mergeCell ref="I277:I281"/>
    <mergeCell ref="BF267:BF271"/>
    <mergeCell ref="C272:C276"/>
    <mergeCell ref="D272:D276"/>
    <mergeCell ref="E272:E276"/>
    <mergeCell ref="F272:F276"/>
    <mergeCell ref="G272:G276"/>
    <mergeCell ref="H272:H276"/>
    <mergeCell ref="I272:I276"/>
    <mergeCell ref="J272:J276"/>
    <mergeCell ref="K272:K276"/>
    <mergeCell ref="L272:L276"/>
    <mergeCell ref="M272:M276"/>
    <mergeCell ref="N272:N276"/>
    <mergeCell ref="O272:O276"/>
    <mergeCell ref="P272:P276"/>
    <mergeCell ref="Q272:Q276"/>
    <mergeCell ref="R272:R276"/>
    <mergeCell ref="S272:S276"/>
    <mergeCell ref="T272:T276"/>
    <mergeCell ref="U272:U276"/>
    <mergeCell ref="V272:V276"/>
    <mergeCell ref="W272:W276"/>
    <mergeCell ref="AZ272:AZ276"/>
    <mergeCell ref="BA272:BA276"/>
    <mergeCell ref="BF272:BF276"/>
    <mergeCell ref="BE257:BE306"/>
    <mergeCell ref="BF257:BF261"/>
    <mergeCell ref="AX272:AX276"/>
    <mergeCell ref="C282:C286"/>
    <mergeCell ref="D282:D286"/>
    <mergeCell ref="E282:E286"/>
    <mergeCell ref="F282:F286"/>
    <mergeCell ref="G282:G286"/>
    <mergeCell ref="H282:H286"/>
    <mergeCell ref="I282:I286"/>
    <mergeCell ref="J282:J286"/>
    <mergeCell ref="K282:K286"/>
    <mergeCell ref="L282:L286"/>
    <mergeCell ref="M282:M286"/>
    <mergeCell ref="N282:N286"/>
    <mergeCell ref="O282:O286"/>
    <mergeCell ref="P282:P286"/>
    <mergeCell ref="Q282:Q286"/>
    <mergeCell ref="R282:R286"/>
    <mergeCell ref="S282:S286"/>
    <mergeCell ref="W277:W281"/>
    <mergeCell ref="J277:J281"/>
    <mergeCell ref="K277:K281"/>
    <mergeCell ref="L277:L281"/>
    <mergeCell ref="M277:M281"/>
    <mergeCell ref="N277:N281"/>
    <mergeCell ref="O277:O281"/>
    <mergeCell ref="P277:P281"/>
    <mergeCell ref="Q277:Q281"/>
    <mergeCell ref="R277:R281"/>
    <mergeCell ref="S277:S281"/>
    <mergeCell ref="T277:T281"/>
    <mergeCell ref="U277:U281"/>
    <mergeCell ref="V277:V281"/>
    <mergeCell ref="T287:T291"/>
    <mergeCell ref="U287:U291"/>
    <mergeCell ref="BF277:BF281"/>
    <mergeCell ref="T282:T286"/>
    <mergeCell ref="U282:U286"/>
    <mergeCell ref="V282:V286"/>
    <mergeCell ref="W282:W286"/>
    <mergeCell ref="AY282:AY286"/>
    <mergeCell ref="AZ282:AZ286"/>
    <mergeCell ref="BA282:BA286"/>
    <mergeCell ref="BF282:BF286"/>
    <mergeCell ref="Y287:Y291"/>
    <mergeCell ref="AX287:AX291"/>
    <mergeCell ref="AY287:AY291"/>
    <mergeCell ref="AZ287:AZ291"/>
    <mergeCell ref="BA287:BA291"/>
    <mergeCell ref="BF287:BF291"/>
    <mergeCell ref="C287:C291"/>
    <mergeCell ref="S292:S296"/>
    <mergeCell ref="T292:T296"/>
    <mergeCell ref="U292:U296"/>
    <mergeCell ref="V292:V296"/>
    <mergeCell ref="W292:W296"/>
    <mergeCell ref="X292:X296"/>
    <mergeCell ref="Y292:Y296"/>
    <mergeCell ref="AX292:AX296"/>
    <mergeCell ref="D287:D291"/>
    <mergeCell ref="E287:E291"/>
    <mergeCell ref="F287:F291"/>
    <mergeCell ref="G287:G291"/>
    <mergeCell ref="H287:H291"/>
    <mergeCell ref="I287:I291"/>
    <mergeCell ref="J287:J291"/>
    <mergeCell ref="K287:K291"/>
    <mergeCell ref="L287:L291"/>
    <mergeCell ref="M287:M291"/>
    <mergeCell ref="N287:N291"/>
    <mergeCell ref="O287:O291"/>
    <mergeCell ref="P287:P291"/>
    <mergeCell ref="Q287:Q291"/>
    <mergeCell ref="R287:R291"/>
    <mergeCell ref="S287:S291"/>
    <mergeCell ref="C292:C296"/>
    <mergeCell ref="D292:D296"/>
    <mergeCell ref="E292:E296"/>
    <mergeCell ref="F292:F296"/>
    <mergeCell ref="G292:G296"/>
    <mergeCell ref="H292:H296"/>
    <mergeCell ref="I292:I296"/>
    <mergeCell ref="J292:J296"/>
    <mergeCell ref="K292:K296"/>
    <mergeCell ref="L292:L296"/>
    <mergeCell ref="M292:M296"/>
    <mergeCell ref="N292:N296"/>
    <mergeCell ref="O292:O296"/>
    <mergeCell ref="P292:P296"/>
    <mergeCell ref="Q292:Q296"/>
    <mergeCell ref="R292:R296"/>
    <mergeCell ref="AZ292:AZ296"/>
    <mergeCell ref="E297:E301"/>
    <mergeCell ref="F297:F301"/>
    <mergeCell ref="G297:G301"/>
    <mergeCell ref="H297:H301"/>
    <mergeCell ref="I297:I301"/>
    <mergeCell ref="J297:J301"/>
    <mergeCell ref="K297:K301"/>
    <mergeCell ref="L297:L301"/>
    <mergeCell ref="M297:M301"/>
    <mergeCell ref="N297:N301"/>
    <mergeCell ref="O297:O301"/>
    <mergeCell ref="P297:P301"/>
    <mergeCell ref="Q297:Q301"/>
    <mergeCell ref="R297:R301"/>
    <mergeCell ref="S297:S301"/>
    <mergeCell ref="BA292:BA296"/>
    <mergeCell ref="BF292:BF296"/>
    <mergeCell ref="BF297:BF301"/>
    <mergeCell ref="C302:C306"/>
    <mergeCell ref="D302:D306"/>
    <mergeCell ref="E302:E306"/>
    <mergeCell ref="F302:F306"/>
    <mergeCell ref="G302:G306"/>
    <mergeCell ref="H302:H306"/>
    <mergeCell ref="I302:I306"/>
    <mergeCell ref="J302:J306"/>
    <mergeCell ref="K302:K306"/>
    <mergeCell ref="L302:L306"/>
    <mergeCell ref="M302:M306"/>
    <mergeCell ref="N302:N306"/>
    <mergeCell ref="O302:O306"/>
    <mergeCell ref="P302:P306"/>
    <mergeCell ref="Q302:Q306"/>
    <mergeCell ref="R302:R306"/>
    <mergeCell ref="S302:S306"/>
    <mergeCell ref="BA302:BA306"/>
    <mergeCell ref="BF302:BF306"/>
    <mergeCell ref="T297:T301"/>
    <mergeCell ref="U297:U301"/>
    <mergeCell ref="V297:V301"/>
    <mergeCell ref="W297:W301"/>
    <mergeCell ref="AZ302:AZ306"/>
    <mergeCell ref="X297:X301"/>
    <mergeCell ref="Y297:Y301"/>
    <mergeCell ref="AX297:AX301"/>
    <mergeCell ref="AY297:AY301"/>
    <mergeCell ref="AZ297:AZ301"/>
    <mergeCell ref="C297:C301"/>
    <mergeCell ref="D297:D301"/>
    <mergeCell ref="A307:A356"/>
    <mergeCell ref="B307:B356"/>
    <mergeCell ref="C307:C311"/>
    <mergeCell ref="D307:D311"/>
    <mergeCell ref="E307:E311"/>
    <mergeCell ref="F307:F311"/>
    <mergeCell ref="G307:G311"/>
    <mergeCell ref="H307:H311"/>
    <mergeCell ref="I307:I311"/>
    <mergeCell ref="J307:J311"/>
    <mergeCell ref="K307:K311"/>
    <mergeCell ref="L307:L311"/>
    <mergeCell ref="M307:M311"/>
    <mergeCell ref="N307:N311"/>
    <mergeCell ref="O307:O311"/>
    <mergeCell ref="L322:L326"/>
    <mergeCell ref="M322:M326"/>
    <mergeCell ref="N322:N326"/>
    <mergeCell ref="O322:O326"/>
    <mergeCell ref="C327:C331"/>
    <mergeCell ref="D327:D331"/>
    <mergeCell ref="E327:E331"/>
    <mergeCell ref="F327:F331"/>
    <mergeCell ref="G327:G331"/>
    <mergeCell ref="H327:H331"/>
    <mergeCell ref="I327:I331"/>
    <mergeCell ref="J327:J331"/>
    <mergeCell ref="K327:K331"/>
    <mergeCell ref="C322:C326"/>
    <mergeCell ref="D322:D326"/>
    <mergeCell ref="P307:P311"/>
    <mergeCell ref="Q307:Q311"/>
    <mergeCell ref="C312:C316"/>
    <mergeCell ref="D312:D316"/>
    <mergeCell ref="E312:E316"/>
    <mergeCell ref="F312:F316"/>
    <mergeCell ref="G312:G316"/>
    <mergeCell ref="H312:H316"/>
    <mergeCell ref="I312:I316"/>
    <mergeCell ref="J312:J316"/>
    <mergeCell ref="K312:K316"/>
    <mergeCell ref="L312:L316"/>
    <mergeCell ref="M312:M316"/>
    <mergeCell ref="N312:N316"/>
    <mergeCell ref="O312:O316"/>
    <mergeCell ref="P312:P316"/>
    <mergeCell ref="Q312:Q316"/>
    <mergeCell ref="R307:R311"/>
    <mergeCell ref="S307:S311"/>
    <mergeCell ref="T307:T311"/>
    <mergeCell ref="U307:U311"/>
    <mergeCell ref="V307:V311"/>
    <mergeCell ref="T302:T306"/>
    <mergeCell ref="U302:U306"/>
    <mergeCell ref="V302:V306"/>
    <mergeCell ref="W302:W306"/>
    <mergeCell ref="X302:X306"/>
    <mergeCell ref="Y302:Y306"/>
    <mergeCell ref="AX302:AX306"/>
    <mergeCell ref="AY302:AY306"/>
    <mergeCell ref="BG307:BG356"/>
    <mergeCell ref="BF312:BF316"/>
    <mergeCell ref="BF317:BF321"/>
    <mergeCell ref="BF322:BF326"/>
    <mergeCell ref="BF327:BF331"/>
    <mergeCell ref="BF332:BF336"/>
    <mergeCell ref="BF337:BF341"/>
    <mergeCell ref="BF342:BF346"/>
    <mergeCell ref="BF347:BF351"/>
    <mergeCell ref="BF352:BF356"/>
    <mergeCell ref="W307:W311"/>
    <mergeCell ref="X307:X311"/>
    <mergeCell ref="Y307:Y311"/>
    <mergeCell ref="Z307:Z356"/>
    <mergeCell ref="AA307:AA356"/>
    <mergeCell ref="AB307:AB356"/>
    <mergeCell ref="AC307:AC356"/>
    <mergeCell ref="AD307:AD356"/>
    <mergeCell ref="AX307:AX311"/>
    <mergeCell ref="AY307:AY311"/>
    <mergeCell ref="AZ307:AZ311"/>
    <mergeCell ref="BA307:BA311"/>
    <mergeCell ref="BB307:BB356"/>
    <mergeCell ref="BC307:BC356"/>
    <mergeCell ref="BD307:BD356"/>
    <mergeCell ref="BE307:BE356"/>
    <mergeCell ref="BF307:BF311"/>
    <mergeCell ref="U312:U316"/>
    <mergeCell ref="V312:V316"/>
    <mergeCell ref="W312:W316"/>
    <mergeCell ref="X312:X316"/>
    <mergeCell ref="Y312:Y316"/>
    <mergeCell ref="AX312:AX316"/>
    <mergeCell ref="AY312:AY316"/>
    <mergeCell ref="AZ312:AZ316"/>
    <mergeCell ref="BA312:BA316"/>
    <mergeCell ref="BA322:BA326"/>
    <mergeCell ref="BA332:BA336"/>
    <mergeCell ref="BA342:BA346"/>
    <mergeCell ref="BA352:BA356"/>
    <mergeCell ref="U322:U326"/>
    <mergeCell ref="V322:V326"/>
    <mergeCell ref="W322:W326"/>
    <mergeCell ref="X322:X326"/>
    <mergeCell ref="Y322:Y326"/>
    <mergeCell ref="AX322:AX326"/>
    <mergeCell ref="AY322:AY326"/>
    <mergeCell ref="AZ322:AZ326"/>
    <mergeCell ref="U332:U336"/>
    <mergeCell ref="V332:V336"/>
    <mergeCell ref="W332:W336"/>
    <mergeCell ref="R312:R316"/>
    <mergeCell ref="S312:S316"/>
    <mergeCell ref="T312:T316"/>
    <mergeCell ref="BA317:BA321"/>
    <mergeCell ref="L317:L321"/>
    <mergeCell ref="M317:M321"/>
    <mergeCell ref="N317:N321"/>
    <mergeCell ref="O317:O321"/>
    <mergeCell ref="P317:P321"/>
    <mergeCell ref="Q317:Q321"/>
    <mergeCell ref="R317:R321"/>
    <mergeCell ref="S317:S321"/>
    <mergeCell ref="T317:T321"/>
    <mergeCell ref="C317:C321"/>
    <mergeCell ref="D317:D321"/>
    <mergeCell ref="E317:E321"/>
    <mergeCell ref="F317:F321"/>
    <mergeCell ref="G317:G321"/>
    <mergeCell ref="H317:H321"/>
    <mergeCell ref="I317:I321"/>
    <mergeCell ref="J317:J321"/>
    <mergeCell ref="K317:K321"/>
    <mergeCell ref="U317:U321"/>
    <mergeCell ref="V317:V321"/>
    <mergeCell ref="W317:W321"/>
    <mergeCell ref="X317:X321"/>
    <mergeCell ref="Y317:Y321"/>
    <mergeCell ref="AX317:AX321"/>
    <mergeCell ref="AY317:AY321"/>
    <mergeCell ref="AZ317:AZ321"/>
    <mergeCell ref="BA327:BA331"/>
    <mergeCell ref="L327:L331"/>
    <mergeCell ref="M327:M331"/>
    <mergeCell ref="N327:N331"/>
    <mergeCell ref="O327:O331"/>
    <mergeCell ref="P327:P331"/>
    <mergeCell ref="Q327:Q331"/>
    <mergeCell ref="R327:R331"/>
    <mergeCell ref="S327:S331"/>
    <mergeCell ref="T327:T331"/>
    <mergeCell ref="U327:U331"/>
    <mergeCell ref="V327:V331"/>
    <mergeCell ref="W327:W331"/>
    <mergeCell ref="X327:X331"/>
    <mergeCell ref="Y327:Y331"/>
    <mergeCell ref="AX327:AX331"/>
    <mergeCell ref="AY327:AY331"/>
    <mergeCell ref="AZ327:AZ331"/>
    <mergeCell ref="E322:E326"/>
    <mergeCell ref="F322:F326"/>
    <mergeCell ref="G322:G326"/>
    <mergeCell ref="H322:H326"/>
    <mergeCell ref="I322:I326"/>
    <mergeCell ref="J322:J326"/>
    <mergeCell ref="K322:K326"/>
    <mergeCell ref="X332:X336"/>
    <mergeCell ref="Y332:Y336"/>
    <mergeCell ref="AX332:AX336"/>
    <mergeCell ref="AY332:AY336"/>
    <mergeCell ref="AZ332:AZ336"/>
    <mergeCell ref="L332:L336"/>
    <mergeCell ref="M332:M336"/>
    <mergeCell ref="N332:N336"/>
    <mergeCell ref="O332:O336"/>
    <mergeCell ref="P332:P336"/>
    <mergeCell ref="Q332:Q336"/>
    <mergeCell ref="R332:R336"/>
    <mergeCell ref="S332:S336"/>
    <mergeCell ref="T332:T336"/>
    <mergeCell ref="P322:P326"/>
    <mergeCell ref="Q322:Q326"/>
    <mergeCell ref="R322:R326"/>
    <mergeCell ref="S322:S326"/>
    <mergeCell ref="T322:T326"/>
    <mergeCell ref="BA337:BA341"/>
    <mergeCell ref="L337:L341"/>
    <mergeCell ref="M337:M341"/>
    <mergeCell ref="N337:N341"/>
    <mergeCell ref="O337:O341"/>
    <mergeCell ref="P337:P341"/>
    <mergeCell ref="Q337:Q341"/>
    <mergeCell ref="R337:R341"/>
    <mergeCell ref="S337:S341"/>
    <mergeCell ref="T337:T341"/>
    <mergeCell ref="U337:U341"/>
    <mergeCell ref="V337:V341"/>
    <mergeCell ref="W337:W341"/>
    <mergeCell ref="X337:X341"/>
    <mergeCell ref="Y337:Y341"/>
    <mergeCell ref="AX337:AX341"/>
    <mergeCell ref="AY337:AY341"/>
    <mergeCell ref="AZ337:AZ341"/>
    <mergeCell ref="C337:C341"/>
    <mergeCell ref="D337:D341"/>
    <mergeCell ref="E337:E341"/>
    <mergeCell ref="F337:F341"/>
    <mergeCell ref="G337:G341"/>
    <mergeCell ref="H337:H341"/>
    <mergeCell ref="I337:I341"/>
    <mergeCell ref="J337:J341"/>
    <mergeCell ref="K337:K341"/>
    <mergeCell ref="C332:C336"/>
    <mergeCell ref="D332:D336"/>
    <mergeCell ref="E332:E336"/>
    <mergeCell ref="F332:F336"/>
    <mergeCell ref="G332:G336"/>
    <mergeCell ref="H332:H336"/>
    <mergeCell ref="I332:I336"/>
    <mergeCell ref="J332:J336"/>
    <mergeCell ref="K332:K336"/>
    <mergeCell ref="U342:U346"/>
    <mergeCell ref="V342:V346"/>
    <mergeCell ref="W342:W346"/>
    <mergeCell ref="X342:X346"/>
    <mergeCell ref="Y342:Y346"/>
    <mergeCell ref="AX342:AX346"/>
    <mergeCell ref="AY342:AY346"/>
    <mergeCell ref="AZ342:AZ346"/>
    <mergeCell ref="L342:L346"/>
    <mergeCell ref="M342:M346"/>
    <mergeCell ref="N342:N346"/>
    <mergeCell ref="O342:O346"/>
    <mergeCell ref="P342:P346"/>
    <mergeCell ref="Q342:Q346"/>
    <mergeCell ref="R342:R346"/>
    <mergeCell ref="S342:S346"/>
    <mergeCell ref="T342:T346"/>
    <mergeCell ref="BA347:BA351"/>
    <mergeCell ref="L347:L351"/>
    <mergeCell ref="M347:M351"/>
    <mergeCell ref="N347:N351"/>
    <mergeCell ref="O347:O351"/>
    <mergeCell ref="P347:P351"/>
    <mergeCell ref="Q347:Q351"/>
    <mergeCell ref="R347:R351"/>
    <mergeCell ref="S347:S351"/>
    <mergeCell ref="T347:T351"/>
    <mergeCell ref="C347:C351"/>
    <mergeCell ref="D347:D351"/>
    <mergeCell ref="E347:E351"/>
    <mergeCell ref="F347:F351"/>
    <mergeCell ref="G347:G351"/>
    <mergeCell ref="H347:H351"/>
    <mergeCell ref="I347:I351"/>
    <mergeCell ref="J347:J351"/>
    <mergeCell ref="K347:K351"/>
    <mergeCell ref="U347:U351"/>
    <mergeCell ref="V347:V351"/>
    <mergeCell ref="W347:W351"/>
    <mergeCell ref="X347:X351"/>
    <mergeCell ref="Y347:Y351"/>
    <mergeCell ref="AX347:AX351"/>
    <mergeCell ref="AY347:AY351"/>
    <mergeCell ref="AZ347:AZ351"/>
    <mergeCell ref="C342:C346"/>
    <mergeCell ref="D342:D346"/>
    <mergeCell ref="E342:E346"/>
    <mergeCell ref="F342:F346"/>
    <mergeCell ref="G342:G346"/>
    <mergeCell ref="H342:H346"/>
    <mergeCell ref="I342:I346"/>
    <mergeCell ref="J342:J346"/>
    <mergeCell ref="K342:K346"/>
    <mergeCell ref="C352:C356"/>
    <mergeCell ref="D352:D356"/>
    <mergeCell ref="E352:E356"/>
    <mergeCell ref="F352:F356"/>
    <mergeCell ref="G352:G356"/>
    <mergeCell ref="H352:H356"/>
    <mergeCell ref="I352:I356"/>
    <mergeCell ref="J352:J356"/>
    <mergeCell ref="K352:K356"/>
    <mergeCell ref="U352:U356"/>
    <mergeCell ref="V352:V356"/>
    <mergeCell ref="W352:W356"/>
    <mergeCell ref="X352:X356"/>
    <mergeCell ref="Y352:Y356"/>
    <mergeCell ref="AX352:AX356"/>
    <mergeCell ref="AY352:AY356"/>
    <mergeCell ref="AZ352:AZ356"/>
    <mergeCell ref="L352:L356"/>
    <mergeCell ref="M352:M356"/>
    <mergeCell ref="N352:N356"/>
    <mergeCell ref="O352:O356"/>
    <mergeCell ref="P352:P356"/>
    <mergeCell ref="Q352:Q356"/>
    <mergeCell ref="R352:R356"/>
    <mergeCell ref="S352:S356"/>
    <mergeCell ref="T352:T356"/>
    <mergeCell ref="J357:J361"/>
    <mergeCell ref="K357:K361"/>
    <mergeCell ref="L357:L361"/>
    <mergeCell ref="M357:M361"/>
    <mergeCell ref="N357:N361"/>
    <mergeCell ref="O357:O361"/>
    <mergeCell ref="P357:P361"/>
    <mergeCell ref="Q357:Q361"/>
    <mergeCell ref="R357:R361"/>
    <mergeCell ref="A357:A406"/>
    <mergeCell ref="B357:B406"/>
    <mergeCell ref="C357:C361"/>
    <mergeCell ref="D357:D361"/>
    <mergeCell ref="E357:E361"/>
    <mergeCell ref="F357:F361"/>
    <mergeCell ref="G357:G361"/>
    <mergeCell ref="H357:H361"/>
    <mergeCell ref="I357:I361"/>
    <mergeCell ref="C382:C386"/>
    <mergeCell ref="D382:D386"/>
    <mergeCell ref="E382:E386"/>
    <mergeCell ref="F382:F386"/>
    <mergeCell ref="G382:G386"/>
    <mergeCell ref="H382:H386"/>
    <mergeCell ref="I382:I386"/>
    <mergeCell ref="J382:J386"/>
    <mergeCell ref="K382:K386"/>
    <mergeCell ref="L382:L386"/>
    <mergeCell ref="M382:M386"/>
    <mergeCell ref="N382:N386"/>
    <mergeCell ref="O382:O386"/>
    <mergeCell ref="P382:P386"/>
    <mergeCell ref="S357:S361"/>
    <mergeCell ref="T357:T361"/>
    <mergeCell ref="C377:C381"/>
    <mergeCell ref="D377:D381"/>
    <mergeCell ref="E377:E381"/>
    <mergeCell ref="F377:F381"/>
    <mergeCell ref="G377:G381"/>
    <mergeCell ref="H377:H381"/>
    <mergeCell ref="I377:I381"/>
    <mergeCell ref="J377:J381"/>
    <mergeCell ref="K377:K381"/>
    <mergeCell ref="L377:L381"/>
    <mergeCell ref="AX357:AX361"/>
    <mergeCell ref="AY357:AY361"/>
    <mergeCell ref="AZ357:AZ361"/>
    <mergeCell ref="BA357:BA361"/>
    <mergeCell ref="BB357:BB406"/>
    <mergeCell ref="AY372:AY376"/>
    <mergeCell ref="AZ372:AZ376"/>
    <mergeCell ref="BA372:BA376"/>
    <mergeCell ref="Q377:Q381"/>
    <mergeCell ref="R377:R381"/>
    <mergeCell ref="S377:S381"/>
    <mergeCell ref="T377:T381"/>
    <mergeCell ref="U377:U381"/>
    <mergeCell ref="V377:V381"/>
    <mergeCell ref="W377:W381"/>
    <mergeCell ref="X377:X381"/>
    <mergeCell ref="Y377:Y381"/>
    <mergeCell ref="AX377:AX381"/>
    <mergeCell ref="AY377:AY381"/>
    <mergeCell ref="AZ377:AZ381"/>
    <mergeCell ref="X362:X366"/>
    <mergeCell ref="Y362:Y366"/>
    <mergeCell ref="Y382:Y386"/>
    <mergeCell ref="V387:V391"/>
    <mergeCell ref="W387:W391"/>
    <mergeCell ref="X387:X391"/>
    <mergeCell ref="Y387:Y391"/>
    <mergeCell ref="V392:V396"/>
    <mergeCell ref="W392:W396"/>
    <mergeCell ref="X392:X396"/>
    <mergeCell ref="Y392:Y396"/>
    <mergeCell ref="V397:V401"/>
    <mergeCell ref="W397:W401"/>
    <mergeCell ref="X397:X401"/>
    <mergeCell ref="W367:W371"/>
    <mergeCell ref="X367:X371"/>
    <mergeCell ref="Y367:Y371"/>
    <mergeCell ref="X372:X376"/>
    <mergeCell ref="Y372:Y376"/>
    <mergeCell ref="BG357:BG406"/>
    <mergeCell ref="C362:C366"/>
    <mergeCell ref="D362:D366"/>
    <mergeCell ref="E362:E366"/>
    <mergeCell ref="F362:F366"/>
    <mergeCell ref="G362:G366"/>
    <mergeCell ref="H362:H366"/>
    <mergeCell ref="I362:I366"/>
    <mergeCell ref="J362:J366"/>
    <mergeCell ref="K362:K366"/>
    <mergeCell ref="L362:L366"/>
    <mergeCell ref="M362:M366"/>
    <mergeCell ref="N362:N366"/>
    <mergeCell ref="O362:O366"/>
    <mergeCell ref="P362:P366"/>
    <mergeCell ref="Q362:Q366"/>
    <mergeCell ref="R362:R366"/>
    <mergeCell ref="S362:S366"/>
    <mergeCell ref="T362:T366"/>
    <mergeCell ref="U362:U366"/>
    <mergeCell ref="V362:V366"/>
    <mergeCell ref="U372:U376"/>
    <mergeCell ref="V372:V376"/>
    <mergeCell ref="W372:W376"/>
    <mergeCell ref="BC357:BC406"/>
    <mergeCell ref="AX362:AX366"/>
    <mergeCell ref="AY362:AY366"/>
    <mergeCell ref="U357:U361"/>
    <mergeCell ref="V357:V361"/>
    <mergeCell ref="W357:W361"/>
    <mergeCell ref="X357:X361"/>
    <mergeCell ref="Y357:Y361"/>
    <mergeCell ref="BF362:BF366"/>
    <mergeCell ref="C367:C371"/>
    <mergeCell ref="D367:D371"/>
    <mergeCell ref="E367:E371"/>
    <mergeCell ref="F367:F371"/>
    <mergeCell ref="G367:G371"/>
    <mergeCell ref="H367:H371"/>
    <mergeCell ref="I367:I371"/>
    <mergeCell ref="J367:J371"/>
    <mergeCell ref="K367:K371"/>
    <mergeCell ref="L367:L371"/>
    <mergeCell ref="M367:M371"/>
    <mergeCell ref="N367:N371"/>
    <mergeCell ref="O367:O371"/>
    <mergeCell ref="P367:P371"/>
    <mergeCell ref="Q367:Q371"/>
    <mergeCell ref="R367:R371"/>
    <mergeCell ref="S367:S371"/>
    <mergeCell ref="T367:T371"/>
    <mergeCell ref="U367:U371"/>
    <mergeCell ref="V367:V371"/>
    <mergeCell ref="BD357:BD406"/>
    <mergeCell ref="BE357:BE406"/>
    <mergeCell ref="BF357:BF361"/>
    <mergeCell ref="AZ362:AZ366"/>
    <mergeCell ref="BA362:BA366"/>
    <mergeCell ref="AX367:AX371"/>
    <mergeCell ref="AY367:AY371"/>
    <mergeCell ref="AZ367:AZ371"/>
    <mergeCell ref="Z357:Z406"/>
    <mergeCell ref="AA357:AA406"/>
    <mergeCell ref="W362:W366"/>
    <mergeCell ref="BF367:BF371"/>
    <mergeCell ref="C372:C376"/>
    <mergeCell ref="D372:D376"/>
    <mergeCell ref="E372:E376"/>
    <mergeCell ref="F372:F376"/>
    <mergeCell ref="G372:G376"/>
    <mergeCell ref="H372:H376"/>
    <mergeCell ref="I372:I376"/>
    <mergeCell ref="J372:J376"/>
    <mergeCell ref="K372:K376"/>
    <mergeCell ref="L372:L376"/>
    <mergeCell ref="M372:M376"/>
    <mergeCell ref="N372:N376"/>
    <mergeCell ref="O372:O376"/>
    <mergeCell ref="P372:P376"/>
    <mergeCell ref="Q372:Q376"/>
    <mergeCell ref="R372:R376"/>
    <mergeCell ref="S372:S376"/>
    <mergeCell ref="T372:T376"/>
    <mergeCell ref="BF372:BF376"/>
    <mergeCell ref="BA367:BA371"/>
    <mergeCell ref="AX372:AX376"/>
    <mergeCell ref="Q382:Q386"/>
    <mergeCell ref="R382:R386"/>
    <mergeCell ref="S382:S386"/>
    <mergeCell ref="T382:T386"/>
    <mergeCell ref="U382:U386"/>
    <mergeCell ref="V382:V386"/>
    <mergeCell ref="W382:W386"/>
    <mergeCell ref="X382:X386"/>
    <mergeCell ref="AX382:AX386"/>
    <mergeCell ref="AY382:AY386"/>
    <mergeCell ref="AZ382:AZ386"/>
    <mergeCell ref="BA382:BA386"/>
    <mergeCell ref="BF382:BF386"/>
    <mergeCell ref="M377:M381"/>
    <mergeCell ref="N377:N381"/>
    <mergeCell ref="O377:O381"/>
    <mergeCell ref="P377:P381"/>
    <mergeCell ref="BA377:BA381"/>
    <mergeCell ref="BF377:BF381"/>
    <mergeCell ref="AZ387:AZ391"/>
    <mergeCell ref="BA387:BA391"/>
    <mergeCell ref="BF387:BF391"/>
    <mergeCell ref="C392:C396"/>
    <mergeCell ref="D392:D396"/>
    <mergeCell ref="E392:E396"/>
    <mergeCell ref="F392:F396"/>
    <mergeCell ref="G392:G396"/>
    <mergeCell ref="H392:H396"/>
    <mergeCell ref="I392:I396"/>
    <mergeCell ref="J392:J396"/>
    <mergeCell ref="K392:K396"/>
    <mergeCell ref="L392:L396"/>
    <mergeCell ref="M392:M396"/>
    <mergeCell ref="N392:N396"/>
    <mergeCell ref="O392:O396"/>
    <mergeCell ref="P392:P396"/>
    <mergeCell ref="Q392:Q396"/>
    <mergeCell ref="R392:R396"/>
    <mergeCell ref="S392:S396"/>
    <mergeCell ref="T392:T396"/>
    <mergeCell ref="U392:U396"/>
    <mergeCell ref="AX392:AX396"/>
    <mergeCell ref="AY392:AY396"/>
    <mergeCell ref="AZ392:AZ396"/>
    <mergeCell ref="BA392:BA396"/>
    <mergeCell ref="BF392:BF396"/>
    <mergeCell ref="C387:C391"/>
    <mergeCell ref="D387:D391"/>
    <mergeCell ref="E387:E391"/>
    <mergeCell ref="F387:F391"/>
    <mergeCell ref="G387:G391"/>
    <mergeCell ref="G397:G401"/>
    <mergeCell ref="H397:H401"/>
    <mergeCell ref="I397:I401"/>
    <mergeCell ref="J397:J401"/>
    <mergeCell ref="K397:K401"/>
    <mergeCell ref="L397:L401"/>
    <mergeCell ref="M397:M401"/>
    <mergeCell ref="N397:N401"/>
    <mergeCell ref="O397:O401"/>
    <mergeCell ref="P397:P401"/>
    <mergeCell ref="Q397:Q401"/>
    <mergeCell ref="R397:R401"/>
    <mergeCell ref="S397:S401"/>
    <mergeCell ref="T387:T391"/>
    <mergeCell ref="U387:U391"/>
    <mergeCell ref="AX387:AX391"/>
    <mergeCell ref="AY387:AY391"/>
    <mergeCell ref="H387:H391"/>
    <mergeCell ref="I387:I391"/>
    <mergeCell ref="J387:J391"/>
    <mergeCell ref="K387:K391"/>
    <mergeCell ref="L387:L391"/>
    <mergeCell ref="M387:M391"/>
    <mergeCell ref="N387:N391"/>
    <mergeCell ref="O387:O391"/>
    <mergeCell ref="P387:P391"/>
    <mergeCell ref="Q387:Q391"/>
    <mergeCell ref="R387:R391"/>
    <mergeCell ref="S387:S391"/>
    <mergeCell ref="AB357:AB406"/>
    <mergeCell ref="AC357:AC406"/>
    <mergeCell ref="AD357:AD406"/>
    <mergeCell ref="T397:T401"/>
    <mergeCell ref="U397:U401"/>
    <mergeCell ref="BA402:BA406"/>
    <mergeCell ref="Y397:Y401"/>
    <mergeCell ref="AX397:AX401"/>
    <mergeCell ref="AY397:AY401"/>
    <mergeCell ref="AZ397:AZ401"/>
    <mergeCell ref="BA397:BA401"/>
    <mergeCell ref="BF397:BF401"/>
    <mergeCell ref="C402:C406"/>
    <mergeCell ref="D402:D406"/>
    <mergeCell ref="E402:E406"/>
    <mergeCell ref="F402:F406"/>
    <mergeCell ref="G402:G406"/>
    <mergeCell ref="H402:H406"/>
    <mergeCell ref="I402:I406"/>
    <mergeCell ref="J402:J406"/>
    <mergeCell ref="K402:K406"/>
    <mergeCell ref="L402:L406"/>
    <mergeCell ref="M402:M406"/>
    <mergeCell ref="N402:N406"/>
    <mergeCell ref="O402:O406"/>
    <mergeCell ref="P402:P406"/>
    <mergeCell ref="Q402:Q406"/>
    <mergeCell ref="R402:R406"/>
    <mergeCell ref="S402:S406"/>
    <mergeCell ref="T402:T406"/>
    <mergeCell ref="BF402:BF406"/>
    <mergeCell ref="C397:C401"/>
    <mergeCell ref="D397:D401"/>
    <mergeCell ref="E397:E401"/>
    <mergeCell ref="F397:F401"/>
    <mergeCell ref="A407:A456"/>
    <mergeCell ref="B407:B456"/>
    <mergeCell ref="C407:C411"/>
    <mergeCell ref="D407:D411"/>
    <mergeCell ref="E407:E411"/>
    <mergeCell ref="F407:F411"/>
    <mergeCell ref="G407:G411"/>
    <mergeCell ref="H407:H411"/>
    <mergeCell ref="I407:I411"/>
    <mergeCell ref="J407:J411"/>
    <mergeCell ref="K407:K411"/>
    <mergeCell ref="L407:L411"/>
    <mergeCell ref="M407:M411"/>
    <mergeCell ref="N407:N411"/>
    <mergeCell ref="O407:O411"/>
    <mergeCell ref="P407:P411"/>
    <mergeCell ref="Q407:Q411"/>
    <mergeCell ref="F417:F421"/>
    <mergeCell ref="G417:G421"/>
    <mergeCell ref="H417:H421"/>
    <mergeCell ref="I417:I421"/>
    <mergeCell ref="J417:J421"/>
    <mergeCell ref="K417:K421"/>
    <mergeCell ref="L417:L421"/>
    <mergeCell ref="M417:M421"/>
    <mergeCell ref="N417:N421"/>
    <mergeCell ref="O417:O421"/>
    <mergeCell ref="P417:P421"/>
    <mergeCell ref="Q417:Q421"/>
    <mergeCell ref="C427:C431"/>
    <mergeCell ref="D427:D431"/>
    <mergeCell ref="E427:E431"/>
    <mergeCell ref="U402:U406"/>
    <mergeCell ref="V402:V406"/>
    <mergeCell ref="W402:W406"/>
    <mergeCell ref="X402:X406"/>
    <mergeCell ref="Y402:Y406"/>
    <mergeCell ref="AX402:AX406"/>
    <mergeCell ref="AY402:AY406"/>
    <mergeCell ref="AZ402:AZ406"/>
    <mergeCell ref="AX407:AX411"/>
    <mergeCell ref="AY407:AY411"/>
    <mergeCell ref="X417:X421"/>
    <mergeCell ref="Y417:Y421"/>
    <mergeCell ref="AX417:AX421"/>
    <mergeCell ref="AY417:AY421"/>
    <mergeCell ref="R417:R421"/>
    <mergeCell ref="S417:S421"/>
    <mergeCell ref="T417:T421"/>
    <mergeCell ref="U417:U421"/>
    <mergeCell ref="V417:V421"/>
    <mergeCell ref="W417:W421"/>
    <mergeCell ref="S412:S416"/>
    <mergeCell ref="T412:T416"/>
    <mergeCell ref="U412:U416"/>
    <mergeCell ref="V412:V416"/>
    <mergeCell ref="W412:W416"/>
    <mergeCell ref="D417:D421"/>
    <mergeCell ref="E417:E421"/>
    <mergeCell ref="X422:X426"/>
    <mergeCell ref="Y422:Y426"/>
    <mergeCell ref="AY427:AY431"/>
    <mergeCell ref="X432:X436"/>
    <mergeCell ref="Y432:Y436"/>
    <mergeCell ref="AX432:AX436"/>
    <mergeCell ref="AY412:AY416"/>
    <mergeCell ref="AZ407:AZ411"/>
    <mergeCell ref="BA407:BA411"/>
    <mergeCell ref="BB407:BB456"/>
    <mergeCell ref="BC407:BC456"/>
    <mergeCell ref="BD407:BD456"/>
    <mergeCell ref="X412:X416"/>
    <mergeCell ref="Y412:Y416"/>
    <mergeCell ref="AX412:AX416"/>
    <mergeCell ref="AZ417:AZ421"/>
    <mergeCell ref="BA417:BA421"/>
    <mergeCell ref="BA447:BA451"/>
    <mergeCell ref="R407:R411"/>
    <mergeCell ref="S407:S411"/>
    <mergeCell ref="T407:T411"/>
    <mergeCell ref="U407:U411"/>
    <mergeCell ref="V407:V411"/>
    <mergeCell ref="W407:W411"/>
    <mergeCell ref="AZ427:AZ431"/>
    <mergeCell ref="BA427:BA431"/>
    <mergeCell ref="V437:V441"/>
    <mergeCell ref="AY442:AY446"/>
    <mergeCell ref="W437:W441"/>
    <mergeCell ref="X437:X441"/>
    <mergeCell ref="AY422:AY426"/>
    <mergeCell ref="X427:X431"/>
    <mergeCell ref="Y427:Y431"/>
    <mergeCell ref="AX427:AX431"/>
    <mergeCell ref="BG407:BG456"/>
    <mergeCell ref="C412:C416"/>
    <mergeCell ref="D412:D416"/>
    <mergeCell ref="E412:E416"/>
    <mergeCell ref="F412:F416"/>
    <mergeCell ref="G412:G416"/>
    <mergeCell ref="H412:H416"/>
    <mergeCell ref="I412:I416"/>
    <mergeCell ref="J412:J416"/>
    <mergeCell ref="K412:K416"/>
    <mergeCell ref="L412:L416"/>
    <mergeCell ref="M412:M416"/>
    <mergeCell ref="N412:N416"/>
    <mergeCell ref="O412:O416"/>
    <mergeCell ref="P412:P416"/>
    <mergeCell ref="Q412:Q416"/>
    <mergeCell ref="R412:R416"/>
    <mergeCell ref="X407:X411"/>
    <mergeCell ref="Y407:Y411"/>
    <mergeCell ref="Z407:Z456"/>
    <mergeCell ref="AA407:AA456"/>
    <mergeCell ref="AB407:AB456"/>
    <mergeCell ref="AC407:AC456"/>
    <mergeCell ref="AD407:AD456"/>
    <mergeCell ref="AZ412:AZ416"/>
    <mergeCell ref="BA412:BA416"/>
    <mergeCell ref="BF412:BF416"/>
    <mergeCell ref="C417:C421"/>
    <mergeCell ref="F427:F431"/>
    <mergeCell ref="G427:G431"/>
    <mergeCell ref="H427:H431"/>
    <mergeCell ref="I427:I431"/>
    <mergeCell ref="BF417:BF421"/>
    <mergeCell ref="C422:C426"/>
    <mergeCell ref="D422:D426"/>
    <mergeCell ref="E422:E426"/>
    <mergeCell ref="F422:F426"/>
    <mergeCell ref="G422:G426"/>
    <mergeCell ref="H422:H426"/>
    <mergeCell ref="I422:I426"/>
    <mergeCell ref="J422:J426"/>
    <mergeCell ref="K422:K426"/>
    <mergeCell ref="L422:L426"/>
    <mergeCell ref="M422:M426"/>
    <mergeCell ref="N422:N426"/>
    <mergeCell ref="O422:O426"/>
    <mergeCell ref="P422:P426"/>
    <mergeCell ref="Q422:Q426"/>
    <mergeCell ref="R422:R426"/>
    <mergeCell ref="S422:S426"/>
    <mergeCell ref="T422:T426"/>
    <mergeCell ref="U422:U426"/>
    <mergeCell ref="V422:V426"/>
    <mergeCell ref="W422:W426"/>
    <mergeCell ref="AZ422:AZ426"/>
    <mergeCell ref="BA422:BA426"/>
    <mergeCell ref="BF422:BF426"/>
    <mergeCell ref="BE407:BE456"/>
    <mergeCell ref="BF407:BF411"/>
    <mergeCell ref="AX422:AX426"/>
    <mergeCell ref="C432:C436"/>
    <mergeCell ref="D432:D436"/>
    <mergeCell ref="E432:E436"/>
    <mergeCell ref="F432:F436"/>
    <mergeCell ref="G432:G436"/>
    <mergeCell ref="H432:H436"/>
    <mergeCell ref="I432:I436"/>
    <mergeCell ref="J432:J436"/>
    <mergeCell ref="K432:K436"/>
    <mergeCell ref="L432:L436"/>
    <mergeCell ref="M432:M436"/>
    <mergeCell ref="N432:N436"/>
    <mergeCell ref="O432:O436"/>
    <mergeCell ref="P432:P436"/>
    <mergeCell ref="Q432:Q436"/>
    <mergeCell ref="R432:R436"/>
    <mergeCell ref="S432:S436"/>
    <mergeCell ref="W427:W431"/>
    <mergeCell ref="J427:J431"/>
    <mergeCell ref="K427:K431"/>
    <mergeCell ref="L427:L431"/>
    <mergeCell ref="M427:M431"/>
    <mergeCell ref="N427:N431"/>
    <mergeCell ref="O427:O431"/>
    <mergeCell ref="P427:P431"/>
    <mergeCell ref="Q427:Q431"/>
    <mergeCell ref="R427:R431"/>
    <mergeCell ref="S427:S431"/>
    <mergeCell ref="T427:T431"/>
    <mergeCell ref="U427:U431"/>
    <mergeCell ref="V427:V431"/>
    <mergeCell ref="T437:T441"/>
    <mergeCell ref="U437:U441"/>
    <mergeCell ref="BF427:BF431"/>
    <mergeCell ref="T432:T436"/>
    <mergeCell ref="U432:U436"/>
    <mergeCell ref="V432:V436"/>
    <mergeCell ref="W432:W436"/>
    <mergeCell ref="AY432:AY436"/>
    <mergeCell ref="AZ432:AZ436"/>
    <mergeCell ref="BA432:BA436"/>
    <mergeCell ref="BF432:BF436"/>
    <mergeCell ref="Y437:Y441"/>
    <mergeCell ref="AX437:AX441"/>
    <mergeCell ref="AY437:AY441"/>
    <mergeCell ref="AZ437:AZ441"/>
    <mergeCell ref="BA437:BA441"/>
    <mergeCell ref="BF437:BF441"/>
    <mergeCell ref="C437:C441"/>
    <mergeCell ref="S442:S446"/>
    <mergeCell ref="T442:T446"/>
    <mergeCell ref="U442:U446"/>
    <mergeCell ref="V442:V446"/>
    <mergeCell ref="W442:W446"/>
    <mergeCell ref="X442:X446"/>
    <mergeCell ref="Y442:Y446"/>
    <mergeCell ref="AX442:AX446"/>
    <mergeCell ref="D437:D441"/>
    <mergeCell ref="E437:E441"/>
    <mergeCell ref="F437:F441"/>
    <mergeCell ref="G437:G441"/>
    <mergeCell ref="H437:H441"/>
    <mergeCell ref="I437:I441"/>
    <mergeCell ref="J437:J441"/>
    <mergeCell ref="K437:K441"/>
    <mergeCell ref="L437:L441"/>
    <mergeCell ref="M437:M441"/>
    <mergeCell ref="N437:N441"/>
    <mergeCell ref="O437:O441"/>
    <mergeCell ref="P437:P441"/>
    <mergeCell ref="Q437:Q441"/>
    <mergeCell ref="R437:R441"/>
    <mergeCell ref="S437:S441"/>
    <mergeCell ref="C442:C446"/>
    <mergeCell ref="D442:D446"/>
    <mergeCell ref="E442:E446"/>
    <mergeCell ref="F442:F446"/>
    <mergeCell ref="G442:G446"/>
    <mergeCell ref="H442:H446"/>
    <mergeCell ref="I442:I446"/>
    <mergeCell ref="J442:J446"/>
    <mergeCell ref="K442:K446"/>
    <mergeCell ref="L442:L446"/>
    <mergeCell ref="M442:M446"/>
    <mergeCell ref="N442:N446"/>
    <mergeCell ref="O442:O446"/>
    <mergeCell ref="P442:P446"/>
    <mergeCell ref="Q442:Q446"/>
    <mergeCell ref="R442:R446"/>
    <mergeCell ref="AZ442:AZ446"/>
    <mergeCell ref="E447:E451"/>
    <mergeCell ref="F447:F451"/>
    <mergeCell ref="G447:G451"/>
    <mergeCell ref="H447:H451"/>
    <mergeCell ref="I447:I451"/>
    <mergeCell ref="J447:J451"/>
    <mergeCell ref="K447:K451"/>
    <mergeCell ref="L447:L451"/>
    <mergeCell ref="M447:M451"/>
    <mergeCell ref="N447:N451"/>
    <mergeCell ref="O447:O451"/>
    <mergeCell ref="P447:P451"/>
    <mergeCell ref="Q447:Q451"/>
    <mergeCell ref="R447:R451"/>
    <mergeCell ref="S447:S451"/>
    <mergeCell ref="BA442:BA446"/>
    <mergeCell ref="BF442:BF446"/>
    <mergeCell ref="BF447:BF451"/>
    <mergeCell ref="C452:C456"/>
    <mergeCell ref="D452:D456"/>
    <mergeCell ref="E452:E456"/>
    <mergeCell ref="F452:F456"/>
    <mergeCell ref="G452:G456"/>
    <mergeCell ref="H452:H456"/>
    <mergeCell ref="I452:I456"/>
    <mergeCell ref="J452:J456"/>
    <mergeCell ref="K452:K456"/>
    <mergeCell ref="L452:L456"/>
    <mergeCell ref="M452:M456"/>
    <mergeCell ref="N452:N456"/>
    <mergeCell ref="O452:O456"/>
    <mergeCell ref="P452:P456"/>
    <mergeCell ref="Q452:Q456"/>
    <mergeCell ref="R452:R456"/>
    <mergeCell ref="S452:S456"/>
    <mergeCell ref="BA452:BA456"/>
    <mergeCell ref="BF452:BF456"/>
    <mergeCell ref="T447:T451"/>
    <mergeCell ref="U447:U451"/>
    <mergeCell ref="V447:V451"/>
    <mergeCell ref="W447:W451"/>
    <mergeCell ref="AZ452:AZ456"/>
    <mergeCell ref="X447:X451"/>
    <mergeCell ref="Y447:Y451"/>
    <mergeCell ref="AX447:AX451"/>
    <mergeCell ref="AY447:AY451"/>
    <mergeCell ref="AZ447:AZ451"/>
    <mergeCell ref="C447:C451"/>
    <mergeCell ref="D447:D451"/>
    <mergeCell ref="A457:A506"/>
    <mergeCell ref="B457:B506"/>
    <mergeCell ref="C457:C461"/>
    <mergeCell ref="D457:D461"/>
    <mergeCell ref="E457:E461"/>
    <mergeCell ref="F457:F461"/>
    <mergeCell ref="G457:G461"/>
    <mergeCell ref="H457:H461"/>
    <mergeCell ref="I457:I461"/>
    <mergeCell ref="J457:J461"/>
    <mergeCell ref="K457:K461"/>
    <mergeCell ref="L457:L461"/>
    <mergeCell ref="M457:M461"/>
    <mergeCell ref="N457:N461"/>
    <mergeCell ref="O457:O461"/>
    <mergeCell ref="L472:L476"/>
    <mergeCell ref="M472:M476"/>
    <mergeCell ref="N472:N476"/>
    <mergeCell ref="O472:O476"/>
    <mergeCell ref="C477:C481"/>
    <mergeCell ref="D477:D481"/>
    <mergeCell ref="E477:E481"/>
    <mergeCell ref="F477:F481"/>
    <mergeCell ref="G477:G481"/>
    <mergeCell ref="H477:H481"/>
    <mergeCell ref="I477:I481"/>
    <mergeCell ref="J477:J481"/>
    <mergeCell ref="K477:K481"/>
    <mergeCell ref="C472:C476"/>
    <mergeCell ref="D472:D476"/>
    <mergeCell ref="P457:P461"/>
    <mergeCell ref="Q457:Q461"/>
    <mergeCell ref="C462:C466"/>
    <mergeCell ref="D462:D466"/>
    <mergeCell ref="E462:E466"/>
    <mergeCell ref="F462:F466"/>
    <mergeCell ref="G462:G466"/>
    <mergeCell ref="H462:H466"/>
    <mergeCell ref="I462:I466"/>
    <mergeCell ref="J462:J466"/>
    <mergeCell ref="K462:K466"/>
    <mergeCell ref="L462:L466"/>
    <mergeCell ref="M462:M466"/>
    <mergeCell ref="N462:N466"/>
    <mergeCell ref="O462:O466"/>
    <mergeCell ref="P462:P466"/>
    <mergeCell ref="Q462:Q466"/>
    <mergeCell ref="R457:R461"/>
    <mergeCell ref="S457:S461"/>
    <mergeCell ref="T457:T461"/>
    <mergeCell ref="U457:U461"/>
    <mergeCell ref="V457:V461"/>
    <mergeCell ref="T452:T456"/>
    <mergeCell ref="U452:U456"/>
    <mergeCell ref="V452:V456"/>
    <mergeCell ref="W452:W456"/>
    <mergeCell ref="X452:X456"/>
    <mergeCell ref="Y452:Y456"/>
    <mergeCell ref="AX452:AX456"/>
    <mergeCell ref="AY452:AY456"/>
    <mergeCell ref="BG457:BG506"/>
    <mergeCell ref="BF462:BF466"/>
    <mergeCell ref="BF467:BF471"/>
    <mergeCell ref="BF472:BF476"/>
    <mergeCell ref="BF477:BF481"/>
    <mergeCell ref="BF482:BF486"/>
    <mergeCell ref="BF487:BF491"/>
    <mergeCell ref="BF492:BF496"/>
    <mergeCell ref="BF497:BF501"/>
    <mergeCell ref="BF502:BF506"/>
    <mergeCell ref="W457:W461"/>
    <mergeCell ref="X457:X461"/>
    <mergeCell ref="Y457:Y461"/>
    <mergeCell ref="Z457:Z506"/>
    <mergeCell ref="AA457:AA506"/>
    <mergeCell ref="AB457:AB506"/>
    <mergeCell ref="AC457:AC506"/>
    <mergeCell ref="AD457:AD506"/>
    <mergeCell ref="AX457:AX461"/>
    <mergeCell ref="AY457:AY461"/>
    <mergeCell ref="AZ457:AZ461"/>
    <mergeCell ref="BA457:BA461"/>
    <mergeCell ref="BB457:BB506"/>
    <mergeCell ref="BC457:BC506"/>
    <mergeCell ref="BD457:BD506"/>
    <mergeCell ref="BE457:BE506"/>
    <mergeCell ref="BF457:BF461"/>
    <mergeCell ref="U462:U466"/>
    <mergeCell ref="V462:V466"/>
    <mergeCell ref="W462:W466"/>
    <mergeCell ref="X462:X466"/>
    <mergeCell ref="Y462:Y466"/>
    <mergeCell ref="AX462:AX466"/>
    <mergeCell ref="AY462:AY466"/>
    <mergeCell ref="AZ462:AZ466"/>
    <mergeCell ref="BA462:BA466"/>
    <mergeCell ref="BA472:BA476"/>
    <mergeCell ref="BA482:BA486"/>
    <mergeCell ref="BA492:BA496"/>
    <mergeCell ref="BA502:BA506"/>
    <mergeCell ref="U472:U476"/>
    <mergeCell ref="V472:V476"/>
    <mergeCell ref="W472:W476"/>
    <mergeCell ref="X472:X476"/>
    <mergeCell ref="Y472:Y476"/>
    <mergeCell ref="AX472:AX476"/>
    <mergeCell ref="AY472:AY476"/>
    <mergeCell ref="AZ472:AZ476"/>
    <mergeCell ref="U482:U486"/>
    <mergeCell ref="V482:V486"/>
    <mergeCell ref="W482:W486"/>
    <mergeCell ref="R462:R466"/>
    <mergeCell ref="S462:S466"/>
    <mergeCell ref="T462:T466"/>
    <mergeCell ref="BA467:BA471"/>
    <mergeCell ref="L467:L471"/>
    <mergeCell ref="M467:M471"/>
    <mergeCell ref="N467:N471"/>
    <mergeCell ref="O467:O471"/>
    <mergeCell ref="P467:P471"/>
    <mergeCell ref="Q467:Q471"/>
    <mergeCell ref="R467:R471"/>
    <mergeCell ref="S467:S471"/>
    <mergeCell ref="T467:T471"/>
    <mergeCell ref="C467:C471"/>
    <mergeCell ref="D467:D471"/>
    <mergeCell ref="E467:E471"/>
    <mergeCell ref="F467:F471"/>
    <mergeCell ref="G467:G471"/>
    <mergeCell ref="H467:H471"/>
    <mergeCell ref="I467:I471"/>
    <mergeCell ref="J467:J471"/>
    <mergeCell ref="K467:K471"/>
    <mergeCell ref="U467:U471"/>
    <mergeCell ref="V467:V471"/>
    <mergeCell ref="W467:W471"/>
    <mergeCell ref="X467:X471"/>
    <mergeCell ref="Y467:Y471"/>
    <mergeCell ref="AX467:AX471"/>
    <mergeCell ref="AY467:AY471"/>
    <mergeCell ref="AZ467:AZ471"/>
    <mergeCell ref="BA477:BA481"/>
    <mergeCell ref="L477:L481"/>
    <mergeCell ref="M477:M481"/>
    <mergeCell ref="N477:N481"/>
    <mergeCell ref="O477:O481"/>
    <mergeCell ref="P477:P481"/>
    <mergeCell ref="Q477:Q481"/>
    <mergeCell ref="R477:R481"/>
    <mergeCell ref="S477:S481"/>
    <mergeCell ref="T477:T481"/>
    <mergeCell ref="U477:U481"/>
    <mergeCell ref="V477:V481"/>
    <mergeCell ref="W477:W481"/>
    <mergeCell ref="X477:X481"/>
    <mergeCell ref="Y477:Y481"/>
    <mergeCell ref="AX477:AX481"/>
    <mergeCell ref="AY477:AY481"/>
    <mergeCell ref="AZ477:AZ481"/>
    <mergeCell ref="E472:E476"/>
    <mergeCell ref="F472:F476"/>
    <mergeCell ref="G472:G476"/>
    <mergeCell ref="H472:H476"/>
    <mergeCell ref="I472:I476"/>
    <mergeCell ref="J472:J476"/>
    <mergeCell ref="K472:K476"/>
    <mergeCell ref="X482:X486"/>
    <mergeCell ref="Y482:Y486"/>
    <mergeCell ref="AX482:AX486"/>
    <mergeCell ref="AY482:AY486"/>
    <mergeCell ref="AZ482:AZ486"/>
    <mergeCell ref="L482:L486"/>
    <mergeCell ref="M482:M486"/>
    <mergeCell ref="N482:N486"/>
    <mergeCell ref="O482:O486"/>
    <mergeCell ref="P482:P486"/>
    <mergeCell ref="Q482:Q486"/>
    <mergeCell ref="R482:R486"/>
    <mergeCell ref="S482:S486"/>
    <mergeCell ref="T482:T486"/>
    <mergeCell ref="P472:P476"/>
    <mergeCell ref="Q472:Q476"/>
    <mergeCell ref="R472:R476"/>
    <mergeCell ref="S472:S476"/>
    <mergeCell ref="T472:T476"/>
    <mergeCell ref="BA487:BA491"/>
    <mergeCell ref="L487:L491"/>
    <mergeCell ref="M487:M491"/>
    <mergeCell ref="N487:N491"/>
    <mergeCell ref="O487:O491"/>
    <mergeCell ref="P487:P491"/>
    <mergeCell ref="Q487:Q491"/>
    <mergeCell ref="R487:R491"/>
    <mergeCell ref="S487:S491"/>
    <mergeCell ref="T487:T491"/>
    <mergeCell ref="U487:U491"/>
    <mergeCell ref="V487:V491"/>
    <mergeCell ref="W487:W491"/>
    <mergeCell ref="X487:X491"/>
    <mergeCell ref="Y487:Y491"/>
    <mergeCell ref="AX487:AX491"/>
    <mergeCell ref="AY487:AY491"/>
    <mergeCell ref="AZ487:AZ491"/>
    <mergeCell ref="C487:C491"/>
    <mergeCell ref="D487:D491"/>
    <mergeCell ref="E487:E491"/>
    <mergeCell ref="F487:F491"/>
    <mergeCell ref="G487:G491"/>
    <mergeCell ref="H487:H491"/>
    <mergeCell ref="I487:I491"/>
    <mergeCell ref="J487:J491"/>
    <mergeCell ref="K487:K491"/>
    <mergeCell ref="C482:C486"/>
    <mergeCell ref="D482:D486"/>
    <mergeCell ref="E482:E486"/>
    <mergeCell ref="F482:F486"/>
    <mergeCell ref="G482:G486"/>
    <mergeCell ref="H482:H486"/>
    <mergeCell ref="I482:I486"/>
    <mergeCell ref="J482:J486"/>
    <mergeCell ref="K482:K486"/>
    <mergeCell ref="U492:U496"/>
    <mergeCell ref="V492:V496"/>
    <mergeCell ref="W492:W496"/>
    <mergeCell ref="X492:X496"/>
    <mergeCell ref="Y492:Y496"/>
    <mergeCell ref="AX492:AX496"/>
    <mergeCell ref="AY492:AY496"/>
    <mergeCell ref="AZ492:AZ496"/>
    <mergeCell ref="L492:L496"/>
    <mergeCell ref="M492:M496"/>
    <mergeCell ref="N492:N496"/>
    <mergeCell ref="O492:O496"/>
    <mergeCell ref="P492:P496"/>
    <mergeCell ref="Q492:Q496"/>
    <mergeCell ref="R492:R496"/>
    <mergeCell ref="S492:S496"/>
    <mergeCell ref="T492:T496"/>
    <mergeCell ref="BA497:BA501"/>
    <mergeCell ref="L497:L501"/>
    <mergeCell ref="M497:M501"/>
    <mergeCell ref="N497:N501"/>
    <mergeCell ref="O497:O501"/>
    <mergeCell ref="P497:P501"/>
    <mergeCell ref="Q497:Q501"/>
    <mergeCell ref="R497:R501"/>
    <mergeCell ref="S497:S501"/>
    <mergeCell ref="T497:T501"/>
    <mergeCell ref="C497:C501"/>
    <mergeCell ref="D497:D501"/>
    <mergeCell ref="E497:E501"/>
    <mergeCell ref="F497:F501"/>
    <mergeCell ref="G497:G501"/>
    <mergeCell ref="H497:H501"/>
    <mergeCell ref="I497:I501"/>
    <mergeCell ref="J497:J501"/>
    <mergeCell ref="K497:K501"/>
    <mergeCell ref="U497:U501"/>
    <mergeCell ref="V497:V501"/>
    <mergeCell ref="W497:W501"/>
    <mergeCell ref="X497:X501"/>
    <mergeCell ref="Y497:Y501"/>
    <mergeCell ref="AX497:AX501"/>
    <mergeCell ref="AY497:AY501"/>
    <mergeCell ref="AZ497:AZ501"/>
    <mergeCell ref="C492:C496"/>
    <mergeCell ref="D492:D496"/>
    <mergeCell ref="E492:E496"/>
    <mergeCell ref="F492:F496"/>
    <mergeCell ref="G492:G496"/>
    <mergeCell ref="H492:H496"/>
    <mergeCell ref="I492:I496"/>
    <mergeCell ref="J492:J496"/>
    <mergeCell ref="K492:K496"/>
    <mergeCell ref="C502:C506"/>
    <mergeCell ref="D502:D506"/>
    <mergeCell ref="E502:E506"/>
    <mergeCell ref="F502:F506"/>
    <mergeCell ref="G502:G506"/>
    <mergeCell ref="H502:H506"/>
    <mergeCell ref="I502:I506"/>
    <mergeCell ref="J502:J506"/>
    <mergeCell ref="K502:K506"/>
    <mergeCell ref="U502:U506"/>
    <mergeCell ref="V502:V506"/>
    <mergeCell ref="W502:W506"/>
    <mergeCell ref="X502:X506"/>
    <mergeCell ref="Y502:Y506"/>
    <mergeCell ref="AX502:AX506"/>
    <mergeCell ref="AY502:AY506"/>
    <mergeCell ref="AZ502:AZ506"/>
    <mergeCell ref="L502:L506"/>
    <mergeCell ref="M502:M506"/>
    <mergeCell ref="N502:N506"/>
    <mergeCell ref="O502:O506"/>
    <mergeCell ref="P502:P506"/>
    <mergeCell ref="Q502:Q506"/>
    <mergeCell ref="R502:R506"/>
    <mergeCell ref="S502:S506"/>
    <mergeCell ref="T502:T506"/>
    <mergeCell ref="J507:J511"/>
    <mergeCell ref="K507:K511"/>
    <mergeCell ref="L507:L511"/>
    <mergeCell ref="M507:M511"/>
    <mergeCell ref="N507:N511"/>
    <mergeCell ref="O507:O511"/>
    <mergeCell ref="P507:P511"/>
    <mergeCell ref="Q507:Q511"/>
    <mergeCell ref="R507:R511"/>
    <mergeCell ref="A507:A556"/>
    <mergeCell ref="B507:B556"/>
    <mergeCell ref="C507:C511"/>
    <mergeCell ref="D507:D511"/>
    <mergeCell ref="E507:E511"/>
    <mergeCell ref="F507:F511"/>
    <mergeCell ref="G507:G511"/>
    <mergeCell ref="H507:H511"/>
    <mergeCell ref="I507:I511"/>
    <mergeCell ref="C532:C536"/>
    <mergeCell ref="D532:D536"/>
    <mergeCell ref="E532:E536"/>
    <mergeCell ref="F532:F536"/>
    <mergeCell ref="G532:G536"/>
    <mergeCell ref="H532:H536"/>
    <mergeCell ref="I532:I536"/>
    <mergeCell ref="J532:J536"/>
    <mergeCell ref="K532:K536"/>
    <mergeCell ref="L532:L536"/>
    <mergeCell ref="M532:M536"/>
    <mergeCell ref="N532:N536"/>
    <mergeCell ref="O532:O536"/>
    <mergeCell ref="P532:P536"/>
    <mergeCell ref="S507:S511"/>
    <mergeCell ref="T507:T511"/>
    <mergeCell ref="C527:C531"/>
    <mergeCell ref="D527:D531"/>
    <mergeCell ref="E527:E531"/>
    <mergeCell ref="F527:F531"/>
    <mergeCell ref="G527:G531"/>
    <mergeCell ref="H527:H531"/>
    <mergeCell ref="I527:I531"/>
    <mergeCell ref="J527:J531"/>
    <mergeCell ref="K527:K531"/>
    <mergeCell ref="L527:L531"/>
    <mergeCell ref="AX507:AX511"/>
    <mergeCell ref="AY507:AY511"/>
    <mergeCell ref="AZ507:AZ511"/>
    <mergeCell ref="BA507:BA511"/>
    <mergeCell ref="BB507:BB556"/>
    <mergeCell ref="AY522:AY526"/>
    <mergeCell ref="AZ522:AZ526"/>
    <mergeCell ref="BA522:BA526"/>
    <mergeCell ref="Q527:Q531"/>
    <mergeCell ref="R527:R531"/>
    <mergeCell ref="S527:S531"/>
    <mergeCell ref="T527:T531"/>
    <mergeCell ref="U527:U531"/>
    <mergeCell ref="V527:V531"/>
    <mergeCell ref="W527:W531"/>
    <mergeCell ref="X527:X531"/>
    <mergeCell ref="Y527:Y531"/>
    <mergeCell ref="AX527:AX531"/>
    <mergeCell ref="AY527:AY531"/>
    <mergeCell ref="AZ527:AZ531"/>
    <mergeCell ref="X512:X516"/>
    <mergeCell ref="Y512:Y516"/>
    <mergeCell ref="Y532:Y536"/>
    <mergeCell ref="V537:V541"/>
    <mergeCell ref="W537:W541"/>
    <mergeCell ref="X537:X541"/>
    <mergeCell ref="Y537:Y541"/>
    <mergeCell ref="V542:V546"/>
    <mergeCell ref="W542:W546"/>
    <mergeCell ref="X542:X546"/>
    <mergeCell ref="Y542:Y546"/>
    <mergeCell ref="V547:V551"/>
    <mergeCell ref="W547:W551"/>
    <mergeCell ref="X547:X551"/>
    <mergeCell ref="W517:W521"/>
    <mergeCell ref="X517:X521"/>
    <mergeCell ref="Y517:Y521"/>
    <mergeCell ref="X522:X526"/>
    <mergeCell ref="Y522:Y526"/>
    <mergeCell ref="BG507:BG556"/>
    <mergeCell ref="C512:C516"/>
    <mergeCell ref="D512:D516"/>
    <mergeCell ref="E512:E516"/>
    <mergeCell ref="F512:F516"/>
    <mergeCell ref="G512:G516"/>
    <mergeCell ref="H512:H516"/>
    <mergeCell ref="I512:I516"/>
    <mergeCell ref="J512:J516"/>
    <mergeCell ref="K512:K516"/>
    <mergeCell ref="L512:L516"/>
    <mergeCell ref="M512:M516"/>
    <mergeCell ref="N512:N516"/>
    <mergeCell ref="O512:O516"/>
    <mergeCell ref="P512:P516"/>
    <mergeCell ref="Q512:Q516"/>
    <mergeCell ref="R512:R516"/>
    <mergeCell ref="S512:S516"/>
    <mergeCell ref="T512:T516"/>
    <mergeCell ref="U512:U516"/>
    <mergeCell ref="V512:V516"/>
    <mergeCell ref="U522:U526"/>
    <mergeCell ref="V522:V526"/>
    <mergeCell ref="W522:W526"/>
    <mergeCell ref="BC507:BC556"/>
    <mergeCell ref="AX512:AX516"/>
    <mergeCell ref="AY512:AY516"/>
    <mergeCell ref="U507:U511"/>
    <mergeCell ref="V507:V511"/>
    <mergeCell ref="W507:W511"/>
    <mergeCell ref="X507:X511"/>
    <mergeCell ref="Y507:Y511"/>
    <mergeCell ref="BF512:BF516"/>
    <mergeCell ref="C517:C521"/>
    <mergeCell ref="D517:D521"/>
    <mergeCell ref="E517:E521"/>
    <mergeCell ref="F517:F521"/>
    <mergeCell ref="G517:G521"/>
    <mergeCell ref="H517:H521"/>
    <mergeCell ref="I517:I521"/>
    <mergeCell ref="J517:J521"/>
    <mergeCell ref="K517:K521"/>
    <mergeCell ref="L517:L521"/>
    <mergeCell ref="M517:M521"/>
    <mergeCell ref="N517:N521"/>
    <mergeCell ref="O517:O521"/>
    <mergeCell ref="P517:P521"/>
    <mergeCell ref="Q517:Q521"/>
    <mergeCell ref="R517:R521"/>
    <mergeCell ref="S517:S521"/>
    <mergeCell ref="T517:T521"/>
    <mergeCell ref="U517:U521"/>
    <mergeCell ref="V517:V521"/>
    <mergeCell ref="BD507:BD556"/>
    <mergeCell ref="BE507:BE556"/>
    <mergeCell ref="BF507:BF511"/>
    <mergeCell ref="AZ512:AZ516"/>
    <mergeCell ref="BA512:BA516"/>
    <mergeCell ref="AX517:AX521"/>
    <mergeCell ref="AY517:AY521"/>
    <mergeCell ref="AZ517:AZ521"/>
    <mergeCell ref="Z507:Z556"/>
    <mergeCell ref="AA507:AA556"/>
    <mergeCell ref="W512:W516"/>
    <mergeCell ref="BF517:BF521"/>
    <mergeCell ref="C522:C526"/>
    <mergeCell ref="D522:D526"/>
    <mergeCell ref="E522:E526"/>
    <mergeCell ref="F522:F526"/>
    <mergeCell ref="G522:G526"/>
    <mergeCell ref="H522:H526"/>
    <mergeCell ref="I522:I526"/>
    <mergeCell ref="J522:J526"/>
    <mergeCell ref="K522:K526"/>
    <mergeCell ref="L522:L526"/>
    <mergeCell ref="M522:M526"/>
    <mergeCell ref="N522:N526"/>
    <mergeCell ref="O522:O526"/>
    <mergeCell ref="P522:P526"/>
    <mergeCell ref="Q522:Q526"/>
    <mergeCell ref="R522:R526"/>
    <mergeCell ref="S522:S526"/>
    <mergeCell ref="T522:T526"/>
    <mergeCell ref="BF522:BF526"/>
    <mergeCell ref="BA517:BA521"/>
    <mergeCell ref="AX522:AX526"/>
    <mergeCell ref="Q532:Q536"/>
    <mergeCell ref="R532:R536"/>
    <mergeCell ref="S532:S536"/>
    <mergeCell ref="T532:T536"/>
    <mergeCell ref="U532:U536"/>
    <mergeCell ref="V532:V536"/>
    <mergeCell ref="W532:W536"/>
    <mergeCell ref="X532:X536"/>
    <mergeCell ref="AX532:AX536"/>
    <mergeCell ref="AY532:AY536"/>
    <mergeCell ref="AZ532:AZ536"/>
    <mergeCell ref="BA532:BA536"/>
    <mergeCell ref="BF532:BF536"/>
    <mergeCell ref="M527:M531"/>
    <mergeCell ref="N527:N531"/>
    <mergeCell ref="O527:O531"/>
    <mergeCell ref="P527:P531"/>
    <mergeCell ref="BA527:BA531"/>
    <mergeCell ref="BF527:BF531"/>
    <mergeCell ref="AZ537:AZ541"/>
    <mergeCell ref="BA537:BA541"/>
    <mergeCell ref="BF537:BF541"/>
    <mergeCell ref="C542:C546"/>
    <mergeCell ref="D542:D546"/>
    <mergeCell ref="E542:E546"/>
    <mergeCell ref="F542:F546"/>
    <mergeCell ref="G542:G546"/>
    <mergeCell ref="H542:H546"/>
    <mergeCell ref="I542:I546"/>
    <mergeCell ref="J542:J546"/>
    <mergeCell ref="K542:K546"/>
    <mergeCell ref="L542:L546"/>
    <mergeCell ref="M542:M546"/>
    <mergeCell ref="N542:N546"/>
    <mergeCell ref="O542:O546"/>
    <mergeCell ref="P542:P546"/>
    <mergeCell ref="Q542:Q546"/>
    <mergeCell ref="R542:R546"/>
    <mergeCell ref="S542:S546"/>
    <mergeCell ref="T542:T546"/>
    <mergeCell ref="U542:U546"/>
    <mergeCell ref="AX542:AX546"/>
    <mergeCell ref="AY542:AY546"/>
    <mergeCell ref="AZ542:AZ546"/>
    <mergeCell ref="BA542:BA546"/>
    <mergeCell ref="BF542:BF546"/>
    <mergeCell ref="C537:C541"/>
    <mergeCell ref="D537:D541"/>
    <mergeCell ref="E537:E541"/>
    <mergeCell ref="F537:F541"/>
    <mergeCell ref="G537:G541"/>
    <mergeCell ref="G547:G551"/>
    <mergeCell ref="H547:H551"/>
    <mergeCell ref="I547:I551"/>
    <mergeCell ref="J547:J551"/>
    <mergeCell ref="K547:K551"/>
    <mergeCell ref="L547:L551"/>
    <mergeCell ref="M547:M551"/>
    <mergeCell ref="N547:N551"/>
    <mergeCell ref="O547:O551"/>
    <mergeCell ref="P547:P551"/>
    <mergeCell ref="Q547:Q551"/>
    <mergeCell ref="R547:R551"/>
    <mergeCell ref="S547:S551"/>
    <mergeCell ref="T537:T541"/>
    <mergeCell ref="U537:U541"/>
    <mergeCell ref="AX537:AX541"/>
    <mergeCell ref="AY537:AY541"/>
    <mergeCell ref="H537:H541"/>
    <mergeCell ref="I537:I541"/>
    <mergeCell ref="J537:J541"/>
    <mergeCell ref="K537:K541"/>
    <mergeCell ref="L537:L541"/>
    <mergeCell ref="M537:M541"/>
    <mergeCell ref="N537:N541"/>
    <mergeCell ref="O537:O541"/>
    <mergeCell ref="P537:P541"/>
    <mergeCell ref="Q537:Q541"/>
    <mergeCell ref="R537:R541"/>
    <mergeCell ref="S537:S541"/>
    <mergeCell ref="AB507:AB556"/>
    <mergeCell ref="AC507:AC556"/>
    <mergeCell ref="AD507:AD556"/>
    <mergeCell ref="T547:T551"/>
    <mergeCell ref="U547:U551"/>
    <mergeCell ref="BA552:BA556"/>
    <mergeCell ref="Y547:Y551"/>
    <mergeCell ref="AX547:AX551"/>
    <mergeCell ref="AY547:AY551"/>
    <mergeCell ref="AZ547:AZ551"/>
    <mergeCell ref="BA547:BA551"/>
    <mergeCell ref="BF547:BF551"/>
    <mergeCell ref="C552:C556"/>
    <mergeCell ref="D552:D556"/>
    <mergeCell ref="E552:E556"/>
    <mergeCell ref="F552:F556"/>
    <mergeCell ref="G552:G556"/>
    <mergeCell ref="H552:H556"/>
    <mergeCell ref="I552:I556"/>
    <mergeCell ref="J552:J556"/>
    <mergeCell ref="K552:K556"/>
    <mergeCell ref="L552:L556"/>
    <mergeCell ref="M552:M556"/>
    <mergeCell ref="N552:N556"/>
    <mergeCell ref="O552:O556"/>
    <mergeCell ref="P552:P556"/>
    <mergeCell ref="Q552:Q556"/>
    <mergeCell ref="R552:R556"/>
    <mergeCell ref="S552:S556"/>
    <mergeCell ref="T552:T556"/>
    <mergeCell ref="BF552:BF556"/>
    <mergeCell ref="C547:C551"/>
    <mergeCell ref="D547:D551"/>
    <mergeCell ref="E547:E551"/>
    <mergeCell ref="F547:F551"/>
    <mergeCell ref="A557:A606"/>
    <mergeCell ref="B557:B606"/>
    <mergeCell ref="C557:C561"/>
    <mergeCell ref="D557:D561"/>
    <mergeCell ref="E557:E561"/>
    <mergeCell ref="F557:F561"/>
    <mergeCell ref="G557:G561"/>
    <mergeCell ref="H557:H561"/>
    <mergeCell ref="I557:I561"/>
    <mergeCell ref="J557:J561"/>
    <mergeCell ref="K557:K561"/>
    <mergeCell ref="L557:L561"/>
    <mergeCell ref="M557:M561"/>
    <mergeCell ref="N557:N561"/>
    <mergeCell ref="O557:O561"/>
    <mergeCell ref="P557:P561"/>
    <mergeCell ref="Q557:Q561"/>
    <mergeCell ref="F567:F571"/>
    <mergeCell ref="G567:G571"/>
    <mergeCell ref="H567:H571"/>
    <mergeCell ref="I567:I571"/>
    <mergeCell ref="J567:J571"/>
    <mergeCell ref="K567:K571"/>
    <mergeCell ref="L567:L571"/>
    <mergeCell ref="M567:M571"/>
    <mergeCell ref="N567:N571"/>
    <mergeCell ref="O567:O571"/>
    <mergeCell ref="P567:P571"/>
    <mergeCell ref="Q567:Q571"/>
    <mergeCell ref="C577:C581"/>
    <mergeCell ref="D577:D581"/>
    <mergeCell ref="E577:E581"/>
    <mergeCell ref="U552:U556"/>
    <mergeCell ref="V552:V556"/>
    <mergeCell ref="W552:W556"/>
    <mergeCell ref="X552:X556"/>
    <mergeCell ref="Y552:Y556"/>
    <mergeCell ref="AX552:AX556"/>
    <mergeCell ref="AY552:AY556"/>
    <mergeCell ref="AZ552:AZ556"/>
    <mergeCell ref="AX557:AX561"/>
    <mergeCell ref="AY557:AY561"/>
    <mergeCell ref="X567:X571"/>
    <mergeCell ref="Y567:Y571"/>
    <mergeCell ref="AX567:AX571"/>
    <mergeCell ref="AY567:AY571"/>
    <mergeCell ref="R567:R571"/>
    <mergeCell ref="S567:S571"/>
    <mergeCell ref="T567:T571"/>
    <mergeCell ref="U567:U571"/>
    <mergeCell ref="V567:V571"/>
    <mergeCell ref="W567:W571"/>
    <mergeCell ref="S562:S566"/>
    <mergeCell ref="T562:T566"/>
    <mergeCell ref="U562:U566"/>
    <mergeCell ref="V562:V566"/>
    <mergeCell ref="W562:W566"/>
    <mergeCell ref="D567:D571"/>
    <mergeCell ref="E567:E571"/>
    <mergeCell ref="X572:X576"/>
    <mergeCell ref="Y572:Y576"/>
    <mergeCell ref="AY577:AY581"/>
    <mergeCell ref="X582:X586"/>
    <mergeCell ref="Y582:Y586"/>
    <mergeCell ref="AX582:AX586"/>
    <mergeCell ref="AY562:AY566"/>
    <mergeCell ref="AZ557:AZ561"/>
    <mergeCell ref="BA557:BA561"/>
    <mergeCell ref="BB557:BB606"/>
    <mergeCell ref="BC557:BC606"/>
    <mergeCell ref="BD557:BD606"/>
    <mergeCell ref="X562:X566"/>
    <mergeCell ref="Y562:Y566"/>
    <mergeCell ref="AX562:AX566"/>
    <mergeCell ref="AZ567:AZ571"/>
    <mergeCell ref="BA567:BA571"/>
    <mergeCell ref="BA597:BA601"/>
    <mergeCell ref="R557:R561"/>
    <mergeCell ref="S557:S561"/>
    <mergeCell ref="T557:T561"/>
    <mergeCell ref="U557:U561"/>
    <mergeCell ref="V557:V561"/>
    <mergeCell ref="W557:W561"/>
    <mergeCell ref="AZ577:AZ581"/>
    <mergeCell ref="BA577:BA581"/>
    <mergeCell ref="V587:V591"/>
    <mergeCell ref="AY592:AY596"/>
    <mergeCell ref="W587:W591"/>
    <mergeCell ref="X587:X591"/>
    <mergeCell ref="AY572:AY576"/>
    <mergeCell ref="X577:X581"/>
    <mergeCell ref="Y577:Y581"/>
    <mergeCell ref="AX577:AX581"/>
    <mergeCell ref="BG557:BG606"/>
    <mergeCell ref="C562:C566"/>
    <mergeCell ref="D562:D566"/>
    <mergeCell ref="E562:E566"/>
    <mergeCell ref="F562:F566"/>
    <mergeCell ref="G562:G566"/>
    <mergeCell ref="H562:H566"/>
    <mergeCell ref="I562:I566"/>
    <mergeCell ref="J562:J566"/>
    <mergeCell ref="K562:K566"/>
    <mergeCell ref="L562:L566"/>
    <mergeCell ref="M562:M566"/>
    <mergeCell ref="N562:N566"/>
    <mergeCell ref="O562:O566"/>
    <mergeCell ref="P562:P566"/>
    <mergeCell ref="Q562:Q566"/>
    <mergeCell ref="R562:R566"/>
    <mergeCell ref="X557:X561"/>
    <mergeCell ref="Y557:Y561"/>
    <mergeCell ref="Z557:Z606"/>
    <mergeCell ref="AA557:AA606"/>
    <mergeCell ref="AB557:AB606"/>
    <mergeCell ref="AC557:AC606"/>
    <mergeCell ref="AD557:AD606"/>
    <mergeCell ref="AZ562:AZ566"/>
    <mergeCell ref="BA562:BA566"/>
    <mergeCell ref="BF562:BF566"/>
    <mergeCell ref="C567:C571"/>
    <mergeCell ref="F577:F581"/>
    <mergeCell ref="G577:G581"/>
    <mergeCell ref="H577:H581"/>
    <mergeCell ref="I577:I581"/>
    <mergeCell ref="BF567:BF571"/>
    <mergeCell ref="C572:C576"/>
    <mergeCell ref="D572:D576"/>
    <mergeCell ref="E572:E576"/>
    <mergeCell ref="F572:F576"/>
    <mergeCell ref="G572:G576"/>
    <mergeCell ref="H572:H576"/>
    <mergeCell ref="I572:I576"/>
    <mergeCell ref="J572:J576"/>
    <mergeCell ref="K572:K576"/>
    <mergeCell ref="L572:L576"/>
    <mergeCell ref="M572:M576"/>
    <mergeCell ref="N572:N576"/>
    <mergeCell ref="O572:O576"/>
    <mergeCell ref="P572:P576"/>
    <mergeCell ref="Q572:Q576"/>
    <mergeCell ref="R572:R576"/>
    <mergeCell ref="S572:S576"/>
    <mergeCell ref="T572:T576"/>
    <mergeCell ref="U572:U576"/>
    <mergeCell ref="V572:V576"/>
    <mergeCell ref="W572:W576"/>
    <mergeCell ref="AZ572:AZ576"/>
    <mergeCell ref="BA572:BA576"/>
    <mergeCell ref="BF572:BF576"/>
    <mergeCell ref="BE557:BE606"/>
    <mergeCell ref="BF557:BF561"/>
    <mergeCell ref="AX572:AX576"/>
    <mergeCell ref="C582:C586"/>
    <mergeCell ref="D582:D586"/>
    <mergeCell ref="E582:E586"/>
    <mergeCell ref="F582:F586"/>
    <mergeCell ref="G582:G586"/>
    <mergeCell ref="H582:H586"/>
    <mergeCell ref="I582:I586"/>
    <mergeCell ref="J582:J586"/>
    <mergeCell ref="K582:K586"/>
    <mergeCell ref="L582:L586"/>
    <mergeCell ref="M582:M586"/>
    <mergeCell ref="N582:N586"/>
    <mergeCell ref="O582:O586"/>
    <mergeCell ref="P582:P586"/>
    <mergeCell ref="Q582:Q586"/>
    <mergeCell ref="R582:R586"/>
    <mergeCell ref="S582:S586"/>
    <mergeCell ref="W577:W581"/>
    <mergeCell ref="J577:J581"/>
    <mergeCell ref="K577:K581"/>
    <mergeCell ref="L577:L581"/>
    <mergeCell ref="M577:M581"/>
    <mergeCell ref="N577:N581"/>
    <mergeCell ref="O577:O581"/>
    <mergeCell ref="P577:P581"/>
    <mergeCell ref="Q577:Q581"/>
    <mergeCell ref="R577:R581"/>
    <mergeCell ref="S577:S581"/>
    <mergeCell ref="T577:T581"/>
    <mergeCell ref="U577:U581"/>
    <mergeCell ref="V577:V581"/>
    <mergeCell ref="T587:T591"/>
    <mergeCell ref="U587:U591"/>
    <mergeCell ref="BF577:BF581"/>
    <mergeCell ref="T582:T586"/>
    <mergeCell ref="U582:U586"/>
    <mergeCell ref="V582:V586"/>
    <mergeCell ref="W582:W586"/>
    <mergeCell ref="AY582:AY586"/>
    <mergeCell ref="AZ582:AZ586"/>
    <mergeCell ref="BA582:BA586"/>
    <mergeCell ref="BF582:BF586"/>
    <mergeCell ref="Y587:Y591"/>
    <mergeCell ref="AX587:AX591"/>
    <mergeCell ref="AY587:AY591"/>
    <mergeCell ref="AZ587:AZ591"/>
    <mergeCell ref="BA587:BA591"/>
    <mergeCell ref="BF587:BF591"/>
    <mergeCell ref="C587:C591"/>
    <mergeCell ref="S592:S596"/>
    <mergeCell ref="T592:T596"/>
    <mergeCell ref="U592:U596"/>
    <mergeCell ref="V592:V596"/>
    <mergeCell ref="W592:W596"/>
    <mergeCell ref="X592:X596"/>
    <mergeCell ref="Y592:Y596"/>
    <mergeCell ref="AX592:AX596"/>
    <mergeCell ref="D587:D591"/>
    <mergeCell ref="E587:E591"/>
    <mergeCell ref="F587:F591"/>
    <mergeCell ref="G587:G591"/>
    <mergeCell ref="H587:H591"/>
    <mergeCell ref="I587:I591"/>
    <mergeCell ref="J587:J591"/>
    <mergeCell ref="K587:K591"/>
    <mergeCell ref="L587:L591"/>
    <mergeCell ref="M587:M591"/>
    <mergeCell ref="N587:N591"/>
    <mergeCell ref="O587:O591"/>
    <mergeCell ref="P587:P591"/>
    <mergeCell ref="Q587:Q591"/>
    <mergeCell ref="R587:R591"/>
    <mergeCell ref="S587:S591"/>
    <mergeCell ref="C592:C596"/>
    <mergeCell ref="D592:D596"/>
    <mergeCell ref="E592:E596"/>
    <mergeCell ref="F592:F596"/>
    <mergeCell ref="G592:G596"/>
    <mergeCell ref="H592:H596"/>
    <mergeCell ref="I592:I596"/>
    <mergeCell ref="J592:J596"/>
    <mergeCell ref="K592:K596"/>
    <mergeCell ref="L592:L596"/>
    <mergeCell ref="M592:M596"/>
    <mergeCell ref="N592:N596"/>
    <mergeCell ref="O592:O596"/>
    <mergeCell ref="P592:P596"/>
    <mergeCell ref="Q592:Q596"/>
    <mergeCell ref="R592:R596"/>
    <mergeCell ref="AZ592:AZ596"/>
    <mergeCell ref="E597:E601"/>
    <mergeCell ref="F597:F601"/>
    <mergeCell ref="G597:G601"/>
    <mergeCell ref="H597:H601"/>
    <mergeCell ref="I597:I601"/>
    <mergeCell ref="J597:J601"/>
    <mergeCell ref="K597:K601"/>
    <mergeCell ref="L597:L601"/>
    <mergeCell ref="M597:M601"/>
    <mergeCell ref="N597:N601"/>
    <mergeCell ref="O597:O601"/>
    <mergeCell ref="P597:P601"/>
    <mergeCell ref="Q597:Q601"/>
    <mergeCell ref="R597:R601"/>
    <mergeCell ref="S597:S601"/>
    <mergeCell ref="BA592:BA596"/>
    <mergeCell ref="BF592:BF596"/>
    <mergeCell ref="BF597:BF601"/>
    <mergeCell ref="C602:C606"/>
    <mergeCell ref="D602:D606"/>
    <mergeCell ref="E602:E606"/>
    <mergeCell ref="F602:F606"/>
    <mergeCell ref="G602:G606"/>
    <mergeCell ref="H602:H606"/>
    <mergeCell ref="I602:I606"/>
    <mergeCell ref="J602:J606"/>
    <mergeCell ref="K602:K606"/>
    <mergeCell ref="L602:L606"/>
    <mergeCell ref="M602:M606"/>
    <mergeCell ref="N602:N606"/>
    <mergeCell ref="O602:O606"/>
    <mergeCell ref="P602:P606"/>
    <mergeCell ref="Q602:Q606"/>
    <mergeCell ref="R602:R606"/>
    <mergeCell ref="S602:S606"/>
    <mergeCell ref="BA602:BA606"/>
    <mergeCell ref="BF602:BF606"/>
    <mergeCell ref="T597:T601"/>
    <mergeCell ref="U597:U601"/>
    <mergeCell ref="V597:V601"/>
    <mergeCell ref="W597:W601"/>
    <mergeCell ref="AZ602:AZ606"/>
    <mergeCell ref="X597:X601"/>
    <mergeCell ref="Y597:Y601"/>
    <mergeCell ref="AX597:AX601"/>
    <mergeCell ref="AY597:AY601"/>
    <mergeCell ref="AZ597:AZ601"/>
    <mergeCell ref="C597:C601"/>
    <mergeCell ref="D597:D601"/>
    <mergeCell ref="A607:A656"/>
    <mergeCell ref="B607:B656"/>
    <mergeCell ref="C607:C611"/>
    <mergeCell ref="D607:D611"/>
    <mergeCell ref="E607:E611"/>
    <mergeCell ref="F607:F611"/>
    <mergeCell ref="G607:G611"/>
    <mergeCell ref="H607:H611"/>
    <mergeCell ref="I607:I611"/>
    <mergeCell ref="J607:J611"/>
    <mergeCell ref="K607:K611"/>
    <mergeCell ref="L607:L611"/>
    <mergeCell ref="M607:M611"/>
    <mergeCell ref="N607:N611"/>
    <mergeCell ref="O607:O611"/>
    <mergeCell ref="L622:L626"/>
    <mergeCell ref="M622:M626"/>
    <mergeCell ref="N622:N626"/>
    <mergeCell ref="O622:O626"/>
    <mergeCell ref="C627:C631"/>
    <mergeCell ref="D627:D631"/>
    <mergeCell ref="E627:E631"/>
    <mergeCell ref="F627:F631"/>
    <mergeCell ref="G627:G631"/>
    <mergeCell ref="H627:H631"/>
    <mergeCell ref="I627:I631"/>
    <mergeCell ref="J627:J631"/>
    <mergeCell ref="K627:K631"/>
    <mergeCell ref="C622:C626"/>
    <mergeCell ref="D622:D626"/>
    <mergeCell ref="P607:P611"/>
    <mergeCell ref="Q607:Q611"/>
    <mergeCell ref="C612:C616"/>
    <mergeCell ref="D612:D616"/>
    <mergeCell ref="E612:E616"/>
    <mergeCell ref="F612:F616"/>
    <mergeCell ref="G612:G616"/>
    <mergeCell ref="H612:H616"/>
    <mergeCell ref="I612:I616"/>
    <mergeCell ref="J612:J616"/>
    <mergeCell ref="K612:K616"/>
    <mergeCell ref="L612:L616"/>
    <mergeCell ref="M612:M616"/>
    <mergeCell ref="N612:N616"/>
    <mergeCell ref="O612:O616"/>
    <mergeCell ref="P612:P616"/>
    <mergeCell ref="Q612:Q616"/>
    <mergeCell ref="R607:R611"/>
    <mergeCell ref="S607:S611"/>
    <mergeCell ref="T607:T611"/>
    <mergeCell ref="U607:U611"/>
    <mergeCell ref="V607:V611"/>
    <mergeCell ref="T602:T606"/>
    <mergeCell ref="U602:U606"/>
    <mergeCell ref="V602:V606"/>
    <mergeCell ref="W602:W606"/>
    <mergeCell ref="X602:X606"/>
    <mergeCell ref="Y602:Y606"/>
    <mergeCell ref="AX602:AX606"/>
    <mergeCell ref="AY602:AY606"/>
    <mergeCell ref="BG607:BG656"/>
    <mergeCell ref="BF612:BF616"/>
    <mergeCell ref="BF617:BF621"/>
    <mergeCell ref="BF622:BF626"/>
    <mergeCell ref="BF627:BF631"/>
    <mergeCell ref="BF632:BF636"/>
    <mergeCell ref="BF637:BF641"/>
    <mergeCell ref="BF642:BF646"/>
    <mergeCell ref="BF647:BF651"/>
    <mergeCell ref="BF652:BF656"/>
    <mergeCell ref="W607:W611"/>
    <mergeCell ref="X607:X611"/>
    <mergeCell ref="Y607:Y611"/>
    <mergeCell ref="Z607:Z656"/>
    <mergeCell ref="AA607:AA656"/>
    <mergeCell ref="AB607:AB656"/>
    <mergeCell ref="AC607:AC656"/>
    <mergeCell ref="AD607:AD656"/>
    <mergeCell ref="AX607:AX611"/>
    <mergeCell ref="AY607:AY611"/>
    <mergeCell ref="AZ607:AZ611"/>
    <mergeCell ref="BA607:BA611"/>
    <mergeCell ref="BB607:BB656"/>
    <mergeCell ref="BC607:BC656"/>
    <mergeCell ref="BD607:BD656"/>
    <mergeCell ref="BE607:BE656"/>
    <mergeCell ref="BF607:BF611"/>
    <mergeCell ref="U612:U616"/>
    <mergeCell ref="V612:V616"/>
    <mergeCell ref="W612:W616"/>
    <mergeCell ref="X612:X616"/>
    <mergeCell ref="Y612:Y616"/>
    <mergeCell ref="AX612:AX616"/>
    <mergeCell ref="AY612:AY616"/>
    <mergeCell ref="AZ612:AZ616"/>
    <mergeCell ref="BA612:BA616"/>
    <mergeCell ref="BA622:BA626"/>
    <mergeCell ref="BA632:BA636"/>
    <mergeCell ref="BA642:BA646"/>
    <mergeCell ref="BA652:BA656"/>
    <mergeCell ref="U622:U626"/>
    <mergeCell ref="V622:V626"/>
    <mergeCell ref="W622:W626"/>
    <mergeCell ref="X622:X626"/>
    <mergeCell ref="Y622:Y626"/>
    <mergeCell ref="AX622:AX626"/>
    <mergeCell ref="AY622:AY626"/>
    <mergeCell ref="AZ622:AZ626"/>
    <mergeCell ref="U632:U636"/>
    <mergeCell ref="V632:V636"/>
    <mergeCell ref="W632:W636"/>
    <mergeCell ref="R612:R616"/>
    <mergeCell ref="S612:S616"/>
    <mergeCell ref="T612:T616"/>
    <mergeCell ref="BA617:BA621"/>
    <mergeCell ref="L617:L621"/>
    <mergeCell ref="M617:M621"/>
    <mergeCell ref="N617:N621"/>
    <mergeCell ref="O617:O621"/>
    <mergeCell ref="P617:P621"/>
    <mergeCell ref="Q617:Q621"/>
    <mergeCell ref="R617:R621"/>
    <mergeCell ref="S617:S621"/>
    <mergeCell ref="T617:T621"/>
    <mergeCell ref="C617:C621"/>
    <mergeCell ref="D617:D621"/>
    <mergeCell ref="E617:E621"/>
    <mergeCell ref="F617:F621"/>
    <mergeCell ref="G617:G621"/>
    <mergeCell ref="H617:H621"/>
    <mergeCell ref="I617:I621"/>
    <mergeCell ref="J617:J621"/>
    <mergeCell ref="K617:K621"/>
    <mergeCell ref="U617:U621"/>
    <mergeCell ref="V617:V621"/>
    <mergeCell ref="W617:W621"/>
    <mergeCell ref="X617:X621"/>
    <mergeCell ref="Y617:Y621"/>
    <mergeCell ref="AX617:AX621"/>
    <mergeCell ref="AY617:AY621"/>
    <mergeCell ref="AZ617:AZ621"/>
    <mergeCell ref="BA627:BA631"/>
    <mergeCell ref="L627:L631"/>
    <mergeCell ref="M627:M631"/>
    <mergeCell ref="N627:N631"/>
    <mergeCell ref="O627:O631"/>
    <mergeCell ref="P627:P631"/>
    <mergeCell ref="Q627:Q631"/>
    <mergeCell ref="R627:R631"/>
    <mergeCell ref="S627:S631"/>
    <mergeCell ref="T627:T631"/>
    <mergeCell ref="U627:U631"/>
    <mergeCell ref="V627:V631"/>
    <mergeCell ref="W627:W631"/>
    <mergeCell ref="X627:X631"/>
    <mergeCell ref="Y627:Y631"/>
    <mergeCell ref="AX627:AX631"/>
    <mergeCell ref="AY627:AY631"/>
    <mergeCell ref="AZ627:AZ631"/>
    <mergeCell ref="E622:E626"/>
    <mergeCell ref="F622:F626"/>
    <mergeCell ref="G622:G626"/>
    <mergeCell ref="H622:H626"/>
    <mergeCell ref="I622:I626"/>
    <mergeCell ref="J622:J626"/>
    <mergeCell ref="K622:K626"/>
    <mergeCell ref="X632:X636"/>
    <mergeCell ref="Y632:Y636"/>
    <mergeCell ref="AX632:AX636"/>
    <mergeCell ref="AY632:AY636"/>
    <mergeCell ref="AZ632:AZ636"/>
    <mergeCell ref="L632:L636"/>
    <mergeCell ref="M632:M636"/>
    <mergeCell ref="N632:N636"/>
    <mergeCell ref="O632:O636"/>
    <mergeCell ref="P632:P636"/>
    <mergeCell ref="Q632:Q636"/>
    <mergeCell ref="R632:R636"/>
    <mergeCell ref="S632:S636"/>
    <mergeCell ref="T632:T636"/>
    <mergeCell ref="P622:P626"/>
    <mergeCell ref="Q622:Q626"/>
    <mergeCell ref="R622:R626"/>
    <mergeCell ref="S622:S626"/>
    <mergeCell ref="T622:T626"/>
    <mergeCell ref="BA637:BA641"/>
    <mergeCell ref="L637:L641"/>
    <mergeCell ref="M637:M641"/>
    <mergeCell ref="N637:N641"/>
    <mergeCell ref="O637:O641"/>
    <mergeCell ref="P637:P641"/>
    <mergeCell ref="Q637:Q641"/>
    <mergeCell ref="R637:R641"/>
    <mergeCell ref="S637:S641"/>
    <mergeCell ref="T637:T641"/>
    <mergeCell ref="U637:U641"/>
    <mergeCell ref="V637:V641"/>
    <mergeCell ref="W637:W641"/>
    <mergeCell ref="X637:X641"/>
    <mergeCell ref="Y637:Y641"/>
    <mergeCell ref="AX637:AX641"/>
    <mergeCell ref="AY637:AY641"/>
    <mergeCell ref="AZ637:AZ641"/>
    <mergeCell ref="C637:C641"/>
    <mergeCell ref="D637:D641"/>
    <mergeCell ref="E637:E641"/>
    <mergeCell ref="F637:F641"/>
    <mergeCell ref="G637:G641"/>
    <mergeCell ref="H637:H641"/>
    <mergeCell ref="I637:I641"/>
    <mergeCell ref="J637:J641"/>
    <mergeCell ref="K637:K641"/>
    <mergeCell ref="C632:C636"/>
    <mergeCell ref="D632:D636"/>
    <mergeCell ref="E632:E636"/>
    <mergeCell ref="F632:F636"/>
    <mergeCell ref="G632:G636"/>
    <mergeCell ref="H632:H636"/>
    <mergeCell ref="I632:I636"/>
    <mergeCell ref="J632:J636"/>
    <mergeCell ref="K632:K636"/>
    <mergeCell ref="U642:U646"/>
    <mergeCell ref="V642:V646"/>
    <mergeCell ref="W642:W646"/>
    <mergeCell ref="X642:X646"/>
    <mergeCell ref="Y642:Y646"/>
    <mergeCell ref="AX642:AX646"/>
    <mergeCell ref="AY642:AY646"/>
    <mergeCell ref="AZ642:AZ646"/>
    <mergeCell ref="L642:L646"/>
    <mergeCell ref="M642:M646"/>
    <mergeCell ref="N642:N646"/>
    <mergeCell ref="O642:O646"/>
    <mergeCell ref="P642:P646"/>
    <mergeCell ref="Q642:Q646"/>
    <mergeCell ref="R642:R646"/>
    <mergeCell ref="S642:S646"/>
    <mergeCell ref="T642:T646"/>
    <mergeCell ref="BA647:BA651"/>
    <mergeCell ref="L647:L651"/>
    <mergeCell ref="M647:M651"/>
    <mergeCell ref="N647:N651"/>
    <mergeCell ref="O647:O651"/>
    <mergeCell ref="P647:P651"/>
    <mergeCell ref="Q647:Q651"/>
    <mergeCell ref="R647:R651"/>
    <mergeCell ref="S647:S651"/>
    <mergeCell ref="T647:T651"/>
    <mergeCell ref="C647:C651"/>
    <mergeCell ref="D647:D651"/>
    <mergeCell ref="E647:E651"/>
    <mergeCell ref="F647:F651"/>
    <mergeCell ref="G647:G651"/>
    <mergeCell ref="H647:H651"/>
    <mergeCell ref="I647:I651"/>
    <mergeCell ref="J647:J651"/>
    <mergeCell ref="K647:K651"/>
    <mergeCell ref="U647:U651"/>
    <mergeCell ref="V647:V651"/>
    <mergeCell ref="W647:W651"/>
    <mergeCell ref="X647:X651"/>
    <mergeCell ref="Y647:Y651"/>
    <mergeCell ref="AX647:AX651"/>
    <mergeCell ref="AY647:AY651"/>
    <mergeCell ref="AZ647:AZ651"/>
    <mergeCell ref="C642:C646"/>
    <mergeCell ref="D642:D646"/>
    <mergeCell ref="E642:E646"/>
    <mergeCell ref="F642:F646"/>
    <mergeCell ref="G642:G646"/>
    <mergeCell ref="H642:H646"/>
    <mergeCell ref="I642:I646"/>
    <mergeCell ref="J642:J646"/>
    <mergeCell ref="K642:K646"/>
    <mergeCell ref="C652:C656"/>
    <mergeCell ref="D652:D656"/>
    <mergeCell ref="E652:E656"/>
    <mergeCell ref="F652:F656"/>
    <mergeCell ref="G652:G656"/>
    <mergeCell ref="H652:H656"/>
    <mergeCell ref="I652:I656"/>
    <mergeCell ref="J652:J656"/>
    <mergeCell ref="K652:K656"/>
    <mergeCell ref="U652:U656"/>
    <mergeCell ref="V652:V656"/>
    <mergeCell ref="W652:W656"/>
    <mergeCell ref="X652:X656"/>
    <mergeCell ref="Y652:Y656"/>
    <mergeCell ref="AX652:AX656"/>
    <mergeCell ref="AY652:AY656"/>
    <mergeCell ref="AZ652:AZ656"/>
    <mergeCell ref="L652:L656"/>
    <mergeCell ref="M652:M656"/>
    <mergeCell ref="N652:N656"/>
    <mergeCell ref="O652:O656"/>
    <mergeCell ref="P652:P656"/>
    <mergeCell ref="Q652:Q656"/>
    <mergeCell ref="R652:R656"/>
    <mergeCell ref="S652:S656"/>
    <mergeCell ref="T652:T656"/>
    <mergeCell ref="J657:J661"/>
    <mergeCell ref="K657:K661"/>
    <mergeCell ref="L657:L661"/>
    <mergeCell ref="M657:M661"/>
    <mergeCell ref="N657:N661"/>
    <mergeCell ref="O657:O661"/>
    <mergeCell ref="P657:P661"/>
    <mergeCell ref="Q657:Q661"/>
    <mergeCell ref="R657:R661"/>
    <mergeCell ref="A657:A706"/>
    <mergeCell ref="B657:B706"/>
    <mergeCell ref="C657:C661"/>
    <mergeCell ref="D657:D661"/>
    <mergeCell ref="E657:E661"/>
    <mergeCell ref="F657:F661"/>
    <mergeCell ref="G657:G661"/>
    <mergeCell ref="H657:H661"/>
    <mergeCell ref="I657:I661"/>
    <mergeCell ref="C682:C686"/>
    <mergeCell ref="D682:D686"/>
    <mergeCell ref="E682:E686"/>
    <mergeCell ref="F682:F686"/>
    <mergeCell ref="G682:G686"/>
    <mergeCell ref="H682:H686"/>
    <mergeCell ref="I682:I686"/>
    <mergeCell ref="J682:J686"/>
    <mergeCell ref="K682:K686"/>
    <mergeCell ref="L682:L686"/>
    <mergeCell ref="M682:M686"/>
    <mergeCell ref="N682:N686"/>
    <mergeCell ref="O682:O686"/>
    <mergeCell ref="P682:P686"/>
    <mergeCell ref="S657:S661"/>
    <mergeCell ref="T657:T661"/>
    <mergeCell ref="C677:C681"/>
    <mergeCell ref="D677:D681"/>
    <mergeCell ref="E677:E681"/>
    <mergeCell ref="F677:F681"/>
    <mergeCell ref="G677:G681"/>
    <mergeCell ref="H677:H681"/>
    <mergeCell ref="I677:I681"/>
    <mergeCell ref="J677:J681"/>
    <mergeCell ref="K677:K681"/>
    <mergeCell ref="L677:L681"/>
    <mergeCell ref="AX657:AX661"/>
    <mergeCell ref="AY657:AY661"/>
    <mergeCell ref="AZ657:AZ661"/>
    <mergeCell ref="BA657:BA661"/>
    <mergeCell ref="BB657:BB706"/>
    <mergeCell ref="AY672:AY676"/>
    <mergeCell ref="AZ672:AZ676"/>
    <mergeCell ref="BA672:BA676"/>
    <mergeCell ref="Q677:Q681"/>
    <mergeCell ref="R677:R681"/>
    <mergeCell ref="S677:S681"/>
    <mergeCell ref="T677:T681"/>
    <mergeCell ref="U677:U681"/>
    <mergeCell ref="V677:V681"/>
    <mergeCell ref="W677:W681"/>
    <mergeCell ref="X677:X681"/>
    <mergeCell ref="Y677:Y681"/>
    <mergeCell ref="AX677:AX681"/>
    <mergeCell ref="AY677:AY681"/>
    <mergeCell ref="AZ677:AZ681"/>
    <mergeCell ref="X662:X666"/>
    <mergeCell ref="Y662:Y666"/>
    <mergeCell ref="Y682:Y686"/>
    <mergeCell ref="V687:V691"/>
    <mergeCell ref="W687:W691"/>
    <mergeCell ref="X687:X691"/>
    <mergeCell ref="Y687:Y691"/>
    <mergeCell ref="V692:V696"/>
    <mergeCell ref="W692:W696"/>
    <mergeCell ref="X692:X696"/>
    <mergeCell ref="Y692:Y696"/>
    <mergeCell ref="V697:V701"/>
    <mergeCell ref="W697:W701"/>
    <mergeCell ref="X697:X701"/>
    <mergeCell ref="W667:W671"/>
    <mergeCell ref="X667:X671"/>
    <mergeCell ref="Y667:Y671"/>
    <mergeCell ref="X672:X676"/>
    <mergeCell ref="Y672:Y676"/>
    <mergeCell ref="BG657:BG706"/>
    <mergeCell ref="C662:C666"/>
    <mergeCell ref="D662:D666"/>
    <mergeCell ref="E662:E666"/>
    <mergeCell ref="F662:F666"/>
    <mergeCell ref="G662:G666"/>
    <mergeCell ref="H662:H666"/>
    <mergeCell ref="I662:I666"/>
    <mergeCell ref="J662:J666"/>
    <mergeCell ref="K662:K666"/>
    <mergeCell ref="L662:L666"/>
    <mergeCell ref="M662:M666"/>
    <mergeCell ref="N662:N666"/>
    <mergeCell ref="O662:O666"/>
    <mergeCell ref="P662:P666"/>
    <mergeCell ref="Q662:Q666"/>
    <mergeCell ref="R662:R666"/>
    <mergeCell ref="S662:S666"/>
    <mergeCell ref="T662:T666"/>
    <mergeCell ref="U662:U666"/>
    <mergeCell ref="V662:V666"/>
    <mergeCell ref="U672:U676"/>
    <mergeCell ref="V672:V676"/>
    <mergeCell ref="W672:W676"/>
    <mergeCell ref="BC657:BC706"/>
    <mergeCell ref="AX662:AX666"/>
    <mergeCell ref="AY662:AY666"/>
    <mergeCell ref="U657:U661"/>
    <mergeCell ref="V657:V661"/>
    <mergeCell ref="W657:W661"/>
    <mergeCell ref="X657:X661"/>
    <mergeCell ref="Y657:Y661"/>
    <mergeCell ref="BF662:BF666"/>
    <mergeCell ref="C667:C671"/>
    <mergeCell ref="D667:D671"/>
    <mergeCell ref="E667:E671"/>
    <mergeCell ref="F667:F671"/>
    <mergeCell ref="G667:G671"/>
    <mergeCell ref="H667:H671"/>
    <mergeCell ref="I667:I671"/>
    <mergeCell ref="J667:J671"/>
    <mergeCell ref="K667:K671"/>
    <mergeCell ref="L667:L671"/>
    <mergeCell ref="M667:M671"/>
    <mergeCell ref="N667:N671"/>
    <mergeCell ref="O667:O671"/>
    <mergeCell ref="P667:P671"/>
    <mergeCell ref="Q667:Q671"/>
    <mergeCell ref="R667:R671"/>
    <mergeCell ref="S667:S671"/>
    <mergeCell ref="T667:T671"/>
    <mergeCell ref="U667:U671"/>
    <mergeCell ref="V667:V671"/>
    <mergeCell ref="BD657:BD706"/>
    <mergeCell ref="BE657:BE706"/>
    <mergeCell ref="BF657:BF661"/>
    <mergeCell ref="AZ662:AZ666"/>
    <mergeCell ref="BA662:BA666"/>
    <mergeCell ref="AX667:AX671"/>
    <mergeCell ref="AY667:AY671"/>
    <mergeCell ref="AZ667:AZ671"/>
    <mergeCell ref="Z657:Z706"/>
    <mergeCell ref="AA657:AA706"/>
    <mergeCell ref="W662:W666"/>
    <mergeCell ref="BF667:BF671"/>
    <mergeCell ref="C672:C676"/>
    <mergeCell ref="D672:D676"/>
    <mergeCell ref="E672:E676"/>
    <mergeCell ref="F672:F676"/>
    <mergeCell ref="G672:G676"/>
    <mergeCell ref="H672:H676"/>
    <mergeCell ref="I672:I676"/>
    <mergeCell ref="J672:J676"/>
    <mergeCell ref="K672:K676"/>
    <mergeCell ref="L672:L676"/>
    <mergeCell ref="M672:M676"/>
    <mergeCell ref="N672:N676"/>
    <mergeCell ref="O672:O676"/>
    <mergeCell ref="P672:P676"/>
    <mergeCell ref="Q672:Q676"/>
    <mergeCell ref="R672:R676"/>
    <mergeCell ref="S672:S676"/>
    <mergeCell ref="T672:T676"/>
    <mergeCell ref="BF672:BF676"/>
    <mergeCell ref="BA667:BA671"/>
    <mergeCell ref="AX672:AX676"/>
    <mergeCell ref="Q682:Q686"/>
    <mergeCell ref="R682:R686"/>
    <mergeCell ref="S682:S686"/>
    <mergeCell ref="T682:T686"/>
    <mergeCell ref="U682:U686"/>
    <mergeCell ref="V682:V686"/>
    <mergeCell ref="W682:W686"/>
    <mergeCell ref="X682:X686"/>
    <mergeCell ref="AX682:AX686"/>
    <mergeCell ref="AY682:AY686"/>
    <mergeCell ref="AZ682:AZ686"/>
    <mergeCell ref="BA682:BA686"/>
    <mergeCell ref="BF682:BF686"/>
    <mergeCell ref="M677:M681"/>
    <mergeCell ref="N677:N681"/>
    <mergeCell ref="O677:O681"/>
    <mergeCell ref="P677:P681"/>
    <mergeCell ref="BA677:BA681"/>
    <mergeCell ref="BF677:BF681"/>
    <mergeCell ref="AZ687:AZ691"/>
    <mergeCell ref="BA687:BA691"/>
    <mergeCell ref="BF687:BF691"/>
    <mergeCell ref="C692:C696"/>
    <mergeCell ref="D692:D696"/>
    <mergeCell ref="E692:E696"/>
    <mergeCell ref="F692:F696"/>
    <mergeCell ref="G692:G696"/>
    <mergeCell ref="H692:H696"/>
    <mergeCell ref="I692:I696"/>
    <mergeCell ref="J692:J696"/>
    <mergeCell ref="K692:K696"/>
    <mergeCell ref="L692:L696"/>
    <mergeCell ref="M692:M696"/>
    <mergeCell ref="N692:N696"/>
    <mergeCell ref="O692:O696"/>
    <mergeCell ref="P692:P696"/>
    <mergeCell ref="Q692:Q696"/>
    <mergeCell ref="R692:R696"/>
    <mergeCell ref="S692:S696"/>
    <mergeCell ref="T692:T696"/>
    <mergeCell ref="U692:U696"/>
    <mergeCell ref="AX692:AX696"/>
    <mergeCell ref="AY692:AY696"/>
    <mergeCell ref="AZ692:AZ696"/>
    <mergeCell ref="BA692:BA696"/>
    <mergeCell ref="BF692:BF696"/>
    <mergeCell ref="C687:C691"/>
    <mergeCell ref="D687:D691"/>
    <mergeCell ref="E687:E691"/>
    <mergeCell ref="F687:F691"/>
    <mergeCell ref="G687:G691"/>
    <mergeCell ref="G697:G701"/>
    <mergeCell ref="H697:H701"/>
    <mergeCell ref="I697:I701"/>
    <mergeCell ref="J697:J701"/>
    <mergeCell ref="K697:K701"/>
    <mergeCell ref="L697:L701"/>
    <mergeCell ref="M697:M701"/>
    <mergeCell ref="N697:N701"/>
    <mergeCell ref="O697:O701"/>
    <mergeCell ref="P697:P701"/>
    <mergeCell ref="Q697:Q701"/>
    <mergeCell ref="R697:R701"/>
    <mergeCell ref="S697:S701"/>
    <mergeCell ref="T687:T691"/>
    <mergeCell ref="U687:U691"/>
    <mergeCell ref="AX687:AX691"/>
    <mergeCell ref="AY687:AY691"/>
    <mergeCell ref="H687:H691"/>
    <mergeCell ref="I687:I691"/>
    <mergeCell ref="J687:J691"/>
    <mergeCell ref="K687:K691"/>
    <mergeCell ref="L687:L691"/>
    <mergeCell ref="M687:M691"/>
    <mergeCell ref="N687:N691"/>
    <mergeCell ref="O687:O691"/>
    <mergeCell ref="P687:P691"/>
    <mergeCell ref="Q687:Q691"/>
    <mergeCell ref="R687:R691"/>
    <mergeCell ref="S687:S691"/>
    <mergeCell ref="AB657:AB706"/>
    <mergeCell ref="AC657:AC706"/>
    <mergeCell ref="AD657:AD706"/>
    <mergeCell ref="T697:T701"/>
    <mergeCell ref="U697:U701"/>
    <mergeCell ref="BA702:BA706"/>
    <mergeCell ref="Y697:Y701"/>
    <mergeCell ref="AX697:AX701"/>
    <mergeCell ref="AY697:AY701"/>
    <mergeCell ref="AZ697:AZ701"/>
    <mergeCell ref="BA697:BA701"/>
    <mergeCell ref="BF697:BF701"/>
    <mergeCell ref="C702:C706"/>
    <mergeCell ref="D702:D706"/>
    <mergeCell ref="E702:E706"/>
    <mergeCell ref="F702:F706"/>
    <mergeCell ref="G702:G706"/>
    <mergeCell ref="H702:H706"/>
    <mergeCell ref="I702:I706"/>
    <mergeCell ref="J702:J706"/>
    <mergeCell ref="K702:K706"/>
    <mergeCell ref="L702:L706"/>
    <mergeCell ref="M702:M706"/>
    <mergeCell ref="N702:N706"/>
    <mergeCell ref="O702:O706"/>
    <mergeCell ref="P702:P706"/>
    <mergeCell ref="Q702:Q706"/>
    <mergeCell ref="R702:R706"/>
    <mergeCell ref="S702:S706"/>
    <mergeCell ref="T702:T706"/>
    <mergeCell ref="BF702:BF706"/>
    <mergeCell ref="C697:C701"/>
    <mergeCell ref="D697:D701"/>
    <mergeCell ref="E697:E701"/>
    <mergeCell ref="F697:F701"/>
    <mergeCell ref="A707:A756"/>
    <mergeCell ref="B707:B756"/>
    <mergeCell ref="C707:C711"/>
    <mergeCell ref="D707:D711"/>
    <mergeCell ref="E707:E711"/>
    <mergeCell ref="F707:F711"/>
    <mergeCell ref="G707:G711"/>
    <mergeCell ref="H707:H711"/>
    <mergeCell ref="I707:I711"/>
    <mergeCell ref="J707:J711"/>
    <mergeCell ref="K707:K711"/>
    <mergeCell ref="L707:L711"/>
    <mergeCell ref="M707:M711"/>
    <mergeCell ref="N707:N711"/>
    <mergeCell ref="O707:O711"/>
    <mergeCell ref="P707:P711"/>
    <mergeCell ref="Q707:Q711"/>
    <mergeCell ref="F717:F721"/>
    <mergeCell ref="G717:G721"/>
    <mergeCell ref="H717:H721"/>
    <mergeCell ref="I717:I721"/>
    <mergeCell ref="J717:J721"/>
    <mergeCell ref="K717:K721"/>
    <mergeCell ref="L717:L721"/>
    <mergeCell ref="M717:M721"/>
    <mergeCell ref="N717:N721"/>
    <mergeCell ref="O717:O721"/>
    <mergeCell ref="P717:P721"/>
    <mergeCell ref="Q717:Q721"/>
    <mergeCell ref="C727:C731"/>
    <mergeCell ref="D727:D731"/>
    <mergeCell ref="E727:E731"/>
    <mergeCell ref="U702:U706"/>
    <mergeCell ref="V702:V706"/>
    <mergeCell ref="W702:W706"/>
    <mergeCell ref="X702:X706"/>
    <mergeCell ref="Y702:Y706"/>
    <mergeCell ref="AX702:AX706"/>
    <mergeCell ref="AY702:AY706"/>
    <mergeCell ref="AZ702:AZ706"/>
    <mergeCell ref="AX707:AX711"/>
    <mergeCell ref="AY707:AY711"/>
    <mergeCell ref="X717:X721"/>
    <mergeCell ref="Y717:Y721"/>
    <mergeCell ref="AX717:AX721"/>
    <mergeCell ref="AY717:AY721"/>
    <mergeCell ref="R717:R721"/>
    <mergeCell ref="S717:S721"/>
    <mergeCell ref="T717:T721"/>
    <mergeCell ref="U717:U721"/>
    <mergeCell ref="V717:V721"/>
    <mergeCell ref="W717:W721"/>
    <mergeCell ref="S712:S716"/>
    <mergeCell ref="T712:T716"/>
    <mergeCell ref="U712:U716"/>
    <mergeCell ref="V712:V716"/>
    <mergeCell ref="W712:W716"/>
    <mergeCell ref="D717:D721"/>
    <mergeCell ref="E717:E721"/>
    <mergeCell ref="X722:X726"/>
    <mergeCell ref="Y722:Y726"/>
    <mergeCell ref="AY727:AY731"/>
    <mergeCell ref="X732:X736"/>
    <mergeCell ref="Y732:Y736"/>
    <mergeCell ref="AX732:AX736"/>
    <mergeCell ref="AY712:AY716"/>
    <mergeCell ref="AZ707:AZ711"/>
    <mergeCell ref="BA707:BA711"/>
    <mergeCell ref="BB707:BB756"/>
    <mergeCell ref="BC707:BC756"/>
    <mergeCell ref="BD707:BD756"/>
    <mergeCell ref="X712:X716"/>
    <mergeCell ref="Y712:Y716"/>
    <mergeCell ref="AX712:AX716"/>
    <mergeCell ref="AZ717:AZ721"/>
    <mergeCell ref="BA717:BA721"/>
    <mergeCell ref="BA747:BA751"/>
    <mergeCell ref="R707:R711"/>
    <mergeCell ref="S707:S711"/>
    <mergeCell ref="T707:T711"/>
    <mergeCell ref="U707:U711"/>
    <mergeCell ref="V707:V711"/>
    <mergeCell ref="W707:W711"/>
    <mergeCell ref="AZ727:AZ731"/>
    <mergeCell ref="BA727:BA731"/>
    <mergeCell ref="V737:V741"/>
    <mergeCell ref="AY742:AY746"/>
    <mergeCell ref="W737:W741"/>
    <mergeCell ref="X737:X741"/>
    <mergeCell ref="AY722:AY726"/>
    <mergeCell ref="X727:X731"/>
    <mergeCell ref="Y727:Y731"/>
    <mergeCell ref="AX727:AX731"/>
    <mergeCell ref="BG707:BG756"/>
    <mergeCell ref="C712:C716"/>
    <mergeCell ref="D712:D716"/>
    <mergeCell ref="E712:E716"/>
    <mergeCell ref="F712:F716"/>
    <mergeCell ref="G712:G716"/>
    <mergeCell ref="H712:H716"/>
    <mergeCell ref="I712:I716"/>
    <mergeCell ref="J712:J716"/>
    <mergeCell ref="K712:K716"/>
    <mergeCell ref="L712:L716"/>
    <mergeCell ref="M712:M716"/>
    <mergeCell ref="N712:N716"/>
    <mergeCell ref="O712:O716"/>
    <mergeCell ref="P712:P716"/>
    <mergeCell ref="Q712:Q716"/>
    <mergeCell ref="R712:R716"/>
    <mergeCell ref="X707:X711"/>
    <mergeCell ref="Y707:Y711"/>
    <mergeCell ref="Z707:Z756"/>
    <mergeCell ref="AA707:AA756"/>
    <mergeCell ref="AB707:AB756"/>
    <mergeCell ref="AC707:AC756"/>
    <mergeCell ref="AD707:AD756"/>
    <mergeCell ref="AZ712:AZ716"/>
    <mergeCell ref="BA712:BA716"/>
    <mergeCell ref="BF712:BF716"/>
    <mergeCell ref="C717:C721"/>
    <mergeCell ref="F727:F731"/>
    <mergeCell ref="G727:G731"/>
    <mergeCell ref="H727:H731"/>
    <mergeCell ref="I727:I731"/>
    <mergeCell ref="BF717:BF721"/>
    <mergeCell ref="C722:C726"/>
    <mergeCell ref="D722:D726"/>
    <mergeCell ref="E722:E726"/>
    <mergeCell ref="F722:F726"/>
    <mergeCell ref="G722:G726"/>
    <mergeCell ref="H722:H726"/>
    <mergeCell ref="I722:I726"/>
    <mergeCell ref="J722:J726"/>
    <mergeCell ref="K722:K726"/>
    <mergeCell ref="L722:L726"/>
    <mergeCell ref="M722:M726"/>
    <mergeCell ref="N722:N726"/>
    <mergeCell ref="O722:O726"/>
    <mergeCell ref="P722:P726"/>
    <mergeCell ref="Q722:Q726"/>
    <mergeCell ref="R722:R726"/>
    <mergeCell ref="S722:S726"/>
    <mergeCell ref="T722:T726"/>
    <mergeCell ref="U722:U726"/>
    <mergeCell ref="V722:V726"/>
    <mergeCell ref="W722:W726"/>
    <mergeCell ref="AZ722:AZ726"/>
    <mergeCell ref="BA722:BA726"/>
    <mergeCell ref="BF722:BF726"/>
    <mergeCell ref="BE707:BE756"/>
    <mergeCell ref="BF707:BF711"/>
    <mergeCell ref="AX722:AX726"/>
    <mergeCell ref="C732:C736"/>
    <mergeCell ref="D732:D736"/>
    <mergeCell ref="E732:E736"/>
    <mergeCell ref="F732:F736"/>
    <mergeCell ref="G732:G736"/>
    <mergeCell ref="H732:H736"/>
    <mergeCell ref="I732:I736"/>
    <mergeCell ref="J732:J736"/>
    <mergeCell ref="K732:K736"/>
    <mergeCell ref="L732:L736"/>
    <mergeCell ref="M732:M736"/>
    <mergeCell ref="N732:N736"/>
    <mergeCell ref="O732:O736"/>
    <mergeCell ref="P732:P736"/>
    <mergeCell ref="Q732:Q736"/>
    <mergeCell ref="R732:R736"/>
    <mergeCell ref="S732:S736"/>
    <mergeCell ref="W727:W731"/>
    <mergeCell ref="J727:J731"/>
    <mergeCell ref="K727:K731"/>
    <mergeCell ref="L727:L731"/>
    <mergeCell ref="M727:M731"/>
    <mergeCell ref="N727:N731"/>
    <mergeCell ref="O727:O731"/>
    <mergeCell ref="P727:P731"/>
    <mergeCell ref="Q727:Q731"/>
    <mergeCell ref="R727:R731"/>
    <mergeCell ref="S727:S731"/>
    <mergeCell ref="T727:T731"/>
    <mergeCell ref="U727:U731"/>
    <mergeCell ref="V727:V731"/>
    <mergeCell ref="T737:T741"/>
    <mergeCell ref="U737:U741"/>
    <mergeCell ref="BF727:BF731"/>
    <mergeCell ref="T732:T736"/>
    <mergeCell ref="U732:U736"/>
    <mergeCell ref="V732:V736"/>
    <mergeCell ref="W732:W736"/>
    <mergeCell ref="AY732:AY736"/>
    <mergeCell ref="AZ732:AZ736"/>
    <mergeCell ref="BA732:BA736"/>
    <mergeCell ref="BF732:BF736"/>
    <mergeCell ref="Y737:Y741"/>
    <mergeCell ref="AX737:AX741"/>
    <mergeCell ref="AY737:AY741"/>
    <mergeCell ref="AZ737:AZ741"/>
    <mergeCell ref="BA737:BA741"/>
    <mergeCell ref="BF737:BF741"/>
    <mergeCell ref="C737:C741"/>
    <mergeCell ref="S742:S746"/>
    <mergeCell ref="T742:T746"/>
    <mergeCell ref="U742:U746"/>
    <mergeCell ref="V742:V746"/>
    <mergeCell ref="W742:W746"/>
    <mergeCell ref="X742:X746"/>
    <mergeCell ref="Y742:Y746"/>
    <mergeCell ref="AX742:AX746"/>
    <mergeCell ref="D737:D741"/>
    <mergeCell ref="E737:E741"/>
    <mergeCell ref="F737:F741"/>
    <mergeCell ref="G737:G741"/>
    <mergeCell ref="H737:H741"/>
    <mergeCell ref="I737:I741"/>
    <mergeCell ref="J737:J741"/>
    <mergeCell ref="K737:K741"/>
    <mergeCell ref="L737:L741"/>
    <mergeCell ref="M737:M741"/>
    <mergeCell ref="N737:N741"/>
    <mergeCell ref="O737:O741"/>
    <mergeCell ref="P737:P741"/>
    <mergeCell ref="Q737:Q741"/>
    <mergeCell ref="R737:R741"/>
    <mergeCell ref="S737:S741"/>
    <mergeCell ref="C742:C746"/>
    <mergeCell ref="D742:D746"/>
    <mergeCell ref="E742:E746"/>
    <mergeCell ref="F742:F746"/>
    <mergeCell ref="G742:G746"/>
    <mergeCell ref="H742:H746"/>
    <mergeCell ref="I742:I746"/>
    <mergeCell ref="J742:J746"/>
    <mergeCell ref="K742:K746"/>
    <mergeCell ref="L742:L746"/>
    <mergeCell ref="M742:M746"/>
    <mergeCell ref="N742:N746"/>
    <mergeCell ref="O742:O746"/>
    <mergeCell ref="P742:P746"/>
    <mergeCell ref="Q742:Q746"/>
    <mergeCell ref="R742:R746"/>
    <mergeCell ref="AZ742:AZ746"/>
    <mergeCell ref="E747:E751"/>
    <mergeCell ref="F747:F751"/>
    <mergeCell ref="G747:G751"/>
    <mergeCell ref="H747:H751"/>
    <mergeCell ref="I747:I751"/>
    <mergeCell ref="J747:J751"/>
    <mergeCell ref="K747:K751"/>
    <mergeCell ref="L747:L751"/>
    <mergeCell ref="M747:M751"/>
    <mergeCell ref="N747:N751"/>
    <mergeCell ref="O747:O751"/>
    <mergeCell ref="P747:P751"/>
    <mergeCell ref="Q747:Q751"/>
    <mergeCell ref="R747:R751"/>
    <mergeCell ref="S747:S751"/>
    <mergeCell ref="BA742:BA746"/>
    <mergeCell ref="BF742:BF746"/>
    <mergeCell ref="BF747:BF751"/>
    <mergeCell ref="C752:C756"/>
    <mergeCell ref="D752:D756"/>
    <mergeCell ref="E752:E756"/>
    <mergeCell ref="F752:F756"/>
    <mergeCell ref="G752:G756"/>
    <mergeCell ref="H752:H756"/>
    <mergeCell ref="I752:I756"/>
    <mergeCell ref="J752:J756"/>
    <mergeCell ref="K752:K756"/>
    <mergeCell ref="L752:L756"/>
    <mergeCell ref="M752:M756"/>
    <mergeCell ref="N752:N756"/>
    <mergeCell ref="O752:O756"/>
    <mergeCell ref="P752:P756"/>
    <mergeCell ref="Q752:Q756"/>
    <mergeCell ref="R752:R756"/>
    <mergeCell ref="S752:S756"/>
    <mergeCell ref="BA752:BA756"/>
    <mergeCell ref="BF752:BF756"/>
    <mergeCell ref="T747:T751"/>
    <mergeCell ref="U747:U751"/>
    <mergeCell ref="V747:V751"/>
    <mergeCell ref="W747:W751"/>
    <mergeCell ref="AZ752:AZ756"/>
    <mergeCell ref="X747:X751"/>
    <mergeCell ref="Y747:Y751"/>
    <mergeCell ref="AX747:AX751"/>
    <mergeCell ref="AY747:AY751"/>
    <mergeCell ref="AZ747:AZ751"/>
    <mergeCell ref="C747:C751"/>
    <mergeCell ref="D747:D751"/>
    <mergeCell ref="A757:A806"/>
    <mergeCell ref="B757:B806"/>
    <mergeCell ref="C757:C761"/>
    <mergeCell ref="D757:D761"/>
    <mergeCell ref="E757:E761"/>
    <mergeCell ref="F757:F761"/>
    <mergeCell ref="G757:G761"/>
    <mergeCell ref="H757:H761"/>
    <mergeCell ref="I757:I761"/>
    <mergeCell ref="J757:J761"/>
    <mergeCell ref="K757:K761"/>
    <mergeCell ref="L757:L761"/>
    <mergeCell ref="M757:M761"/>
    <mergeCell ref="N757:N761"/>
    <mergeCell ref="O757:O761"/>
    <mergeCell ref="L772:L776"/>
    <mergeCell ref="M772:M776"/>
    <mergeCell ref="N772:N776"/>
    <mergeCell ref="O772:O776"/>
    <mergeCell ref="C777:C781"/>
    <mergeCell ref="D777:D781"/>
    <mergeCell ref="E777:E781"/>
    <mergeCell ref="F777:F781"/>
    <mergeCell ref="G777:G781"/>
    <mergeCell ref="H777:H781"/>
    <mergeCell ref="I777:I781"/>
    <mergeCell ref="J777:J781"/>
    <mergeCell ref="K777:K781"/>
    <mergeCell ref="C772:C776"/>
    <mergeCell ref="D772:D776"/>
    <mergeCell ref="P757:P761"/>
    <mergeCell ref="Q757:Q761"/>
    <mergeCell ref="C762:C766"/>
    <mergeCell ref="D762:D766"/>
    <mergeCell ref="E762:E766"/>
    <mergeCell ref="F762:F766"/>
    <mergeCell ref="G762:G766"/>
    <mergeCell ref="H762:H766"/>
    <mergeCell ref="I762:I766"/>
    <mergeCell ref="J762:J766"/>
    <mergeCell ref="K762:K766"/>
    <mergeCell ref="L762:L766"/>
    <mergeCell ref="M762:M766"/>
    <mergeCell ref="N762:N766"/>
    <mergeCell ref="O762:O766"/>
    <mergeCell ref="P762:P766"/>
    <mergeCell ref="Q762:Q766"/>
    <mergeCell ref="R757:R761"/>
    <mergeCell ref="S757:S761"/>
    <mergeCell ref="T757:T761"/>
    <mergeCell ref="U757:U761"/>
    <mergeCell ref="V757:V761"/>
    <mergeCell ref="T752:T756"/>
    <mergeCell ref="U752:U756"/>
    <mergeCell ref="V752:V756"/>
    <mergeCell ref="W752:W756"/>
    <mergeCell ref="X752:X756"/>
    <mergeCell ref="Y752:Y756"/>
    <mergeCell ref="AX752:AX756"/>
    <mergeCell ref="AY752:AY756"/>
    <mergeCell ref="BG757:BG806"/>
    <mergeCell ref="BF762:BF766"/>
    <mergeCell ref="BF767:BF771"/>
    <mergeCell ref="BF772:BF776"/>
    <mergeCell ref="BF777:BF781"/>
    <mergeCell ref="BF782:BF786"/>
    <mergeCell ref="BF787:BF791"/>
    <mergeCell ref="BF792:BF796"/>
    <mergeCell ref="BF797:BF801"/>
    <mergeCell ref="BF802:BF806"/>
    <mergeCell ref="W757:W761"/>
    <mergeCell ref="X757:X761"/>
    <mergeCell ref="Y757:Y761"/>
    <mergeCell ref="Z757:Z806"/>
    <mergeCell ref="AA757:AA806"/>
    <mergeCell ref="AB757:AB806"/>
    <mergeCell ref="AC757:AC806"/>
    <mergeCell ref="AD757:AD806"/>
    <mergeCell ref="AX757:AX761"/>
    <mergeCell ref="AY757:AY761"/>
    <mergeCell ref="AZ757:AZ761"/>
    <mergeCell ref="BA757:BA761"/>
    <mergeCell ref="BB757:BB806"/>
    <mergeCell ref="BC757:BC806"/>
    <mergeCell ref="BD757:BD806"/>
    <mergeCell ref="BE757:BE806"/>
    <mergeCell ref="BF757:BF761"/>
    <mergeCell ref="U762:U766"/>
    <mergeCell ref="V762:V766"/>
    <mergeCell ref="W762:W766"/>
    <mergeCell ref="X762:X766"/>
    <mergeCell ref="Y762:Y766"/>
    <mergeCell ref="AX762:AX766"/>
    <mergeCell ref="AY762:AY766"/>
    <mergeCell ref="AZ762:AZ766"/>
    <mergeCell ref="BA762:BA766"/>
    <mergeCell ref="BA772:BA776"/>
    <mergeCell ref="BA782:BA786"/>
    <mergeCell ref="BA792:BA796"/>
    <mergeCell ref="BA802:BA806"/>
    <mergeCell ref="U772:U776"/>
    <mergeCell ref="V772:V776"/>
    <mergeCell ref="W772:W776"/>
    <mergeCell ref="X772:X776"/>
    <mergeCell ref="Y772:Y776"/>
    <mergeCell ref="AX772:AX776"/>
    <mergeCell ref="AY772:AY776"/>
    <mergeCell ref="AZ772:AZ776"/>
    <mergeCell ref="U782:U786"/>
    <mergeCell ref="V782:V786"/>
    <mergeCell ref="W782:W786"/>
    <mergeCell ref="R762:R766"/>
    <mergeCell ref="S762:S766"/>
    <mergeCell ref="T762:T766"/>
    <mergeCell ref="BA767:BA771"/>
    <mergeCell ref="L767:L771"/>
    <mergeCell ref="M767:M771"/>
    <mergeCell ref="N767:N771"/>
    <mergeCell ref="O767:O771"/>
    <mergeCell ref="P767:P771"/>
    <mergeCell ref="Q767:Q771"/>
    <mergeCell ref="R767:R771"/>
    <mergeCell ref="S767:S771"/>
    <mergeCell ref="T767:T771"/>
    <mergeCell ref="C767:C771"/>
    <mergeCell ref="D767:D771"/>
    <mergeCell ref="E767:E771"/>
    <mergeCell ref="F767:F771"/>
    <mergeCell ref="G767:G771"/>
    <mergeCell ref="H767:H771"/>
    <mergeCell ref="I767:I771"/>
    <mergeCell ref="J767:J771"/>
    <mergeCell ref="K767:K771"/>
    <mergeCell ref="U767:U771"/>
    <mergeCell ref="V767:V771"/>
    <mergeCell ref="W767:W771"/>
    <mergeCell ref="X767:X771"/>
    <mergeCell ref="Y767:Y771"/>
    <mergeCell ref="AX767:AX771"/>
    <mergeCell ref="AY767:AY771"/>
    <mergeCell ref="AZ767:AZ771"/>
    <mergeCell ref="BA777:BA781"/>
    <mergeCell ref="L777:L781"/>
    <mergeCell ref="M777:M781"/>
    <mergeCell ref="N777:N781"/>
    <mergeCell ref="O777:O781"/>
    <mergeCell ref="P777:P781"/>
    <mergeCell ref="Q777:Q781"/>
    <mergeCell ref="R777:R781"/>
    <mergeCell ref="S777:S781"/>
    <mergeCell ref="T777:T781"/>
    <mergeCell ref="U777:U781"/>
    <mergeCell ref="V777:V781"/>
    <mergeCell ref="W777:W781"/>
    <mergeCell ref="X777:X781"/>
    <mergeCell ref="Y777:Y781"/>
    <mergeCell ref="AX777:AX781"/>
    <mergeCell ref="AY777:AY781"/>
    <mergeCell ref="AZ777:AZ781"/>
    <mergeCell ref="E772:E776"/>
    <mergeCell ref="F772:F776"/>
    <mergeCell ref="G772:G776"/>
    <mergeCell ref="H772:H776"/>
    <mergeCell ref="I772:I776"/>
    <mergeCell ref="J772:J776"/>
    <mergeCell ref="K772:K776"/>
    <mergeCell ref="X782:X786"/>
    <mergeCell ref="Y782:Y786"/>
    <mergeCell ref="AX782:AX786"/>
    <mergeCell ref="AY782:AY786"/>
    <mergeCell ref="AZ782:AZ786"/>
    <mergeCell ref="L782:L786"/>
    <mergeCell ref="M782:M786"/>
    <mergeCell ref="N782:N786"/>
    <mergeCell ref="O782:O786"/>
    <mergeCell ref="P782:P786"/>
    <mergeCell ref="Q782:Q786"/>
    <mergeCell ref="R782:R786"/>
    <mergeCell ref="S782:S786"/>
    <mergeCell ref="T782:T786"/>
    <mergeCell ref="P772:P776"/>
    <mergeCell ref="Q772:Q776"/>
    <mergeCell ref="R772:R776"/>
    <mergeCell ref="S772:S776"/>
    <mergeCell ref="T772:T776"/>
    <mergeCell ref="BA787:BA791"/>
    <mergeCell ref="L787:L791"/>
    <mergeCell ref="M787:M791"/>
    <mergeCell ref="N787:N791"/>
    <mergeCell ref="O787:O791"/>
    <mergeCell ref="P787:P791"/>
    <mergeCell ref="Q787:Q791"/>
    <mergeCell ref="R787:R791"/>
    <mergeCell ref="S787:S791"/>
    <mergeCell ref="T787:T791"/>
    <mergeCell ref="U787:U791"/>
    <mergeCell ref="V787:V791"/>
    <mergeCell ref="W787:W791"/>
    <mergeCell ref="X787:X791"/>
    <mergeCell ref="Y787:Y791"/>
    <mergeCell ref="AX787:AX791"/>
    <mergeCell ref="AY787:AY791"/>
    <mergeCell ref="AZ787:AZ791"/>
    <mergeCell ref="C787:C791"/>
    <mergeCell ref="D787:D791"/>
    <mergeCell ref="E787:E791"/>
    <mergeCell ref="F787:F791"/>
    <mergeCell ref="G787:G791"/>
    <mergeCell ref="H787:H791"/>
    <mergeCell ref="I787:I791"/>
    <mergeCell ref="J787:J791"/>
    <mergeCell ref="K787:K791"/>
    <mergeCell ref="C782:C786"/>
    <mergeCell ref="D782:D786"/>
    <mergeCell ref="E782:E786"/>
    <mergeCell ref="F782:F786"/>
    <mergeCell ref="G782:G786"/>
    <mergeCell ref="H782:H786"/>
    <mergeCell ref="I782:I786"/>
    <mergeCell ref="J782:J786"/>
    <mergeCell ref="K782:K786"/>
    <mergeCell ref="U792:U796"/>
    <mergeCell ref="V792:V796"/>
    <mergeCell ref="W792:W796"/>
    <mergeCell ref="X792:X796"/>
    <mergeCell ref="Y792:Y796"/>
    <mergeCell ref="AX792:AX796"/>
    <mergeCell ref="AY792:AY796"/>
    <mergeCell ref="AZ792:AZ796"/>
    <mergeCell ref="L792:L796"/>
    <mergeCell ref="M792:M796"/>
    <mergeCell ref="N792:N796"/>
    <mergeCell ref="O792:O796"/>
    <mergeCell ref="P792:P796"/>
    <mergeCell ref="Q792:Q796"/>
    <mergeCell ref="R792:R796"/>
    <mergeCell ref="S792:S796"/>
    <mergeCell ref="T792:T796"/>
    <mergeCell ref="BA797:BA801"/>
    <mergeCell ref="L797:L801"/>
    <mergeCell ref="M797:M801"/>
    <mergeCell ref="N797:N801"/>
    <mergeCell ref="O797:O801"/>
    <mergeCell ref="P797:P801"/>
    <mergeCell ref="Q797:Q801"/>
    <mergeCell ref="R797:R801"/>
    <mergeCell ref="S797:S801"/>
    <mergeCell ref="T797:T801"/>
    <mergeCell ref="C797:C801"/>
    <mergeCell ref="D797:D801"/>
    <mergeCell ref="E797:E801"/>
    <mergeCell ref="F797:F801"/>
    <mergeCell ref="G797:G801"/>
    <mergeCell ref="H797:H801"/>
    <mergeCell ref="I797:I801"/>
    <mergeCell ref="J797:J801"/>
    <mergeCell ref="K797:K801"/>
    <mergeCell ref="U797:U801"/>
    <mergeCell ref="V797:V801"/>
    <mergeCell ref="W797:W801"/>
    <mergeCell ref="X797:X801"/>
    <mergeCell ref="Y797:Y801"/>
    <mergeCell ref="AX797:AX801"/>
    <mergeCell ref="AY797:AY801"/>
    <mergeCell ref="AZ797:AZ801"/>
    <mergeCell ref="C792:C796"/>
    <mergeCell ref="D792:D796"/>
    <mergeCell ref="E792:E796"/>
    <mergeCell ref="F792:F796"/>
    <mergeCell ref="G792:G796"/>
    <mergeCell ref="H792:H796"/>
    <mergeCell ref="I792:I796"/>
    <mergeCell ref="J792:J796"/>
    <mergeCell ref="K792:K796"/>
    <mergeCell ref="C802:C806"/>
    <mergeCell ref="D802:D806"/>
    <mergeCell ref="E802:E806"/>
    <mergeCell ref="F802:F806"/>
    <mergeCell ref="G802:G806"/>
    <mergeCell ref="H802:H806"/>
    <mergeCell ref="I802:I806"/>
    <mergeCell ref="J802:J806"/>
    <mergeCell ref="K802:K806"/>
    <mergeCell ref="U802:U806"/>
    <mergeCell ref="V802:V806"/>
    <mergeCell ref="W802:W806"/>
    <mergeCell ref="X802:X806"/>
    <mergeCell ref="Y802:Y806"/>
    <mergeCell ref="AX802:AX806"/>
    <mergeCell ref="AY802:AY806"/>
    <mergeCell ref="AZ802:AZ806"/>
    <mergeCell ref="L802:L806"/>
    <mergeCell ref="M802:M806"/>
    <mergeCell ref="N802:N806"/>
    <mergeCell ref="O802:O806"/>
    <mergeCell ref="P802:P806"/>
    <mergeCell ref="Q802:Q806"/>
    <mergeCell ref="R802:R806"/>
    <mergeCell ref="S802:S806"/>
    <mergeCell ref="T802:T806"/>
    <mergeCell ref="J807:J811"/>
    <mergeCell ref="K807:K811"/>
    <mergeCell ref="L807:L811"/>
    <mergeCell ref="M807:M811"/>
    <mergeCell ref="N807:N811"/>
    <mergeCell ref="O807:O811"/>
    <mergeCell ref="P807:P811"/>
    <mergeCell ref="Q807:Q811"/>
    <mergeCell ref="R807:R811"/>
    <mergeCell ref="A807:A856"/>
    <mergeCell ref="B807:B856"/>
    <mergeCell ref="C807:C811"/>
    <mergeCell ref="D807:D811"/>
    <mergeCell ref="E807:E811"/>
    <mergeCell ref="F807:F811"/>
    <mergeCell ref="G807:G811"/>
    <mergeCell ref="H807:H811"/>
    <mergeCell ref="I807:I811"/>
    <mergeCell ref="C832:C836"/>
    <mergeCell ref="D832:D836"/>
    <mergeCell ref="E832:E836"/>
    <mergeCell ref="F832:F836"/>
    <mergeCell ref="G832:G836"/>
    <mergeCell ref="H832:H836"/>
    <mergeCell ref="I832:I836"/>
    <mergeCell ref="J832:J836"/>
    <mergeCell ref="K832:K836"/>
    <mergeCell ref="L832:L836"/>
    <mergeCell ref="M832:M836"/>
    <mergeCell ref="N832:N836"/>
    <mergeCell ref="O832:O836"/>
    <mergeCell ref="P832:P836"/>
    <mergeCell ref="S807:S811"/>
    <mergeCell ref="T807:T811"/>
    <mergeCell ref="C827:C831"/>
    <mergeCell ref="D827:D831"/>
    <mergeCell ref="E827:E831"/>
    <mergeCell ref="F827:F831"/>
    <mergeCell ref="G827:G831"/>
    <mergeCell ref="H827:H831"/>
    <mergeCell ref="I827:I831"/>
    <mergeCell ref="J827:J831"/>
    <mergeCell ref="K827:K831"/>
    <mergeCell ref="L827:L831"/>
    <mergeCell ref="AX807:AX811"/>
    <mergeCell ref="AY807:AY811"/>
    <mergeCell ref="AZ807:AZ811"/>
    <mergeCell ref="BA807:BA811"/>
    <mergeCell ref="BB807:BB856"/>
    <mergeCell ref="AY822:AY826"/>
    <mergeCell ref="AZ822:AZ826"/>
    <mergeCell ref="BA822:BA826"/>
    <mergeCell ref="Q827:Q831"/>
    <mergeCell ref="R827:R831"/>
    <mergeCell ref="S827:S831"/>
    <mergeCell ref="T827:T831"/>
    <mergeCell ref="U827:U831"/>
    <mergeCell ref="V827:V831"/>
    <mergeCell ref="W827:W831"/>
    <mergeCell ref="X827:X831"/>
    <mergeCell ref="Y827:Y831"/>
    <mergeCell ref="AX827:AX831"/>
    <mergeCell ref="AY827:AY831"/>
    <mergeCell ref="AZ827:AZ831"/>
    <mergeCell ref="X812:X816"/>
    <mergeCell ref="Y812:Y816"/>
    <mergeCell ref="Y832:Y836"/>
    <mergeCell ref="V837:V841"/>
    <mergeCell ref="W837:W841"/>
    <mergeCell ref="X837:X841"/>
    <mergeCell ref="Y837:Y841"/>
    <mergeCell ref="V842:V846"/>
    <mergeCell ref="W842:W846"/>
    <mergeCell ref="X842:X846"/>
    <mergeCell ref="Y842:Y846"/>
    <mergeCell ref="V847:V851"/>
    <mergeCell ref="W847:W851"/>
    <mergeCell ref="X847:X851"/>
    <mergeCell ref="W817:W821"/>
    <mergeCell ref="X817:X821"/>
    <mergeCell ref="Y817:Y821"/>
    <mergeCell ref="X822:X826"/>
    <mergeCell ref="Y822:Y826"/>
    <mergeCell ref="BG807:BG856"/>
    <mergeCell ref="C812:C816"/>
    <mergeCell ref="D812:D816"/>
    <mergeCell ref="E812:E816"/>
    <mergeCell ref="F812:F816"/>
    <mergeCell ref="G812:G816"/>
    <mergeCell ref="H812:H816"/>
    <mergeCell ref="I812:I816"/>
    <mergeCell ref="J812:J816"/>
    <mergeCell ref="K812:K816"/>
    <mergeCell ref="L812:L816"/>
    <mergeCell ref="M812:M816"/>
    <mergeCell ref="N812:N816"/>
    <mergeCell ref="O812:O816"/>
    <mergeCell ref="P812:P816"/>
    <mergeCell ref="Q812:Q816"/>
    <mergeCell ref="R812:R816"/>
    <mergeCell ref="S812:S816"/>
    <mergeCell ref="T812:T816"/>
    <mergeCell ref="U812:U816"/>
    <mergeCell ref="V812:V816"/>
    <mergeCell ref="U822:U826"/>
    <mergeCell ref="V822:V826"/>
    <mergeCell ref="W822:W826"/>
    <mergeCell ref="BC807:BC856"/>
    <mergeCell ref="AX812:AX816"/>
    <mergeCell ref="AY812:AY816"/>
    <mergeCell ref="U807:U811"/>
    <mergeCell ref="V807:V811"/>
    <mergeCell ref="W807:W811"/>
    <mergeCell ref="X807:X811"/>
    <mergeCell ref="Y807:Y811"/>
    <mergeCell ref="BF812:BF816"/>
    <mergeCell ref="C817:C821"/>
    <mergeCell ref="D817:D821"/>
    <mergeCell ref="E817:E821"/>
    <mergeCell ref="F817:F821"/>
    <mergeCell ref="G817:G821"/>
    <mergeCell ref="H817:H821"/>
    <mergeCell ref="I817:I821"/>
    <mergeCell ref="J817:J821"/>
    <mergeCell ref="K817:K821"/>
    <mergeCell ref="L817:L821"/>
    <mergeCell ref="M817:M821"/>
    <mergeCell ref="N817:N821"/>
    <mergeCell ref="O817:O821"/>
    <mergeCell ref="P817:P821"/>
    <mergeCell ref="Q817:Q821"/>
    <mergeCell ref="R817:R821"/>
    <mergeCell ref="S817:S821"/>
    <mergeCell ref="T817:T821"/>
    <mergeCell ref="U817:U821"/>
    <mergeCell ref="V817:V821"/>
    <mergeCell ref="BD807:BD856"/>
    <mergeCell ref="BE807:BE856"/>
    <mergeCell ref="BF807:BF811"/>
    <mergeCell ref="AZ812:AZ816"/>
    <mergeCell ref="BA812:BA816"/>
    <mergeCell ref="AX817:AX821"/>
    <mergeCell ref="AY817:AY821"/>
    <mergeCell ref="AZ817:AZ821"/>
    <mergeCell ref="Z807:Z856"/>
    <mergeCell ref="AA807:AA856"/>
    <mergeCell ref="W812:W816"/>
    <mergeCell ref="BF817:BF821"/>
    <mergeCell ref="C822:C826"/>
    <mergeCell ref="D822:D826"/>
    <mergeCell ref="E822:E826"/>
    <mergeCell ref="F822:F826"/>
    <mergeCell ref="G822:G826"/>
    <mergeCell ref="H822:H826"/>
    <mergeCell ref="I822:I826"/>
    <mergeCell ref="J822:J826"/>
    <mergeCell ref="K822:K826"/>
    <mergeCell ref="L822:L826"/>
    <mergeCell ref="M822:M826"/>
    <mergeCell ref="N822:N826"/>
    <mergeCell ref="O822:O826"/>
    <mergeCell ref="P822:P826"/>
    <mergeCell ref="Q822:Q826"/>
    <mergeCell ref="R822:R826"/>
    <mergeCell ref="S822:S826"/>
    <mergeCell ref="T822:T826"/>
    <mergeCell ref="BF822:BF826"/>
    <mergeCell ref="BA817:BA821"/>
    <mergeCell ref="AX822:AX826"/>
    <mergeCell ref="Q832:Q836"/>
    <mergeCell ref="R832:R836"/>
    <mergeCell ref="S832:S836"/>
    <mergeCell ref="T832:T836"/>
    <mergeCell ref="U832:U836"/>
    <mergeCell ref="V832:V836"/>
    <mergeCell ref="W832:W836"/>
    <mergeCell ref="X832:X836"/>
    <mergeCell ref="AX832:AX836"/>
    <mergeCell ref="AY832:AY836"/>
    <mergeCell ref="AZ832:AZ836"/>
    <mergeCell ref="BA832:BA836"/>
    <mergeCell ref="BF832:BF836"/>
    <mergeCell ref="M827:M831"/>
    <mergeCell ref="N827:N831"/>
    <mergeCell ref="O827:O831"/>
    <mergeCell ref="P827:P831"/>
    <mergeCell ref="BA827:BA831"/>
    <mergeCell ref="BF827:BF831"/>
    <mergeCell ref="AZ837:AZ841"/>
    <mergeCell ref="BA837:BA841"/>
    <mergeCell ref="BF837:BF841"/>
    <mergeCell ref="C842:C846"/>
    <mergeCell ref="D842:D846"/>
    <mergeCell ref="E842:E846"/>
    <mergeCell ref="F842:F846"/>
    <mergeCell ref="G842:G846"/>
    <mergeCell ref="H842:H846"/>
    <mergeCell ref="I842:I846"/>
    <mergeCell ref="J842:J846"/>
    <mergeCell ref="K842:K846"/>
    <mergeCell ref="L842:L846"/>
    <mergeCell ref="M842:M846"/>
    <mergeCell ref="N842:N846"/>
    <mergeCell ref="O842:O846"/>
    <mergeCell ref="P842:P846"/>
    <mergeCell ref="Q842:Q846"/>
    <mergeCell ref="R842:R846"/>
    <mergeCell ref="S842:S846"/>
    <mergeCell ref="T842:T846"/>
    <mergeCell ref="U842:U846"/>
    <mergeCell ref="AX842:AX846"/>
    <mergeCell ref="AY842:AY846"/>
    <mergeCell ref="AZ842:AZ846"/>
    <mergeCell ref="BA842:BA846"/>
    <mergeCell ref="BF842:BF846"/>
    <mergeCell ref="C837:C841"/>
    <mergeCell ref="D837:D841"/>
    <mergeCell ref="E837:E841"/>
    <mergeCell ref="F837:F841"/>
    <mergeCell ref="G837:G841"/>
    <mergeCell ref="G847:G851"/>
    <mergeCell ref="H847:H851"/>
    <mergeCell ref="I847:I851"/>
    <mergeCell ref="J847:J851"/>
    <mergeCell ref="K847:K851"/>
    <mergeCell ref="L847:L851"/>
    <mergeCell ref="M847:M851"/>
    <mergeCell ref="N847:N851"/>
    <mergeCell ref="O847:O851"/>
    <mergeCell ref="P847:P851"/>
    <mergeCell ref="Q847:Q851"/>
    <mergeCell ref="R847:R851"/>
    <mergeCell ref="S847:S851"/>
    <mergeCell ref="T837:T841"/>
    <mergeCell ref="U837:U841"/>
    <mergeCell ref="AX837:AX841"/>
    <mergeCell ref="AY837:AY841"/>
    <mergeCell ref="H837:H841"/>
    <mergeCell ref="I837:I841"/>
    <mergeCell ref="J837:J841"/>
    <mergeCell ref="K837:K841"/>
    <mergeCell ref="L837:L841"/>
    <mergeCell ref="M837:M841"/>
    <mergeCell ref="N837:N841"/>
    <mergeCell ref="O837:O841"/>
    <mergeCell ref="P837:P841"/>
    <mergeCell ref="Q837:Q841"/>
    <mergeCell ref="R837:R841"/>
    <mergeCell ref="S837:S841"/>
    <mergeCell ref="AB807:AB856"/>
    <mergeCell ref="AC807:AC856"/>
    <mergeCell ref="AD807:AD856"/>
    <mergeCell ref="T847:T851"/>
    <mergeCell ref="U847:U851"/>
    <mergeCell ref="BA852:BA856"/>
    <mergeCell ref="Y847:Y851"/>
    <mergeCell ref="AX847:AX851"/>
    <mergeCell ref="AY847:AY851"/>
    <mergeCell ref="AZ847:AZ851"/>
    <mergeCell ref="BA847:BA851"/>
    <mergeCell ref="BF847:BF851"/>
    <mergeCell ref="C852:C856"/>
    <mergeCell ref="D852:D856"/>
    <mergeCell ref="E852:E856"/>
    <mergeCell ref="F852:F856"/>
    <mergeCell ref="G852:G856"/>
    <mergeCell ref="H852:H856"/>
    <mergeCell ref="I852:I856"/>
    <mergeCell ref="J852:J856"/>
    <mergeCell ref="K852:K856"/>
    <mergeCell ref="L852:L856"/>
    <mergeCell ref="M852:M856"/>
    <mergeCell ref="N852:N856"/>
    <mergeCell ref="O852:O856"/>
    <mergeCell ref="P852:P856"/>
    <mergeCell ref="Q852:Q856"/>
    <mergeCell ref="R852:R856"/>
    <mergeCell ref="S852:S856"/>
    <mergeCell ref="T852:T856"/>
    <mergeCell ref="BF852:BF856"/>
    <mergeCell ref="C847:C851"/>
    <mergeCell ref="D847:D851"/>
    <mergeCell ref="E847:E851"/>
    <mergeCell ref="F847:F851"/>
    <mergeCell ref="A857:A906"/>
    <mergeCell ref="B857:B906"/>
    <mergeCell ref="C857:C861"/>
    <mergeCell ref="D857:D861"/>
    <mergeCell ref="E857:E861"/>
    <mergeCell ref="F857:F861"/>
    <mergeCell ref="G857:G861"/>
    <mergeCell ref="H857:H861"/>
    <mergeCell ref="I857:I861"/>
    <mergeCell ref="J857:J861"/>
    <mergeCell ref="K857:K861"/>
    <mergeCell ref="L857:L861"/>
    <mergeCell ref="M857:M861"/>
    <mergeCell ref="N857:N861"/>
    <mergeCell ref="O857:O861"/>
    <mergeCell ref="P857:P861"/>
    <mergeCell ref="Q857:Q861"/>
    <mergeCell ref="F867:F871"/>
    <mergeCell ref="G867:G871"/>
    <mergeCell ref="H867:H871"/>
    <mergeCell ref="I867:I871"/>
    <mergeCell ref="J867:J871"/>
    <mergeCell ref="K867:K871"/>
    <mergeCell ref="L867:L871"/>
    <mergeCell ref="M867:M871"/>
    <mergeCell ref="N867:N871"/>
    <mergeCell ref="O867:O871"/>
    <mergeCell ref="P867:P871"/>
    <mergeCell ref="Q867:Q871"/>
    <mergeCell ref="C877:C881"/>
    <mergeCell ref="D877:D881"/>
    <mergeCell ref="E877:E881"/>
    <mergeCell ref="U852:U856"/>
    <mergeCell ref="V852:V856"/>
    <mergeCell ref="W852:W856"/>
    <mergeCell ref="X852:X856"/>
    <mergeCell ref="Y852:Y856"/>
    <mergeCell ref="AX852:AX856"/>
    <mergeCell ref="AY852:AY856"/>
    <mergeCell ref="AZ852:AZ856"/>
    <mergeCell ref="AX857:AX861"/>
    <mergeCell ref="AY857:AY861"/>
    <mergeCell ref="X867:X871"/>
    <mergeCell ref="Y867:Y871"/>
    <mergeCell ref="AX867:AX871"/>
    <mergeCell ref="AY867:AY871"/>
    <mergeCell ref="R867:R871"/>
    <mergeCell ref="S867:S871"/>
    <mergeCell ref="T867:T871"/>
    <mergeCell ref="U867:U871"/>
    <mergeCell ref="V867:V871"/>
    <mergeCell ref="W867:W871"/>
    <mergeCell ref="S862:S866"/>
    <mergeCell ref="T862:T866"/>
    <mergeCell ref="U862:U866"/>
    <mergeCell ref="V862:V866"/>
    <mergeCell ref="W862:W866"/>
    <mergeCell ref="D867:D871"/>
    <mergeCell ref="E867:E871"/>
    <mergeCell ref="X872:X876"/>
    <mergeCell ref="Y872:Y876"/>
    <mergeCell ref="AY877:AY881"/>
    <mergeCell ref="X882:X886"/>
    <mergeCell ref="Y882:Y886"/>
    <mergeCell ref="AX882:AX886"/>
    <mergeCell ref="AY862:AY866"/>
    <mergeCell ref="AZ857:AZ861"/>
    <mergeCell ref="BA857:BA861"/>
    <mergeCell ref="BB857:BB906"/>
    <mergeCell ref="BC857:BC906"/>
    <mergeCell ref="BD857:BD906"/>
    <mergeCell ref="X862:X866"/>
    <mergeCell ref="Y862:Y866"/>
    <mergeCell ref="AX862:AX866"/>
    <mergeCell ref="AZ867:AZ871"/>
    <mergeCell ref="BA867:BA871"/>
    <mergeCell ref="BA897:BA901"/>
    <mergeCell ref="R857:R861"/>
    <mergeCell ref="S857:S861"/>
    <mergeCell ref="T857:T861"/>
    <mergeCell ref="U857:U861"/>
    <mergeCell ref="V857:V861"/>
    <mergeCell ref="W857:W861"/>
    <mergeCell ref="AZ877:AZ881"/>
    <mergeCell ref="BA877:BA881"/>
    <mergeCell ref="V887:V891"/>
    <mergeCell ref="AY892:AY896"/>
    <mergeCell ref="W887:W891"/>
    <mergeCell ref="X887:X891"/>
    <mergeCell ref="AY872:AY876"/>
    <mergeCell ref="X877:X881"/>
    <mergeCell ref="Y877:Y881"/>
    <mergeCell ref="AX877:AX881"/>
    <mergeCell ref="BG857:BG906"/>
    <mergeCell ref="C862:C866"/>
    <mergeCell ref="D862:D866"/>
    <mergeCell ref="E862:E866"/>
    <mergeCell ref="F862:F866"/>
    <mergeCell ref="G862:G866"/>
    <mergeCell ref="H862:H866"/>
    <mergeCell ref="I862:I866"/>
    <mergeCell ref="J862:J866"/>
    <mergeCell ref="K862:K866"/>
    <mergeCell ref="L862:L866"/>
    <mergeCell ref="M862:M866"/>
    <mergeCell ref="N862:N866"/>
    <mergeCell ref="O862:O866"/>
    <mergeCell ref="P862:P866"/>
    <mergeCell ref="Q862:Q866"/>
    <mergeCell ref="R862:R866"/>
    <mergeCell ref="X857:X861"/>
    <mergeCell ref="Y857:Y861"/>
    <mergeCell ref="Z857:Z906"/>
    <mergeCell ref="AA857:AA906"/>
    <mergeCell ref="AB857:AB906"/>
    <mergeCell ref="AC857:AC906"/>
    <mergeCell ref="AD857:AD906"/>
    <mergeCell ref="AZ862:AZ866"/>
    <mergeCell ref="BA862:BA866"/>
    <mergeCell ref="BF862:BF866"/>
    <mergeCell ref="C867:C871"/>
    <mergeCell ref="F877:F881"/>
    <mergeCell ref="G877:G881"/>
    <mergeCell ref="H877:H881"/>
    <mergeCell ref="I877:I881"/>
    <mergeCell ref="BF867:BF871"/>
    <mergeCell ref="C872:C876"/>
    <mergeCell ref="D872:D876"/>
    <mergeCell ref="E872:E876"/>
    <mergeCell ref="F872:F876"/>
    <mergeCell ref="G872:G876"/>
    <mergeCell ref="H872:H876"/>
    <mergeCell ref="I872:I876"/>
    <mergeCell ref="J872:J876"/>
    <mergeCell ref="K872:K876"/>
    <mergeCell ref="L872:L876"/>
    <mergeCell ref="M872:M876"/>
    <mergeCell ref="N872:N876"/>
    <mergeCell ref="O872:O876"/>
    <mergeCell ref="P872:P876"/>
    <mergeCell ref="Q872:Q876"/>
    <mergeCell ref="R872:R876"/>
    <mergeCell ref="S872:S876"/>
    <mergeCell ref="T872:T876"/>
    <mergeCell ref="U872:U876"/>
    <mergeCell ref="V872:V876"/>
    <mergeCell ref="W872:W876"/>
    <mergeCell ref="AZ872:AZ876"/>
    <mergeCell ref="BA872:BA876"/>
    <mergeCell ref="BF872:BF876"/>
    <mergeCell ref="BE857:BE906"/>
    <mergeCell ref="BF857:BF861"/>
    <mergeCell ref="AX872:AX876"/>
    <mergeCell ref="C882:C886"/>
    <mergeCell ref="D882:D886"/>
    <mergeCell ref="E882:E886"/>
    <mergeCell ref="F882:F886"/>
    <mergeCell ref="G882:G886"/>
    <mergeCell ref="H882:H886"/>
    <mergeCell ref="I882:I886"/>
    <mergeCell ref="J882:J886"/>
    <mergeCell ref="K882:K886"/>
    <mergeCell ref="L882:L886"/>
    <mergeCell ref="M882:M886"/>
    <mergeCell ref="N882:N886"/>
    <mergeCell ref="O882:O886"/>
    <mergeCell ref="P882:P886"/>
    <mergeCell ref="Q882:Q886"/>
    <mergeCell ref="R882:R886"/>
    <mergeCell ref="S882:S886"/>
    <mergeCell ref="W877:W881"/>
    <mergeCell ref="J877:J881"/>
    <mergeCell ref="K877:K881"/>
    <mergeCell ref="L877:L881"/>
    <mergeCell ref="M877:M881"/>
    <mergeCell ref="N877:N881"/>
    <mergeCell ref="O877:O881"/>
    <mergeCell ref="P877:P881"/>
    <mergeCell ref="Q877:Q881"/>
    <mergeCell ref="R877:R881"/>
    <mergeCell ref="S877:S881"/>
    <mergeCell ref="T877:T881"/>
    <mergeCell ref="U877:U881"/>
    <mergeCell ref="V877:V881"/>
    <mergeCell ref="T887:T891"/>
    <mergeCell ref="U887:U891"/>
    <mergeCell ref="BF877:BF881"/>
    <mergeCell ref="T882:T886"/>
    <mergeCell ref="U882:U886"/>
    <mergeCell ref="V882:V886"/>
    <mergeCell ref="W882:W886"/>
    <mergeCell ref="AY882:AY886"/>
    <mergeCell ref="AZ882:AZ886"/>
    <mergeCell ref="BA882:BA886"/>
    <mergeCell ref="BF882:BF886"/>
    <mergeCell ref="Y887:Y891"/>
    <mergeCell ref="AX887:AX891"/>
    <mergeCell ref="AY887:AY891"/>
    <mergeCell ref="AZ887:AZ891"/>
    <mergeCell ref="BA887:BA891"/>
    <mergeCell ref="BF887:BF891"/>
    <mergeCell ref="C887:C891"/>
    <mergeCell ref="S892:S896"/>
    <mergeCell ref="T892:T896"/>
    <mergeCell ref="U892:U896"/>
    <mergeCell ref="V892:V896"/>
    <mergeCell ref="W892:W896"/>
    <mergeCell ref="X892:X896"/>
    <mergeCell ref="Y892:Y896"/>
    <mergeCell ref="AX892:AX896"/>
    <mergeCell ref="D887:D891"/>
    <mergeCell ref="E887:E891"/>
    <mergeCell ref="F887:F891"/>
    <mergeCell ref="G887:G891"/>
    <mergeCell ref="H887:H891"/>
    <mergeCell ref="I887:I891"/>
    <mergeCell ref="J887:J891"/>
    <mergeCell ref="K887:K891"/>
    <mergeCell ref="L887:L891"/>
    <mergeCell ref="M887:M891"/>
    <mergeCell ref="N887:N891"/>
    <mergeCell ref="O887:O891"/>
    <mergeCell ref="P887:P891"/>
    <mergeCell ref="Q887:Q891"/>
    <mergeCell ref="R887:R891"/>
    <mergeCell ref="S887:S891"/>
    <mergeCell ref="C892:C896"/>
    <mergeCell ref="D892:D896"/>
    <mergeCell ref="E892:E896"/>
    <mergeCell ref="F892:F896"/>
    <mergeCell ref="G892:G896"/>
    <mergeCell ref="H892:H896"/>
    <mergeCell ref="I892:I896"/>
    <mergeCell ref="J892:J896"/>
    <mergeCell ref="K892:K896"/>
    <mergeCell ref="L892:L896"/>
    <mergeCell ref="M892:M896"/>
    <mergeCell ref="N892:N896"/>
    <mergeCell ref="O892:O896"/>
    <mergeCell ref="P892:P896"/>
    <mergeCell ref="Q892:Q896"/>
    <mergeCell ref="R892:R896"/>
    <mergeCell ref="AZ892:AZ896"/>
    <mergeCell ref="E897:E901"/>
    <mergeCell ref="F897:F901"/>
    <mergeCell ref="G897:G901"/>
    <mergeCell ref="H897:H901"/>
    <mergeCell ref="I897:I901"/>
    <mergeCell ref="J897:J901"/>
    <mergeCell ref="K897:K901"/>
    <mergeCell ref="L897:L901"/>
    <mergeCell ref="M897:M901"/>
    <mergeCell ref="N897:N901"/>
    <mergeCell ref="O897:O901"/>
    <mergeCell ref="P897:P901"/>
    <mergeCell ref="Q897:Q901"/>
    <mergeCell ref="R897:R901"/>
    <mergeCell ref="S897:S901"/>
    <mergeCell ref="BA892:BA896"/>
    <mergeCell ref="BF892:BF896"/>
    <mergeCell ref="BF897:BF901"/>
    <mergeCell ref="C902:C906"/>
    <mergeCell ref="D902:D906"/>
    <mergeCell ref="E902:E906"/>
    <mergeCell ref="F902:F906"/>
    <mergeCell ref="G902:G906"/>
    <mergeCell ref="H902:H906"/>
    <mergeCell ref="I902:I906"/>
    <mergeCell ref="J902:J906"/>
    <mergeCell ref="K902:K906"/>
    <mergeCell ref="L902:L906"/>
    <mergeCell ref="M902:M906"/>
    <mergeCell ref="N902:N906"/>
    <mergeCell ref="O902:O906"/>
    <mergeCell ref="P902:P906"/>
    <mergeCell ref="Q902:Q906"/>
    <mergeCell ref="R902:R906"/>
    <mergeCell ref="S902:S906"/>
    <mergeCell ref="BA902:BA906"/>
    <mergeCell ref="BF902:BF906"/>
    <mergeCell ref="T897:T901"/>
    <mergeCell ref="U897:U901"/>
    <mergeCell ref="V897:V901"/>
    <mergeCell ref="W897:W901"/>
    <mergeCell ref="AZ902:AZ906"/>
    <mergeCell ref="X897:X901"/>
    <mergeCell ref="Y897:Y901"/>
    <mergeCell ref="AX897:AX901"/>
    <mergeCell ref="AY897:AY901"/>
    <mergeCell ref="AZ897:AZ901"/>
    <mergeCell ref="C897:C901"/>
    <mergeCell ref="D897:D901"/>
    <mergeCell ref="A907:A956"/>
    <mergeCell ref="B907:B956"/>
    <mergeCell ref="C907:C911"/>
    <mergeCell ref="D907:D911"/>
    <mergeCell ref="E907:E911"/>
    <mergeCell ref="F907:F911"/>
    <mergeCell ref="G907:G911"/>
    <mergeCell ref="H907:H911"/>
    <mergeCell ref="I907:I911"/>
    <mergeCell ref="J907:J911"/>
    <mergeCell ref="K907:K911"/>
    <mergeCell ref="L907:L911"/>
    <mergeCell ref="M907:M911"/>
    <mergeCell ref="N907:N911"/>
    <mergeCell ref="O907:O911"/>
    <mergeCell ref="L922:L926"/>
    <mergeCell ref="M922:M926"/>
    <mergeCell ref="N922:N926"/>
    <mergeCell ref="O922:O926"/>
    <mergeCell ref="C927:C931"/>
    <mergeCell ref="D927:D931"/>
    <mergeCell ref="E927:E931"/>
    <mergeCell ref="F927:F931"/>
    <mergeCell ref="G927:G931"/>
    <mergeCell ref="H927:H931"/>
    <mergeCell ref="I927:I931"/>
    <mergeCell ref="J927:J931"/>
    <mergeCell ref="K927:K931"/>
    <mergeCell ref="C922:C926"/>
    <mergeCell ref="D922:D926"/>
    <mergeCell ref="P907:P911"/>
    <mergeCell ref="Q907:Q911"/>
    <mergeCell ref="C912:C916"/>
    <mergeCell ref="D912:D916"/>
    <mergeCell ref="E912:E916"/>
    <mergeCell ref="F912:F916"/>
    <mergeCell ref="G912:G916"/>
    <mergeCell ref="H912:H916"/>
    <mergeCell ref="I912:I916"/>
    <mergeCell ref="J912:J916"/>
    <mergeCell ref="K912:K916"/>
    <mergeCell ref="L912:L916"/>
    <mergeCell ref="M912:M916"/>
    <mergeCell ref="N912:N916"/>
    <mergeCell ref="O912:O916"/>
    <mergeCell ref="P912:P916"/>
    <mergeCell ref="Q912:Q916"/>
    <mergeCell ref="R907:R911"/>
    <mergeCell ref="S907:S911"/>
    <mergeCell ref="T907:T911"/>
    <mergeCell ref="U907:U911"/>
    <mergeCell ref="V907:V911"/>
    <mergeCell ref="T902:T906"/>
    <mergeCell ref="U902:U906"/>
    <mergeCell ref="V902:V906"/>
    <mergeCell ref="W902:W906"/>
    <mergeCell ref="X902:X906"/>
    <mergeCell ref="Y902:Y906"/>
    <mergeCell ref="AX902:AX906"/>
    <mergeCell ref="AY902:AY906"/>
    <mergeCell ref="BG907:BG956"/>
    <mergeCell ref="BF912:BF916"/>
    <mergeCell ref="BF917:BF921"/>
    <mergeCell ref="BF922:BF926"/>
    <mergeCell ref="BF927:BF931"/>
    <mergeCell ref="BF932:BF936"/>
    <mergeCell ref="BF937:BF941"/>
    <mergeCell ref="BF942:BF946"/>
    <mergeCell ref="BF947:BF951"/>
    <mergeCell ref="BF952:BF956"/>
    <mergeCell ref="W907:W911"/>
    <mergeCell ref="X907:X911"/>
    <mergeCell ref="Y907:Y911"/>
    <mergeCell ref="Z907:Z956"/>
    <mergeCell ref="AA907:AA956"/>
    <mergeCell ref="AB907:AB956"/>
    <mergeCell ref="AC907:AC956"/>
    <mergeCell ref="AD907:AD956"/>
    <mergeCell ref="AX907:AX911"/>
    <mergeCell ref="AY907:AY911"/>
    <mergeCell ref="AZ907:AZ911"/>
    <mergeCell ref="BA907:BA911"/>
    <mergeCell ref="BB907:BB956"/>
    <mergeCell ref="BC907:BC956"/>
    <mergeCell ref="BD907:BD956"/>
    <mergeCell ref="BE907:BE956"/>
    <mergeCell ref="BF907:BF911"/>
    <mergeCell ref="U912:U916"/>
    <mergeCell ref="V912:V916"/>
    <mergeCell ref="W912:W916"/>
    <mergeCell ref="X912:X916"/>
    <mergeCell ref="Y912:Y916"/>
    <mergeCell ref="AX912:AX916"/>
    <mergeCell ref="AY912:AY916"/>
    <mergeCell ref="AZ912:AZ916"/>
    <mergeCell ref="BA912:BA916"/>
    <mergeCell ref="BA922:BA926"/>
    <mergeCell ref="BA932:BA936"/>
    <mergeCell ref="BA942:BA946"/>
    <mergeCell ref="BA952:BA956"/>
    <mergeCell ref="U922:U926"/>
    <mergeCell ref="V922:V926"/>
    <mergeCell ref="W922:W926"/>
    <mergeCell ref="X922:X926"/>
    <mergeCell ref="Y922:Y926"/>
    <mergeCell ref="AX922:AX926"/>
    <mergeCell ref="AY922:AY926"/>
    <mergeCell ref="AZ922:AZ926"/>
    <mergeCell ref="U932:U936"/>
    <mergeCell ref="V932:V936"/>
    <mergeCell ref="W932:W936"/>
    <mergeCell ref="R912:R916"/>
    <mergeCell ref="S912:S916"/>
    <mergeCell ref="T912:T916"/>
    <mergeCell ref="BA917:BA921"/>
    <mergeCell ref="L917:L921"/>
    <mergeCell ref="M917:M921"/>
    <mergeCell ref="N917:N921"/>
    <mergeCell ref="O917:O921"/>
    <mergeCell ref="P917:P921"/>
    <mergeCell ref="Q917:Q921"/>
    <mergeCell ref="R917:R921"/>
    <mergeCell ref="S917:S921"/>
    <mergeCell ref="T917:T921"/>
    <mergeCell ref="C917:C921"/>
    <mergeCell ref="D917:D921"/>
    <mergeCell ref="E917:E921"/>
    <mergeCell ref="F917:F921"/>
    <mergeCell ref="G917:G921"/>
    <mergeCell ref="H917:H921"/>
    <mergeCell ref="I917:I921"/>
    <mergeCell ref="J917:J921"/>
    <mergeCell ref="K917:K921"/>
    <mergeCell ref="U917:U921"/>
    <mergeCell ref="V917:V921"/>
    <mergeCell ref="W917:W921"/>
    <mergeCell ref="X917:X921"/>
    <mergeCell ref="Y917:Y921"/>
    <mergeCell ref="AX917:AX921"/>
    <mergeCell ref="AY917:AY921"/>
    <mergeCell ref="AZ917:AZ921"/>
    <mergeCell ref="BA927:BA931"/>
    <mergeCell ref="L927:L931"/>
    <mergeCell ref="M927:M931"/>
    <mergeCell ref="N927:N931"/>
    <mergeCell ref="O927:O931"/>
    <mergeCell ref="P927:P931"/>
    <mergeCell ref="Q927:Q931"/>
    <mergeCell ref="R927:R931"/>
    <mergeCell ref="S927:S931"/>
    <mergeCell ref="T927:T931"/>
    <mergeCell ref="U927:U931"/>
    <mergeCell ref="V927:V931"/>
    <mergeCell ref="W927:W931"/>
    <mergeCell ref="X927:X931"/>
    <mergeCell ref="Y927:Y931"/>
    <mergeCell ref="AX927:AX931"/>
    <mergeCell ref="AY927:AY931"/>
    <mergeCell ref="AZ927:AZ931"/>
    <mergeCell ref="E922:E926"/>
    <mergeCell ref="F922:F926"/>
    <mergeCell ref="G922:G926"/>
    <mergeCell ref="H922:H926"/>
    <mergeCell ref="I922:I926"/>
    <mergeCell ref="J922:J926"/>
    <mergeCell ref="K922:K926"/>
    <mergeCell ref="X932:X936"/>
    <mergeCell ref="Y932:Y936"/>
    <mergeCell ref="AX932:AX936"/>
    <mergeCell ref="AY932:AY936"/>
    <mergeCell ref="AZ932:AZ936"/>
    <mergeCell ref="L932:L936"/>
    <mergeCell ref="M932:M936"/>
    <mergeCell ref="N932:N936"/>
    <mergeCell ref="O932:O936"/>
    <mergeCell ref="P932:P936"/>
    <mergeCell ref="Q932:Q936"/>
    <mergeCell ref="R932:R936"/>
    <mergeCell ref="S932:S936"/>
    <mergeCell ref="T932:T936"/>
    <mergeCell ref="P922:P926"/>
    <mergeCell ref="Q922:Q926"/>
    <mergeCell ref="R922:R926"/>
    <mergeCell ref="S922:S926"/>
    <mergeCell ref="T922:T926"/>
    <mergeCell ref="C932:C936"/>
    <mergeCell ref="D932:D936"/>
    <mergeCell ref="E932:E936"/>
    <mergeCell ref="F932:F936"/>
    <mergeCell ref="G932:G936"/>
    <mergeCell ref="H932:H936"/>
    <mergeCell ref="I932:I936"/>
    <mergeCell ref="J932:J936"/>
    <mergeCell ref="K932:K936"/>
    <mergeCell ref="BA937:BA941"/>
    <mergeCell ref="L937:L941"/>
    <mergeCell ref="M937:M941"/>
    <mergeCell ref="N937:N941"/>
    <mergeCell ref="O937:O941"/>
    <mergeCell ref="P937:P941"/>
    <mergeCell ref="Q937:Q941"/>
    <mergeCell ref="R937:R941"/>
    <mergeCell ref="S937:S941"/>
    <mergeCell ref="T937:T941"/>
    <mergeCell ref="U937:U941"/>
    <mergeCell ref="V937:V941"/>
    <mergeCell ref="W937:W941"/>
    <mergeCell ref="X937:X941"/>
    <mergeCell ref="Y937:Y941"/>
    <mergeCell ref="AX937:AX941"/>
    <mergeCell ref="AY937:AY941"/>
    <mergeCell ref="AZ937:AZ941"/>
    <mergeCell ref="V942:V946"/>
    <mergeCell ref="W942:W946"/>
    <mergeCell ref="X942:X946"/>
    <mergeCell ref="Y942:Y946"/>
    <mergeCell ref="AX942:AX946"/>
    <mergeCell ref="AY942:AY946"/>
    <mergeCell ref="AZ942:AZ946"/>
    <mergeCell ref="L942:L946"/>
    <mergeCell ref="M942:M946"/>
    <mergeCell ref="N942:N946"/>
    <mergeCell ref="O942:O946"/>
    <mergeCell ref="P942:P946"/>
    <mergeCell ref="Q942:Q946"/>
    <mergeCell ref="R942:R946"/>
    <mergeCell ref="S942:S946"/>
    <mergeCell ref="T942:T946"/>
    <mergeCell ref="C937:C941"/>
    <mergeCell ref="D937:D941"/>
    <mergeCell ref="E937:E941"/>
    <mergeCell ref="F937:F941"/>
    <mergeCell ref="G937:G941"/>
    <mergeCell ref="H937:H941"/>
    <mergeCell ref="I937:I941"/>
    <mergeCell ref="J937:J941"/>
    <mergeCell ref="K937:K941"/>
    <mergeCell ref="BA947:BA951"/>
    <mergeCell ref="L947:L951"/>
    <mergeCell ref="M947:M951"/>
    <mergeCell ref="N947:N951"/>
    <mergeCell ref="O947:O951"/>
    <mergeCell ref="P947:P951"/>
    <mergeCell ref="Q947:Q951"/>
    <mergeCell ref="R947:R951"/>
    <mergeCell ref="S947:S951"/>
    <mergeCell ref="T947:T951"/>
    <mergeCell ref="C947:C951"/>
    <mergeCell ref="D947:D951"/>
    <mergeCell ref="E947:E951"/>
    <mergeCell ref="F947:F951"/>
    <mergeCell ref="G947:G951"/>
    <mergeCell ref="H947:H951"/>
    <mergeCell ref="I947:I951"/>
    <mergeCell ref="J947:J951"/>
    <mergeCell ref="K947:K951"/>
    <mergeCell ref="U947:U951"/>
    <mergeCell ref="V947:V951"/>
    <mergeCell ref="W947:W951"/>
    <mergeCell ref="X947:X951"/>
    <mergeCell ref="Y947:Y951"/>
    <mergeCell ref="AX947:AX951"/>
    <mergeCell ref="AY947:AY951"/>
    <mergeCell ref="AZ947:AZ951"/>
    <mergeCell ref="Y952:Y956"/>
    <mergeCell ref="AX952:AX956"/>
    <mergeCell ref="AY952:AY956"/>
    <mergeCell ref="AZ952:AZ956"/>
    <mergeCell ref="L952:L956"/>
    <mergeCell ref="M952:M956"/>
    <mergeCell ref="N952:N956"/>
    <mergeCell ref="O952:O956"/>
    <mergeCell ref="P952:P956"/>
    <mergeCell ref="Q952:Q956"/>
    <mergeCell ref="R952:R956"/>
    <mergeCell ref="S952:S956"/>
    <mergeCell ref="T952:T956"/>
    <mergeCell ref="C942:C946"/>
    <mergeCell ref="D942:D946"/>
    <mergeCell ref="E942:E946"/>
    <mergeCell ref="F942:F946"/>
    <mergeCell ref="G942:G946"/>
    <mergeCell ref="H942:H946"/>
    <mergeCell ref="I942:I946"/>
    <mergeCell ref="J942:J946"/>
    <mergeCell ref="K942:K946"/>
    <mergeCell ref="C952:C956"/>
    <mergeCell ref="D952:D956"/>
    <mergeCell ref="E952:E956"/>
    <mergeCell ref="F952:F956"/>
    <mergeCell ref="G952:G956"/>
    <mergeCell ref="H952:H956"/>
    <mergeCell ref="I952:I956"/>
    <mergeCell ref="J952:J956"/>
    <mergeCell ref="K952:K956"/>
    <mergeCell ref="U942:U946"/>
    <mergeCell ref="S992:S996"/>
    <mergeCell ref="T992:T996"/>
    <mergeCell ref="U992:U996"/>
    <mergeCell ref="U952:U956"/>
    <mergeCell ref="V952:V956"/>
    <mergeCell ref="W952:W956"/>
    <mergeCell ref="X952:X956"/>
    <mergeCell ref="K957:K961"/>
    <mergeCell ref="L957:L961"/>
    <mergeCell ref="M957:M961"/>
    <mergeCell ref="N957:N961"/>
    <mergeCell ref="O957:O961"/>
    <mergeCell ref="P957:P961"/>
    <mergeCell ref="Q957:Q961"/>
    <mergeCell ref="R957:R961"/>
    <mergeCell ref="W962:W966"/>
    <mergeCell ref="X962:X966"/>
    <mergeCell ref="X977:X981"/>
    <mergeCell ref="R977:R981"/>
    <mergeCell ref="S977:S981"/>
    <mergeCell ref="T977:T981"/>
    <mergeCell ref="U977:U981"/>
    <mergeCell ref="K967:K971"/>
    <mergeCell ref="L967:L971"/>
    <mergeCell ref="M967:M971"/>
    <mergeCell ref="N967:N971"/>
    <mergeCell ref="R967:R971"/>
    <mergeCell ref="S967:S971"/>
    <mergeCell ref="T967:T971"/>
    <mergeCell ref="U967:U971"/>
    <mergeCell ref="V967:V971"/>
    <mergeCell ref="I992:I996"/>
    <mergeCell ref="J992:J996"/>
    <mergeCell ref="K992:K996"/>
    <mergeCell ref="L992:L996"/>
    <mergeCell ref="E992:E996"/>
    <mergeCell ref="F992:F996"/>
    <mergeCell ref="G992:G996"/>
    <mergeCell ref="H992:H996"/>
    <mergeCell ref="C982:C986"/>
    <mergeCell ref="D982:D986"/>
    <mergeCell ref="E982:E986"/>
    <mergeCell ref="F982:F986"/>
    <mergeCell ref="G982:G986"/>
    <mergeCell ref="M977:M981"/>
    <mergeCell ref="N977:N981"/>
    <mergeCell ref="O977:O981"/>
    <mergeCell ref="P977:P981"/>
    <mergeCell ref="P992:P996"/>
    <mergeCell ref="A957:A1006"/>
    <mergeCell ref="B957:B1006"/>
    <mergeCell ref="C957:C961"/>
    <mergeCell ref="D957:D961"/>
    <mergeCell ref="E957:E961"/>
    <mergeCell ref="F957:F961"/>
    <mergeCell ref="G957:G961"/>
    <mergeCell ref="H957:H961"/>
    <mergeCell ref="I957:I961"/>
    <mergeCell ref="G987:G991"/>
    <mergeCell ref="H987:H991"/>
    <mergeCell ref="I987:I991"/>
    <mergeCell ref="J987:J991"/>
    <mergeCell ref="K987:K991"/>
    <mergeCell ref="L987:L991"/>
    <mergeCell ref="M987:M991"/>
    <mergeCell ref="N987:N991"/>
    <mergeCell ref="C992:C996"/>
    <mergeCell ref="H977:H981"/>
    <mergeCell ref="I977:I981"/>
    <mergeCell ref="J977:J981"/>
    <mergeCell ref="K977:K981"/>
    <mergeCell ref="L977:L981"/>
    <mergeCell ref="C987:C991"/>
    <mergeCell ref="D987:D991"/>
    <mergeCell ref="E987:E991"/>
    <mergeCell ref="F987:F991"/>
    <mergeCell ref="C997:C1001"/>
    <mergeCell ref="D997:D1001"/>
    <mergeCell ref="E997:E1001"/>
    <mergeCell ref="F997:F1001"/>
    <mergeCell ref="G997:G1001"/>
    <mergeCell ref="BG957:BG1006"/>
    <mergeCell ref="C962:C966"/>
    <mergeCell ref="D962:D966"/>
    <mergeCell ref="E962:E966"/>
    <mergeCell ref="F962:F966"/>
    <mergeCell ref="G962:G966"/>
    <mergeCell ref="H962:H966"/>
    <mergeCell ref="I962:I966"/>
    <mergeCell ref="J962:J966"/>
    <mergeCell ref="K962:K966"/>
    <mergeCell ref="L962:L966"/>
    <mergeCell ref="M962:M966"/>
    <mergeCell ref="N962:N966"/>
    <mergeCell ref="O962:O966"/>
    <mergeCell ref="P962:P966"/>
    <mergeCell ref="Q962:Q966"/>
    <mergeCell ref="R962:R966"/>
    <mergeCell ref="S962:S966"/>
    <mergeCell ref="S957:S961"/>
    <mergeCell ref="T957:T961"/>
    <mergeCell ref="C977:C981"/>
    <mergeCell ref="U957:U961"/>
    <mergeCell ref="V957:V961"/>
    <mergeCell ref="W957:W961"/>
    <mergeCell ref="X957:X961"/>
    <mergeCell ref="Y957:Y961"/>
    <mergeCell ref="D992:D996"/>
    <mergeCell ref="C967:C971"/>
    <mergeCell ref="D967:D971"/>
    <mergeCell ref="E967:E971"/>
    <mergeCell ref="F967:F971"/>
    <mergeCell ref="G967:G971"/>
    <mergeCell ref="V987:V991"/>
    <mergeCell ref="W987:W991"/>
    <mergeCell ref="X987:X991"/>
    <mergeCell ref="Y987:Y991"/>
    <mergeCell ref="Y977:Y981"/>
    <mergeCell ref="V977:V981"/>
    <mergeCell ref="W977:W981"/>
    <mergeCell ref="S987:S991"/>
    <mergeCell ref="T987:T991"/>
    <mergeCell ref="U987:U991"/>
    <mergeCell ref="X982:X986"/>
    <mergeCell ref="C972:C976"/>
    <mergeCell ref="D972:D976"/>
    <mergeCell ref="E972:E976"/>
    <mergeCell ref="F972:F976"/>
    <mergeCell ref="G972:G976"/>
    <mergeCell ref="H972:H976"/>
    <mergeCell ref="W972:W976"/>
    <mergeCell ref="X972:X976"/>
    <mergeCell ref="Y972:Y976"/>
    <mergeCell ref="K972:K976"/>
    <mergeCell ref="L972:L976"/>
    <mergeCell ref="M972:M976"/>
    <mergeCell ref="N972:N976"/>
    <mergeCell ref="O972:O976"/>
    <mergeCell ref="P972:P976"/>
    <mergeCell ref="Q972:Q976"/>
    <mergeCell ref="Q977:Q981"/>
    <mergeCell ref="BD957:BD1006"/>
    <mergeCell ref="BE957:BE1006"/>
    <mergeCell ref="AZ962:AZ966"/>
    <mergeCell ref="BA962:BA966"/>
    <mergeCell ref="W997:W1001"/>
    <mergeCell ref="AY992:AY996"/>
    <mergeCell ref="BF977:BF981"/>
    <mergeCell ref="T982:T986"/>
    <mergeCell ref="U982:U986"/>
    <mergeCell ref="V982:V986"/>
    <mergeCell ref="BA967:BA971"/>
    <mergeCell ref="AX972:AX976"/>
    <mergeCell ref="AY972:AY976"/>
    <mergeCell ref="AZ972:AZ976"/>
    <mergeCell ref="BA972:BA976"/>
    <mergeCell ref="Z957:Z1006"/>
    <mergeCell ref="AA957:AA1006"/>
    <mergeCell ref="V992:V996"/>
    <mergeCell ref="AZ957:AZ961"/>
    <mergeCell ref="X997:X1001"/>
    <mergeCell ref="Y962:Y966"/>
    <mergeCell ref="T962:T966"/>
    <mergeCell ref="U962:U966"/>
    <mergeCell ref="V962:V966"/>
    <mergeCell ref="W967:W971"/>
    <mergeCell ref="X967:X971"/>
    <mergeCell ref="Y967:Y971"/>
    <mergeCell ref="W982:W986"/>
    <mergeCell ref="W992:W996"/>
    <mergeCell ref="X992:X996"/>
    <mergeCell ref="Y992:Y996"/>
    <mergeCell ref="AX977:AX981"/>
    <mergeCell ref="AY977:AY981"/>
    <mergeCell ref="AZ977:AZ981"/>
    <mergeCell ref="BA977:BA981"/>
    <mergeCell ref="H967:H971"/>
    <mergeCell ref="I967:I971"/>
    <mergeCell ref="J967:J971"/>
    <mergeCell ref="O967:O971"/>
    <mergeCell ref="P967:P971"/>
    <mergeCell ref="Q967:Q971"/>
    <mergeCell ref="H982:H986"/>
    <mergeCell ref="I982:I986"/>
    <mergeCell ref="J982:J986"/>
    <mergeCell ref="K982:K986"/>
    <mergeCell ref="L982:L986"/>
    <mergeCell ref="M982:M986"/>
    <mergeCell ref="N982:N986"/>
    <mergeCell ref="O982:O986"/>
    <mergeCell ref="P982:P986"/>
    <mergeCell ref="Q982:Q986"/>
    <mergeCell ref="R982:R986"/>
    <mergeCell ref="S982:S986"/>
    <mergeCell ref="R972:R976"/>
    <mergeCell ref="I972:I976"/>
    <mergeCell ref="J972:J976"/>
    <mergeCell ref="S972:S976"/>
    <mergeCell ref="T972:T976"/>
    <mergeCell ref="U972:U976"/>
    <mergeCell ref="Y982:Y986"/>
    <mergeCell ref="BF957:BF961"/>
    <mergeCell ref="P997:P1001"/>
    <mergeCell ref="Q997:Q1001"/>
    <mergeCell ref="R997:R1001"/>
    <mergeCell ref="S997:S1001"/>
    <mergeCell ref="T997:T1001"/>
    <mergeCell ref="U997:U1001"/>
    <mergeCell ref="O987:O991"/>
    <mergeCell ref="P987:P991"/>
    <mergeCell ref="Q987:Q991"/>
    <mergeCell ref="R987:R991"/>
    <mergeCell ref="M992:M996"/>
    <mergeCell ref="N992:N996"/>
    <mergeCell ref="O992:O996"/>
    <mergeCell ref="AY1002:AY1006"/>
    <mergeCell ref="AZ1002:AZ1006"/>
    <mergeCell ref="BA1002:BA1006"/>
    <mergeCell ref="Y997:Y1001"/>
    <mergeCell ref="AX997:AX1001"/>
    <mergeCell ref="AY997:AY1001"/>
    <mergeCell ref="AZ997:AZ1001"/>
    <mergeCell ref="BA997:BA1001"/>
    <mergeCell ref="AZ992:AZ996"/>
    <mergeCell ref="BA992:BA996"/>
    <mergeCell ref="AX1002:AX1006"/>
    <mergeCell ref="BA957:BA961"/>
    <mergeCell ref="BB957:BB1006"/>
    <mergeCell ref="BC957:BC1006"/>
    <mergeCell ref="AX962:AX966"/>
    <mergeCell ref="AY962:AY966"/>
    <mergeCell ref="AZ987:AZ991"/>
    <mergeCell ref="BA987:BA991"/>
    <mergeCell ref="S1002:S1006"/>
    <mergeCell ref="BF997:BF1001"/>
    <mergeCell ref="T1002:T1006"/>
    <mergeCell ref="BF1002:BF1006"/>
    <mergeCell ref="U1002:U1006"/>
    <mergeCell ref="V1002:V1006"/>
    <mergeCell ref="W1002:W1006"/>
    <mergeCell ref="V997:V1001"/>
    <mergeCell ref="AY987:AY991"/>
    <mergeCell ref="AB957:AB1006"/>
    <mergeCell ref="AC957:AC1006"/>
    <mergeCell ref="AD957:AD1006"/>
    <mergeCell ref="AX957:AX961"/>
    <mergeCell ref="AY957:AY961"/>
    <mergeCell ref="X1002:X1006"/>
    <mergeCell ref="Y1002:Y1006"/>
    <mergeCell ref="V972:V976"/>
    <mergeCell ref="BF967:BF971"/>
    <mergeCell ref="AX982:AX986"/>
    <mergeCell ref="AY982:AY986"/>
    <mergeCell ref="AZ982:AZ986"/>
    <mergeCell ref="BA982:BA986"/>
    <mergeCell ref="BF982:BF986"/>
    <mergeCell ref="AX987:AX991"/>
    <mergeCell ref="AX992:AX996"/>
    <mergeCell ref="BF992:BF996"/>
    <mergeCell ref="AX967:AX971"/>
    <mergeCell ref="AY967:AY971"/>
    <mergeCell ref="AZ967:AZ971"/>
    <mergeCell ref="BF962:BF966"/>
    <mergeCell ref="BF987:BF991"/>
    <mergeCell ref="BF972:BF976"/>
    <mergeCell ref="D7:D11"/>
    <mergeCell ref="C1002:C1006"/>
    <mergeCell ref="D1002:D1006"/>
    <mergeCell ref="E1002:E1006"/>
    <mergeCell ref="F1002:F1006"/>
    <mergeCell ref="G1002:G1006"/>
    <mergeCell ref="H1002:H1006"/>
    <mergeCell ref="I1002:I1006"/>
    <mergeCell ref="J1002:J1006"/>
    <mergeCell ref="K1002:K1006"/>
    <mergeCell ref="L1002:L1006"/>
    <mergeCell ref="M1002:M1006"/>
    <mergeCell ref="N1002:N1006"/>
    <mergeCell ref="O1002:O1006"/>
    <mergeCell ref="P1002:P1006"/>
    <mergeCell ref="Q1002:Q1006"/>
    <mergeCell ref="R1002:R1006"/>
    <mergeCell ref="L997:L1001"/>
    <mergeCell ref="M997:M1001"/>
    <mergeCell ref="N997:N1001"/>
    <mergeCell ref="O997:O1001"/>
    <mergeCell ref="Q992:Q996"/>
    <mergeCell ref="R992:R996"/>
    <mergeCell ref="J957:J961"/>
    <mergeCell ref="D977:D981"/>
    <mergeCell ref="E977:E981"/>
    <mergeCell ref="F977:F981"/>
    <mergeCell ref="G977:G981"/>
    <mergeCell ref="H997:H1001"/>
    <mergeCell ref="I997:I1001"/>
    <mergeCell ref="J997:J1001"/>
    <mergeCell ref="K997:K1001"/>
  </mergeCells>
  <conditionalFormatting sqref="X7">
    <cfRule type="cellIs" dxfId="1380" priority="2895" operator="equal">
      <formula>"Extrema"</formula>
    </cfRule>
    <cfRule type="cellIs" dxfId="1379" priority="2896" operator="equal">
      <formula>"Alta"</formula>
    </cfRule>
    <cfRule type="cellIs" dxfId="1378" priority="2897" operator="equal">
      <formula>"Moderada"</formula>
    </cfRule>
    <cfRule type="cellIs" dxfId="1377" priority="2898" operator="equal">
      <formula>"Baja"</formula>
    </cfRule>
  </conditionalFormatting>
  <conditionalFormatting sqref="AD7">
    <cfRule type="cellIs" dxfId="1376" priority="2891" operator="equal">
      <formula>"Extrema"</formula>
    </cfRule>
    <cfRule type="cellIs" dxfId="1375" priority="2892" operator="equal">
      <formula>"Alta"</formula>
    </cfRule>
    <cfRule type="cellIs" dxfId="1374" priority="2893" operator="equal">
      <formula>"Moderada"</formula>
    </cfRule>
    <cfRule type="cellIs" dxfId="1373" priority="2894" operator="equal">
      <formula>"Baja"</formula>
    </cfRule>
  </conditionalFormatting>
  <conditionalFormatting sqref="X12">
    <cfRule type="cellIs" dxfId="1372" priority="2807" operator="equal">
      <formula>"Extrema"</formula>
    </cfRule>
    <cfRule type="cellIs" dxfId="1371" priority="2808" operator="equal">
      <formula>"Alta"</formula>
    </cfRule>
    <cfRule type="cellIs" dxfId="1370" priority="2809" operator="equal">
      <formula>"Moderada"</formula>
    </cfRule>
    <cfRule type="cellIs" dxfId="1369" priority="2810" operator="equal">
      <formula>"Baja"</formula>
    </cfRule>
  </conditionalFormatting>
  <conditionalFormatting sqref="X17">
    <cfRule type="cellIs" dxfId="1368" priority="2803" operator="equal">
      <formula>"Extrema"</formula>
    </cfRule>
    <cfRule type="cellIs" dxfId="1367" priority="2804" operator="equal">
      <formula>"Alta"</formula>
    </cfRule>
    <cfRule type="cellIs" dxfId="1366" priority="2805" operator="equal">
      <formula>"Moderada"</formula>
    </cfRule>
    <cfRule type="cellIs" dxfId="1365" priority="2806" operator="equal">
      <formula>"Baja"</formula>
    </cfRule>
  </conditionalFormatting>
  <conditionalFormatting sqref="X22">
    <cfRule type="cellIs" dxfId="1364" priority="2799" operator="equal">
      <formula>"Extrema"</formula>
    </cfRule>
    <cfRule type="cellIs" dxfId="1363" priority="2800" operator="equal">
      <formula>"Alta"</formula>
    </cfRule>
    <cfRule type="cellIs" dxfId="1362" priority="2801" operator="equal">
      <formula>"Moderada"</formula>
    </cfRule>
    <cfRule type="cellIs" dxfId="1361" priority="2802" operator="equal">
      <formula>"Baja"</formula>
    </cfRule>
  </conditionalFormatting>
  <conditionalFormatting sqref="X27 X32 X37 X42 X47 X52">
    <cfRule type="cellIs" dxfId="1360" priority="2795" operator="equal">
      <formula>"Extrema"</formula>
    </cfRule>
    <cfRule type="cellIs" dxfId="1359" priority="2796" operator="equal">
      <formula>"Alta"</formula>
    </cfRule>
    <cfRule type="cellIs" dxfId="1358" priority="2797" operator="equal">
      <formula>"Moderada"</formula>
    </cfRule>
    <cfRule type="cellIs" dxfId="1357" priority="2798" operator="equal">
      <formula>"Baja"</formula>
    </cfRule>
  </conditionalFormatting>
  <conditionalFormatting sqref="L12:P31 G7:K31">
    <cfRule type="containsText" dxfId="1356" priority="2555" operator="containsText" text="Catastrófico">
      <formula>NOT(ISERROR(SEARCH("Catastrófico",G7)))</formula>
    </cfRule>
    <cfRule type="containsText" dxfId="1355" priority="2556" operator="containsText" text="Mayor">
      <formula>NOT(ISERROR(SEARCH("Mayor",G7)))</formula>
    </cfRule>
    <cfRule type="containsText" dxfId="1354" priority="2560" operator="containsText" text="Moderado">
      <formula>NOT(ISERROR(SEARCH("Moderado",G7)))</formula>
    </cfRule>
    <cfRule type="containsText" dxfId="1353" priority="2561" operator="containsText" text="Menor">
      <formula>NOT(ISERROR(SEARCH("Menor",G7)))</formula>
    </cfRule>
    <cfRule type="containsText" dxfId="1352" priority="2562" operator="containsText" text="Insignificante">
      <formula>NOT(ISERROR(SEARCH("Insignificante",G7)))</formula>
    </cfRule>
  </conditionalFormatting>
  <conditionalFormatting sqref="L7:Q11 Q12:Q106 L107:Q111 Q112:Q401">
    <cfRule type="containsText" dxfId="1351" priority="2525" operator="containsText" text="Catastrófico">
      <formula>NOT(ISERROR(SEARCH("Catastrófico",L7)))</formula>
    </cfRule>
    <cfRule type="containsText" dxfId="1350" priority="2526" operator="containsText" text="Mayor">
      <formula>NOT(ISERROR(SEARCH("Mayor",L7)))</formula>
    </cfRule>
    <cfRule type="containsText" dxfId="1349" priority="2527" operator="containsText" text="Moderado">
      <formula>NOT(ISERROR(SEARCH("Moderado",L7)))</formula>
    </cfRule>
    <cfRule type="containsText" dxfId="1348" priority="2528" operator="containsText" text="Menor">
      <formula>NOT(ISERROR(SEARCH("Menor",L7)))</formula>
    </cfRule>
    <cfRule type="containsText" dxfId="1347" priority="2529" operator="containsText" text="Insignificante">
      <formula>NOT(ISERROR(SEARCH("Insignificante",L7)))</formula>
    </cfRule>
  </conditionalFormatting>
  <conditionalFormatting sqref="X722">
    <cfRule type="cellIs" dxfId="1346" priority="752" operator="equal">
      <formula>"Extrema"</formula>
    </cfRule>
    <cfRule type="cellIs" dxfId="1345" priority="753" operator="equal">
      <formula>"Alta"</formula>
    </cfRule>
    <cfRule type="cellIs" dxfId="1344" priority="754" operator="equal">
      <formula>"Moderada"</formula>
    </cfRule>
    <cfRule type="cellIs" dxfId="1343" priority="755" operator="equal">
      <formula>"Baja"</formula>
    </cfRule>
  </conditionalFormatting>
  <conditionalFormatting sqref="G747:P751">
    <cfRule type="containsText" dxfId="1342" priority="687" operator="containsText" text="Catastrófico">
      <formula>NOT(ISERROR(SEARCH("Catastrófico",G747)))</formula>
    </cfRule>
    <cfRule type="containsText" dxfId="1341" priority="688" operator="containsText" text="Mayor">
      <formula>NOT(ISERROR(SEARCH("Mayor",G747)))</formula>
    </cfRule>
    <cfRule type="containsText" dxfId="1340" priority="689" operator="containsText" text="Moderado">
      <formula>NOT(ISERROR(SEARCH("Moderado",G747)))</formula>
    </cfRule>
    <cfRule type="containsText" dxfId="1339" priority="690" operator="containsText" text="Menor">
      <formula>NOT(ISERROR(SEARCH("Menor",G747)))</formula>
    </cfRule>
    <cfRule type="containsText" dxfId="1338" priority="691" operator="containsText" text="Insignificante">
      <formula>NOT(ISERROR(SEARCH("Insignificante",G747)))</formula>
    </cfRule>
  </conditionalFormatting>
  <conditionalFormatting sqref="G32:P36">
    <cfRule type="containsText" dxfId="1337" priority="2094" operator="containsText" text="Catastrófico">
      <formula>NOT(ISERROR(SEARCH("Catastrófico",G32)))</formula>
    </cfRule>
    <cfRule type="containsText" dxfId="1336" priority="2095" operator="containsText" text="Mayor">
      <formula>NOT(ISERROR(SEARCH("Mayor",G32)))</formula>
    </cfRule>
    <cfRule type="containsText" dxfId="1335" priority="2096" operator="containsText" text="Moderado">
      <formula>NOT(ISERROR(SEARCH("Moderado",G32)))</formula>
    </cfRule>
    <cfRule type="containsText" dxfId="1334" priority="2097" operator="containsText" text="Menor">
      <formula>NOT(ISERROR(SEARCH("Menor",G32)))</formula>
    </cfRule>
    <cfRule type="containsText" dxfId="1333" priority="2098" operator="containsText" text="Insignificante">
      <formula>NOT(ISERROR(SEARCH("Insignificante",G32)))</formula>
    </cfRule>
  </conditionalFormatting>
  <conditionalFormatting sqref="G37:P41">
    <cfRule type="containsText" dxfId="1332" priority="2089" operator="containsText" text="Catastrófico">
      <formula>NOT(ISERROR(SEARCH("Catastrófico",G37)))</formula>
    </cfRule>
    <cfRule type="containsText" dxfId="1331" priority="2090" operator="containsText" text="Mayor">
      <formula>NOT(ISERROR(SEARCH("Mayor",G37)))</formula>
    </cfRule>
    <cfRule type="containsText" dxfId="1330" priority="2091" operator="containsText" text="Moderado">
      <formula>NOT(ISERROR(SEARCH("Moderado",G37)))</formula>
    </cfRule>
    <cfRule type="containsText" dxfId="1329" priority="2092" operator="containsText" text="Menor">
      <formula>NOT(ISERROR(SEARCH("Menor",G37)))</formula>
    </cfRule>
    <cfRule type="containsText" dxfId="1328" priority="2093" operator="containsText" text="Insignificante">
      <formula>NOT(ISERROR(SEARCH("Insignificante",G37)))</formula>
    </cfRule>
  </conditionalFormatting>
  <conditionalFormatting sqref="G42:P46">
    <cfRule type="containsText" dxfId="1327" priority="2084" operator="containsText" text="Catastrófico">
      <formula>NOT(ISERROR(SEARCH("Catastrófico",G42)))</formula>
    </cfRule>
    <cfRule type="containsText" dxfId="1326" priority="2085" operator="containsText" text="Mayor">
      <formula>NOT(ISERROR(SEARCH("Mayor",G42)))</formula>
    </cfRule>
    <cfRule type="containsText" dxfId="1325" priority="2086" operator="containsText" text="Moderado">
      <formula>NOT(ISERROR(SEARCH("Moderado",G42)))</formula>
    </cfRule>
    <cfRule type="containsText" dxfId="1324" priority="2087" operator="containsText" text="Menor">
      <formula>NOT(ISERROR(SEARCH("Menor",G42)))</formula>
    </cfRule>
    <cfRule type="containsText" dxfId="1323" priority="2088" operator="containsText" text="Insignificante">
      <formula>NOT(ISERROR(SEARCH("Insignificante",G42)))</formula>
    </cfRule>
  </conditionalFormatting>
  <conditionalFormatting sqref="G47:P51">
    <cfRule type="containsText" dxfId="1322" priority="2079" operator="containsText" text="Catastrófico">
      <formula>NOT(ISERROR(SEARCH("Catastrófico",G47)))</formula>
    </cfRule>
    <cfRule type="containsText" dxfId="1321" priority="2080" operator="containsText" text="Mayor">
      <formula>NOT(ISERROR(SEARCH("Mayor",G47)))</formula>
    </cfRule>
    <cfRule type="containsText" dxfId="1320" priority="2081" operator="containsText" text="Moderado">
      <formula>NOT(ISERROR(SEARCH("Moderado",G47)))</formula>
    </cfRule>
    <cfRule type="containsText" dxfId="1319" priority="2082" operator="containsText" text="Menor">
      <formula>NOT(ISERROR(SEARCH("Menor",G47)))</formula>
    </cfRule>
    <cfRule type="containsText" dxfId="1318" priority="2083" operator="containsText" text="Insignificante">
      <formula>NOT(ISERROR(SEARCH("Insignificante",G47)))</formula>
    </cfRule>
  </conditionalFormatting>
  <conditionalFormatting sqref="G52:P56">
    <cfRule type="containsText" dxfId="1317" priority="2074" operator="containsText" text="Catastrófico">
      <formula>NOT(ISERROR(SEARCH("Catastrófico",G52)))</formula>
    </cfRule>
    <cfRule type="containsText" dxfId="1316" priority="2075" operator="containsText" text="Mayor">
      <formula>NOT(ISERROR(SEARCH("Mayor",G52)))</formula>
    </cfRule>
    <cfRule type="containsText" dxfId="1315" priority="2076" operator="containsText" text="Moderado">
      <formula>NOT(ISERROR(SEARCH("Moderado",G52)))</formula>
    </cfRule>
    <cfRule type="containsText" dxfId="1314" priority="2077" operator="containsText" text="Menor">
      <formula>NOT(ISERROR(SEARCH("Menor",G52)))</formula>
    </cfRule>
    <cfRule type="containsText" dxfId="1313" priority="2078" operator="containsText" text="Insignificante">
      <formula>NOT(ISERROR(SEARCH("Insignificante",G52)))</formula>
    </cfRule>
  </conditionalFormatting>
  <conditionalFormatting sqref="X57">
    <cfRule type="cellIs" dxfId="1312" priority="2050" operator="equal">
      <formula>"Extrema"</formula>
    </cfRule>
    <cfRule type="cellIs" dxfId="1311" priority="2051" operator="equal">
      <formula>"Alta"</formula>
    </cfRule>
    <cfRule type="cellIs" dxfId="1310" priority="2052" operator="equal">
      <formula>"Moderada"</formula>
    </cfRule>
    <cfRule type="cellIs" dxfId="1309" priority="2053" operator="equal">
      <formula>"Baja"</formula>
    </cfRule>
  </conditionalFormatting>
  <conditionalFormatting sqref="X62">
    <cfRule type="cellIs" dxfId="1308" priority="2034" operator="equal">
      <formula>"Extrema"</formula>
    </cfRule>
    <cfRule type="cellIs" dxfId="1307" priority="2035" operator="equal">
      <formula>"Alta"</formula>
    </cfRule>
    <cfRule type="cellIs" dxfId="1306" priority="2036" operator="equal">
      <formula>"Moderada"</formula>
    </cfRule>
    <cfRule type="cellIs" dxfId="1305" priority="2037" operator="equal">
      <formula>"Baja"</formula>
    </cfRule>
  </conditionalFormatting>
  <conditionalFormatting sqref="X67">
    <cfRule type="cellIs" dxfId="1304" priority="2030" operator="equal">
      <formula>"Extrema"</formula>
    </cfRule>
    <cfRule type="cellIs" dxfId="1303" priority="2031" operator="equal">
      <formula>"Alta"</formula>
    </cfRule>
    <cfRule type="cellIs" dxfId="1302" priority="2032" operator="equal">
      <formula>"Moderada"</formula>
    </cfRule>
    <cfRule type="cellIs" dxfId="1301" priority="2033" operator="equal">
      <formula>"Baja"</formula>
    </cfRule>
  </conditionalFormatting>
  <conditionalFormatting sqref="X72">
    <cfRule type="cellIs" dxfId="1300" priority="2026" operator="equal">
      <formula>"Extrema"</formula>
    </cfRule>
    <cfRule type="cellIs" dxfId="1299" priority="2027" operator="equal">
      <formula>"Alta"</formula>
    </cfRule>
    <cfRule type="cellIs" dxfId="1298" priority="2028" operator="equal">
      <formula>"Moderada"</formula>
    </cfRule>
    <cfRule type="cellIs" dxfId="1297" priority="2029" operator="equal">
      <formula>"Baja"</formula>
    </cfRule>
  </conditionalFormatting>
  <conditionalFormatting sqref="X77 X82 X87 X92 X97 X102">
    <cfRule type="cellIs" dxfId="1296" priority="2022" operator="equal">
      <formula>"Extrema"</formula>
    </cfRule>
    <cfRule type="cellIs" dxfId="1295" priority="2023" operator="equal">
      <formula>"Alta"</formula>
    </cfRule>
    <cfRule type="cellIs" dxfId="1294" priority="2024" operator="equal">
      <formula>"Moderada"</formula>
    </cfRule>
    <cfRule type="cellIs" dxfId="1293" priority="2025" operator="equal">
      <formula>"Baja"</formula>
    </cfRule>
  </conditionalFormatting>
  <conditionalFormatting sqref="L62:P81 G57:K81">
    <cfRule type="containsText" dxfId="1292" priority="2001" operator="containsText" text="Catastrófico">
      <formula>NOT(ISERROR(SEARCH("Catastrófico",G57)))</formula>
    </cfRule>
    <cfRule type="containsText" dxfId="1291" priority="2002" operator="containsText" text="Mayor">
      <formula>NOT(ISERROR(SEARCH("Mayor",G57)))</formula>
    </cfRule>
    <cfRule type="containsText" dxfId="1290" priority="2003" operator="containsText" text="Moderado">
      <formula>NOT(ISERROR(SEARCH("Moderado",G57)))</formula>
    </cfRule>
    <cfRule type="containsText" dxfId="1289" priority="2004" operator="containsText" text="Menor">
      <formula>NOT(ISERROR(SEARCH("Menor",G57)))</formula>
    </cfRule>
    <cfRule type="containsText" dxfId="1288" priority="2005" operator="containsText" text="Insignificante">
      <formula>NOT(ISERROR(SEARCH("Insignificante",G57)))</formula>
    </cfRule>
  </conditionalFormatting>
  <conditionalFormatting sqref="L57:P61">
    <cfRule type="containsText" dxfId="1287" priority="1981" operator="containsText" text="Catastrófico">
      <formula>NOT(ISERROR(SEARCH("Catastrófico",L57)))</formula>
    </cfRule>
    <cfRule type="containsText" dxfId="1286" priority="1982" operator="containsText" text="Mayor">
      <formula>NOT(ISERROR(SEARCH("Mayor",L57)))</formula>
    </cfRule>
    <cfRule type="containsText" dxfId="1285" priority="1983" operator="containsText" text="Moderado">
      <formula>NOT(ISERROR(SEARCH("Moderado",L57)))</formula>
    </cfRule>
    <cfRule type="containsText" dxfId="1284" priority="1984" operator="containsText" text="Menor">
      <formula>NOT(ISERROR(SEARCH("Menor",L57)))</formula>
    </cfRule>
    <cfRule type="containsText" dxfId="1283" priority="1985" operator="containsText" text="Insignificante">
      <formula>NOT(ISERROR(SEARCH("Insignificante",L57)))</formula>
    </cfRule>
  </conditionalFormatting>
  <conditionalFormatting sqref="G82:P86">
    <cfRule type="containsText" dxfId="1282" priority="1976" operator="containsText" text="Catastrófico">
      <formula>NOT(ISERROR(SEARCH("Catastrófico",G82)))</formula>
    </cfRule>
    <cfRule type="containsText" dxfId="1281" priority="1977" operator="containsText" text="Mayor">
      <formula>NOT(ISERROR(SEARCH("Mayor",G82)))</formula>
    </cfRule>
    <cfRule type="containsText" dxfId="1280" priority="1978" operator="containsText" text="Moderado">
      <formula>NOT(ISERROR(SEARCH("Moderado",G82)))</formula>
    </cfRule>
    <cfRule type="containsText" dxfId="1279" priority="1979" operator="containsText" text="Menor">
      <formula>NOT(ISERROR(SEARCH("Menor",G82)))</formula>
    </cfRule>
    <cfRule type="containsText" dxfId="1278" priority="1980" operator="containsText" text="Insignificante">
      <formula>NOT(ISERROR(SEARCH("Insignificante",G82)))</formula>
    </cfRule>
  </conditionalFormatting>
  <conditionalFormatting sqref="G87:P91">
    <cfRule type="containsText" dxfId="1277" priority="1971" operator="containsText" text="Catastrófico">
      <formula>NOT(ISERROR(SEARCH("Catastrófico",G87)))</formula>
    </cfRule>
    <cfRule type="containsText" dxfId="1276" priority="1972" operator="containsText" text="Mayor">
      <formula>NOT(ISERROR(SEARCH("Mayor",G87)))</formula>
    </cfRule>
    <cfRule type="containsText" dxfId="1275" priority="1973" operator="containsText" text="Moderado">
      <formula>NOT(ISERROR(SEARCH("Moderado",G87)))</formula>
    </cfRule>
    <cfRule type="containsText" dxfId="1274" priority="1974" operator="containsText" text="Menor">
      <formula>NOT(ISERROR(SEARCH("Menor",G87)))</formula>
    </cfRule>
    <cfRule type="containsText" dxfId="1273" priority="1975" operator="containsText" text="Insignificante">
      <formula>NOT(ISERROR(SEARCH("Insignificante",G87)))</formula>
    </cfRule>
  </conditionalFormatting>
  <conditionalFormatting sqref="G92:P96">
    <cfRule type="containsText" dxfId="1272" priority="1966" operator="containsText" text="Catastrófico">
      <formula>NOT(ISERROR(SEARCH("Catastrófico",G92)))</formula>
    </cfRule>
    <cfRule type="containsText" dxfId="1271" priority="1967" operator="containsText" text="Mayor">
      <formula>NOT(ISERROR(SEARCH("Mayor",G92)))</formula>
    </cfRule>
    <cfRule type="containsText" dxfId="1270" priority="1968" operator="containsText" text="Moderado">
      <formula>NOT(ISERROR(SEARCH("Moderado",G92)))</formula>
    </cfRule>
    <cfRule type="containsText" dxfId="1269" priority="1969" operator="containsText" text="Menor">
      <formula>NOT(ISERROR(SEARCH("Menor",G92)))</formula>
    </cfRule>
    <cfRule type="containsText" dxfId="1268" priority="1970" operator="containsText" text="Insignificante">
      <formula>NOT(ISERROR(SEARCH("Insignificante",G92)))</formula>
    </cfRule>
  </conditionalFormatting>
  <conditionalFormatting sqref="G97:P101">
    <cfRule type="containsText" dxfId="1267" priority="1961" operator="containsText" text="Catastrófico">
      <formula>NOT(ISERROR(SEARCH("Catastrófico",G97)))</formula>
    </cfRule>
    <cfRule type="containsText" dxfId="1266" priority="1962" operator="containsText" text="Mayor">
      <formula>NOT(ISERROR(SEARCH("Mayor",G97)))</formula>
    </cfRule>
    <cfRule type="containsText" dxfId="1265" priority="1963" operator="containsText" text="Moderado">
      <formula>NOT(ISERROR(SEARCH("Moderado",G97)))</formula>
    </cfRule>
    <cfRule type="containsText" dxfId="1264" priority="1964" operator="containsText" text="Menor">
      <formula>NOT(ISERROR(SEARCH("Menor",G97)))</formula>
    </cfRule>
    <cfRule type="containsText" dxfId="1263" priority="1965" operator="containsText" text="Insignificante">
      <formula>NOT(ISERROR(SEARCH("Insignificante",G97)))</formula>
    </cfRule>
  </conditionalFormatting>
  <conditionalFormatting sqref="G102:P106">
    <cfRule type="containsText" dxfId="1262" priority="1956" operator="containsText" text="Catastrófico">
      <formula>NOT(ISERROR(SEARCH("Catastrófico",G102)))</formula>
    </cfRule>
    <cfRule type="containsText" dxfId="1261" priority="1957" operator="containsText" text="Mayor">
      <formula>NOT(ISERROR(SEARCH("Mayor",G102)))</formula>
    </cfRule>
    <cfRule type="containsText" dxfId="1260" priority="1958" operator="containsText" text="Moderado">
      <formula>NOT(ISERROR(SEARCH("Moderado",G102)))</formula>
    </cfRule>
    <cfRule type="containsText" dxfId="1259" priority="1959" operator="containsText" text="Menor">
      <formula>NOT(ISERROR(SEARCH("Menor",G102)))</formula>
    </cfRule>
    <cfRule type="containsText" dxfId="1258" priority="1960" operator="containsText" text="Insignificante">
      <formula>NOT(ISERROR(SEARCH("Insignificante",G102)))</formula>
    </cfRule>
  </conditionalFormatting>
  <conditionalFormatting sqref="X107">
    <cfRule type="cellIs" dxfId="1257" priority="1952" operator="equal">
      <formula>"Extrema"</formula>
    </cfRule>
    <cfRule type="cellIs" dxfId="1256" priority="1953" operator="equal">
      <formula>"Alta"</formula>
    </cfRule>
    <cfRule type="cellIs" dxfId="1255" priority="1954" operator="equal">
      <formula>"Moderada"</formula>
    </cfRule>
    <cfRule type="cellIs" dxfId="1254" priority="1955" operator="equal">
      <formula>"Baja"</formula>
    </cfRule>
  </conditionalFormatting>
  <conditionalFormatting sqref="X112">
    <cfRule type="cellIs" dxfId="1253" priority="1936" operator="equal">
      <formula>"Extrema"</formula>
    </cfRule>
    <cfRule type="cellIs" dxfId="1252" priority="1937" operator="equal">
      <formula>"Alta"</formula>
    </cfRule>
    <cfRule type="cellIs" dxfId="1251" priority="1938" operator="equal">
      <formula>"Moderada"</formula>
    </cfRule>
    <cfRule type="cellIs" dxfId="1250" priority="1939" operator="equal">
      <formula>"Baja"</formula>
    </cfRule>
  </conditionalFormatting>
  <conditionalFormatting sqref="X117">
    <cfRule type="cellIs" dxfId="1249" priority="1932" operator="equal">
      <formula>"Extrema"</formula>
    </cfRule>
    <cfRule type="cellIs" dxfId="1248" priority="1933" operator="equal">
      <formula>"Alta"</formula>
    </cfRule>
    <cfRule type="cellIs" dxfId="1247" priority="1934" operator="equal">
      <formula>"Moderada"</formula>
    </cfRule>
    <cfRule type="cellIs" dxfId="1246" priority="1935" operator="equal">
      <formula>"Baja"</formula>
    </cfRule>
  </conditionalFormatting>
  <conditionalFormatting sqref="X122">
    <cfRule type="cellIs" dxfId="1245" priority="1928" operator="equal">
      <formula>"Extrema"</formula>
    </cfRule>
    <cfRule type="cellIs" dxfId="1244" priority="1929" operator="equal">
      <formula>"Alta"</formula>
    </cfRule>
    <cfRule type="cellIs" dxfId="1243" priority="1930" operator="equal">
      <formula>"Moderada"</formula>
    </cfRule>
    <cfRule type="cellIs" dxfId="1242" priority="1931" operator="equal">
      <formula>"Baja"</formula>
    </cfRule>
  </conditionalFormatting>
  <conditionalFormatting sqref="X127 X132 X137 X142 X147 X152">
    <cfRule type="cellIs" dxfId="1241" priority="1924" operator="equal">
      <formula>"Extrema"</formula>
    </cfRule>
    <cfRule type="cellIs" dxfId="1240" priority="1925" operator="equal">
      <formula>"Alta"</formula>
    </cfRule>
    <cfRule type="cellIs" dxfId="1239" priority="1926" operator="equal">
      <formula>"Moderada"</formula>
    </cfRule>
    <cfRule type="cellIs" dxfId="1238" priority="1927" operator="equal">
      <formula>"Baja"</formula>
    </cfRule>
  </conditionalFormatting>
  <conditionalFormatting sqref="G127:P131">
    <cfRule type="containsText" dxfId="1237" priority="1903" operator="containsText" text="Catastrófico">
      <formula>NOT(ISERROR(SEARCH("Catastrófico",G127)))</formula>
    </cfRule>
    <cfRule type="containsText" dxfId="1236" priority="1904" operator="containsText" text="Mayor">
      <formula>NOT(ISERROR(SEARCH("Mayor",G127)))</formula>
    </cfRule>
    <cfRule type="containsText" dxfId="1235" priority="1905" operator="containsText" text="Moderado">
      <formula>NOT(ISERROR(SEARCH("Moderado",G127)))</formula>
    </cfRule>
    <cfRule type="containsText" dxfId="1234" priority="1906" operator="containsText" text="Menor">
      <formula>NOT(ISERROR(SEARCH("Menor",G127)))</formula>
    </cfRule>
    <cfRule type="containsText" dxfId="1233" priority="1907" operator="containsText" text="Insignificante">
      <formula>NOT(ISERROR(SEARCH("Insignificante",G127)))</formula>
    </cfRule>
  </conditionalFormatting>
  <conditionalFormatting sqref="G132:P136">
    <cfRule type="containsText" dxfId="1227" priority="1878" operator="containsText" text="Catastrófico">
      <formula>NOT(ISERROR(SEARCH("Catastrófico",G132)))</formula>
    </cfRule>
    <cfRule type="containsText" dxfId="1226" priority="1879" operator="containsText" text="Mayor">
      <formula>NOT(ISERROR(SEARCH("Mayor",G132)))</formula>
    </cfRule>
    <cfRule type="containsText" dxfId="1225" priority="1880" operator="containsText" text="Moderado">
      <formula>NOT(ISERROR(SEARCH("Moderado",G132)))</formula>
    </cfRule>
    <cfRule type="containsText" dxfId="1224" priority="1881" operator="containsText" text="Menor">
      <formula>NOT(ISERROR(SEARCH("Menor",G132)))</formula>
    </cfRule>
    <cfRule type="containsText" dxfId="1223" priority="1882" operator="containsText" text="Insignificante">
      <formula>NOT(ISERROR(SEARCH("Insignificante",G132)))</formula>
    </cfRule>
  </conditionalFormatting>
  <conditionalFormatting sqref="G137:P141">
    <cfRule type="containsText" dxfId="1222" priority="1873" operator="containsText" text="Catastrófico">
      <formula>NOT(ISERROR(SEARCH("Catastrófico",G137)))</formula>
    </cfRule>
    <cfRule type="containsText" dxfId="1221" priority="1874" operator="containsText" text="Mayor">
      <formula>NOT(ISERROR(SEARCH("Mayor",G137)))</formula>
    </cfRule>
    <cfRule type="containsText" dxfId="1220" priority="1875" operator="containsText" text="Moderado">
      <formula>NOT(ISERROR(SEARCH("Moderado",G137)))</formula>
    </cfRule>
    <cfRule type="containsText" dxfId="1219" priority="1876" operator="containsText" text="Menor">
      <formula>NOT(ISERROR(SEARCH("Menor",G137)))</formula>
    </cfRule>
    <cfRule type="containsText" dxfId="1218" priority="1877" operator="containsText" text="Insignificante">
      <formula>NOT(ISERROR(SEARCH("Insignificante",G137)))</formula>
    </cfRule>
  </conditionalFormatting>
  <conditionalFormatting sqref="G142:P146">
    <cfRule type="containsText" dxfId="1217" priority="1868" operator="containsText" text="Catastrófico">
      <formula>NOT(ISERROR(SEARCH("Catastrófico",G142)))</formula>
    </cfRule>
    <cfRule type="containsText" dxfId="1216" priority="1869" operator="containsText" text="Mayor">
      <formula>NOT(ISERROR(SEARCH("Mayor",G142)))</formula>
    </cfRule>
    <cfRule type="containsText" dxfId="1215" priority="1870" operator="containsText" text="Moderado">
      <formula>NOT(ISERROR(SEARCH("Moderado",G142)))</formula>
    </cfRule>
    <cfRule type="containsText" dxfId="1214" priority="1871" operator="containsText" text="Menor">
      <formula>NOT(ISERROR(SEARCH("Menor",G142)))</formula>
    </cfRule>
    <cfRule type="containsText" dxfId="1213" priority="1872" operator="containsText" text="Insignificante">
      <formula>NOT(ISERROR(SEARCH("Insignificante",G142)))</formula>
    </cfRule>
  </conditionalFormatting>
  <conditionalFormatting sqref="G147:P151">
    <cfRule type="containsText" dxfId="1212" priority="1863" operator="containsText" text="Catastrófico">
      <formula>NOT(ISERROR(SEARCH("Catastrófico",G147)))</formula>
    </cfRule>
    <cfRule type="containsText" dxfId="1211" priority="1864" operator="containsText" text="Mayor">
      <formula>NOT(ISERROR(SEARCH("Mayor",G147)))</formula>
    </cfRule>
    <cfRule type="containsText" dxfId="1210" priority="1865" operator="containsText" text="Moderado">
      <formula>NOT(ISERROR(SEARCH("Moderado",G147)))</formula>
    </cfRule>
    <cfRule type="containsText" dxfId="1209" priority="1866" operator="containsText" text="Menor">
      <formula>NOT(ISERROR(SEARCH("Menor",G147)))</formula>
    </cfRule>
    <cfRule type="containsText" dxfId="1208" priority="1867" operator="containsText" text="Insignificante">
      <formula>NOT(ISERROR(SEARCH("Insignificante",G147)))</formula>
    </cfRule>
  </conditionalFormatting>
  <conditionalFormatting sqref="G152:P156">
    <cfRule type="containsText" dxfId="1207" priority="1858" operator="containsText" text="Catastrófico">
      <formula>NOT(ISERROR(SEARCH("Catastrófico",G152)))</formula>
    </cfRule>
    <cfRule type="containsText" dxfId="1206" priority="1859" operator="containsText" text="Mayor">
      <formula>NOT(ISERROR(SEARCH("Mayor",G152)))</formula>
    </cfRule>
    <cfRule type="containsText" dxfId="1205" priority="1860" operator="containsText" text="Moderado">
      <formula>NOT(ISERROR(SEARCH("Moderado",G152)))</formula>
    </cfRule>
    <cfRule type="containsText" dxfId="1204" priority="1861" operator="containsText" text="Menor">
      <formula>NOT(ISERROR(SEARCH("Menor",G152)))</formula>
    </cfRule>
    <cfRule type="containsText" dxfId="1203" priority="1862" operator="containsText" text="Insignificante">
      <formula>NOT(ISERROR(SEARCH("Insignificante",G152)))</formula>
    </cfRule>
  </conditionalFormatting>
  <conditionalFormatting sqref="X157">
    <cfRule type="cellIs" dxfId="1202" priority="1854" operator="equal">
      <formula>"Extrema"</formula>
    </cfRule>
    <cfRule type="cellIs" dxfId="1201" priority="1855" operator="equal">
      <formula>"Alta"</formula>
    </cfRule>
    <cfRule type="cellIs" dxfId="1200" priority="1856" operator="equal">
      <formula>"Moderada"</formula>
    </cfRule>
    <cfRule type="cellIs" dxfId="1199" priority="1857" operator="equal">
      <formula>"Baja"</formula>
    </cfRule>
  </conditionalFormatting>
  <conditionalFormatting sqref="X162">
    <cfRule type="cellIs" dxfId="1198" priority="1838" operator="equal">
      <formula>"Extrema"</formula>
    </cfRule>
    <cfRule type="cellIs" dxfId="1197" priority="1839" operator="equal">
      <formula>"Alta"</formula>
    </cfRule>
    <cfRule type="cellIs" dxfId="1196" priority="1840" operator="equal">
      <formula>"Moderada"</formula>
    </cfRule>
    <cfRule type="cellIs" dxfId="1195" priority="1841" operator="equal">
      <formula>"Baja"</formula>
    </cfRule>
  </conditionalFormatting>
  <conditionalFormatting sqref="X167">
    <cfRule type="cellIs" dxfId="1194" priority="1834" operator="equal">
      <formula>"Extrema"</formula>
    </cfRule>
    <cfRule type="cellIs" dxfId="1193" priority="1835" operator="equal">
      <formula>"Alta"</formula>
    </cfRule>
    <cfRule type="cellIs" dxfId="1192" priority="1836" operator="equal">
      <formula>"Moderada"</formula>
    </cfRule>
    <cfRule type="cellIs" dxfId="1191" priority="1837" operator="equal">
      <formula>"Baja"</formula>
    </cfRule>
  </conditionalFormatting>
  <conditionalFormatting sqref="X172">
    <cfRule type="cellIs" dxfId="1190" priority="1830" operator="equal">
      <formula>"Extrema"</formula>
    </cfRule>
    <cfRule type="cellIs" dxfId="1189" priority="1831" operator="equal">
      <formula>"Alta"</formula>
    </cfRule>
    <cfRule type="cellIs" dxfId="1188" priority="1832" operator="equal">
      <formula>"Moderada"</formula>
    </cfRule>
    <cfRule type="cellIs" dxfId="1187" priority="1833" operator="equal">
      <formula>"Baja"</formula>
    </cfRule>
  </conditionalFormatting>
  <conditionalFormatting sqref="X177 X182 X187 X192 X197 X202">
    <cfRule type="cellIs" dxfId="1186" priority="1826" operator="equal">
      <formula>"Extrema"</formula>
    </cfRule>
    <cfRule type="cellIs" dxfId="1185" priority="1827" operator="equal">
      <formula>"Alta"</formula>
    </cfRule>
    <cfRule type="cellIs" dxfId="1184" priority="1828" operator="equal">
      <formula>"Moderada"</formula>
    </cfRule>
    <cfRule type="cellIs" dxfId="1183" priority="1829" operator="equal">
      <formula>"Baja"</formula>
    </cfRule>
  </conditionalFormatting>
  <conditionalFormatting sqref="L162:P181 G157:K181">
    <cfRule type="containsText" dxfId="1182" priority="1805" operator="containsText" text="Catastrófico">
      <formula>NOT(ISERROR(SEARCH("Catastrófico",G157)))</formula>
    </cfRule>
    <cfRule type="containsText" dxfId="1181" priority="1806" operator="containsText" text="Mayor">
      <formula>NOT(ISERROR(SEARCH("Mayor",G157)))</formula>
    </cfRule>
    <cfRule type="containsText" dxfId="1180" priority="1807" operator="containsText" text="Moderado">
      <formula>NOT(ISERROR(SEARCH("Moderado",G157)))</formula>
    </cfRule>
    <cfRule type="containsText" dxfId="1179" priority="1808" operator="containsText" text="Menor">
      <formula>NOT(ISERROR(SEARCH("Menor",G157)))</formula>
    </cfRule>
    <cfRule type="containsText" dxfId="1178" priority="1809" operator="containsText" text="Insignificante">
      <formula>NOT(ISERROR(SEARCH("Insignificante",G157)))</formula>
    </cfRule>
  </conditionalFormatting>
  <conditionalFormatting sqref="L157:P161">
    <cfRule type="containsText" dxfId="1177" priority="1785" operator="containsText" text="Catastrófico">
      <formula>NOT(ISERROR(SEARCH("Catastrófico",L157)))</formula>
    </cfRule>
    <cfRule type="containsText" dxfId="1176" priority="1786" operator="containsText" text="Mayor">
      <formula>NOT(ISERROR(SEARCH("Mayor",L157)))</formula>
    </cfRule>
    <cfRule type="containsText" dxfId="1175" priority="1787" operator="containsText" text="Moderado">
      <formula>NOT(ISERROR(SEARCH("Moderado",L157)))</formula>
    </cfRule>
    <cfRule type="containsText" dxfId="1174" priority="1788" operator="containsText" text="Menor">
      <formula>NOT(ISERROR(SEARCH("Menor",L157)))</formula>
    </cfRule>
    <cfRule type="containsText" dxfId="1173" priority="1789" operator="containsText" text="Insignificante">
      <formula>NOT(ISERROR(SEARCH("Insignificante",L157)))</formula>
    </cfRule>
  </conditionalFormatting>
  <conditionalFormatting sqref="G182:P186">
    <cfRule type="containsText" dxfId="1172" priority="1780" operator="containsText" text="Catastrófico">
      <formula>NOT(ISERROR(SEARCH("Catastrófico",G182)))</formula>
    </cfRule>
    <cfRule type="containsText" dxfId="1171" priority="1781" operator="containsText" text="Mayor">
      <formula>NOT(ISERROR(SEARCH("Mayor",G182)))</formula>
    </cfRule>
    <cfRule type="containsText" dxfId="1170" priority="1782" operator="containsText" text="Moderado">
      <formula>NOT(ISERROR(SEARCH("Moderado",G182)))</formula>
    </cfRule>
    <cfRule type="containsText" dxfId="1169" priority="1783" operator="containsText" text="Menor">
      <formula>NOT(ISERROR(SEARCH("Menor",G182)))</formula>
    </cfRule>
    <cfRule type="containsText" dxfId="1168" priority="1784" operator="containsText" text="Insignificante">
      <formula>NOT(ISERROR(SEARCH("Insignificante",G182)))</formula>
    </cfRule>
  </conditionalFormatting>
  <conditionalFormatting sqref="G187:P191">
    <cfRule type="containsText" dxfId="1167" priority="1775" operator="containsText" text="Catastrófico">
      <formula>NOT(ISERROR(SEARCH("Catastrófico",G187)))</formula>
    </cfRule>
    <cfRule type="containsText" dxfId="1166" priority="1776" operator="containsText" text="Mayor">
      <formula>NOT(ISERROR(SEARCH("Mayor",G187)))</formula>
    </cfRule>
    <cfRule type="containsText" dxfId="1165" priority="1777" operator="containsText" text="Moderado">
      <formula>NOT(ISERROR(SEARCH("Moderado",G187)))</formula>
    </cfRule>
    <cfRule type="containsText" dxfId="1164" priority="1778" operator="containsText" text="Menor">
      <formula>NOT(ISERROR(SEARCH("Menor",G187)))</formula>
    </cfRule>
    <cfRule type="containsText" dxfId="1163" priority="1779" operator="containsText" text="Insignificante">
      <formula>NOT(ISERROR(SEARCH("Insignificante",G187)))</formula>
    </cfRule>
  </conditionalFormatting>
  <conditionalFormatting sqref="G192:P196">
    <cfRule type="containsText" dxfId="1162" priority="1770" operator="containsText" text="Catastrófico">
      <formula>NOT(ISERROR(SEARCH("Catastrófico",G192)))</formula>
    </cfRule>
    <cfRule type="containsText" dxfId="1161" priority="1771" operator="containsText" text="Mayor">
      <formula>NOT(ISERROR(SEARCH("Mayor",G192)))</formula>
    </cfRule>
    <cfRule type="containsText" dxfId="1160" priority="1772" operator="containsText" text="Moderado">
      <formula>NOT(ISERROR(SEARCH("Moderado",G192)))</formula>
    </cfRule>
    <cfRule type="containsText" dxfId="1159" priority="1773" operator="containsText" text="Menor">
      <formula>NOT(ISERROR(SEARCH("Menor",G192)))</formula>
    </cfRule>
    <cfRule type="containsText" dxfId="1158" priority="1774" operator="containsText" text="Insignificante">
      <formula>NOT(ISERROR(SEARCH("Insignificante",G192)))</formula>
    </cfRule>
  </conditionalFormatting>
  <conditionalFormatting sqref="G197:P201">
    <cfRule type="containsText" dxfId="1157" priority="1765" operator="containsText" text="Catastrófico">
      <formula>NOT(ISERROR(SEARCH("Catastrófico",G197)))</formula>
    </cfRule>
    <cfRule type="containsText" dxfId="1156" priority="1766" operator="containsText" text="Mayor">
      <formula>NOT(ISERROR(SEARCH("Mayor",G197)))</formula>
    </cfRule>
    <cfRule type="containsText" dxfId="1155" priority="1767" operator="containsText" text="Moderado">
      <formula>NOT(ISERROR(SEARCH("Moderado",G197)))</formula>
    </cfRule>
    <cfRule type="containsText" dxfId="1154" priority="1768" operator="containsText" text="Menor">
      <formula>NOT(ISERROR(SEARCH("Menor",G197)))</formula>
    </cfRule>
    <cfRule type="containsText" dxfId="1153" priority="1769" operator="containsText" text="Insignificante">
      <formula>NOT(ISERROR(SEARCH("Insignificante",G197)))</formula>
    </cfRule>
  </conditionalFormatting>
  <conditionalFormatting sqref="G202:P206">
    <cfRule type="containsText" dxfId="1152" priority="1760" operator="containsText" text="Catastrófico">
      <formula>NOT(ISERROR(SEARCH("Catastrófico",G202)))</formula>
    </cfRule>
    <cfRule type="containsText" dxfId="1151" priority="1761" operator="containsText" text="Mayor">
      <formula>NOT(ISERROR(SEARCH("Mayor",G202)))</formula>
    </cfRule>
    <cfRule type="containsText" dxfId="1150" priority="1762" operator="containsText" text="Moderado">
      <formula>NOT(ISERROR(SEARCH("Moderado",G202)))</formula>
    </cfRule>
    <cfRule type="containsText" dxfId="1149" priority="1763" operator="containsText" text="Menor">
      <formula>NOT(ISERROR(SEARCH("Menor",G202)))</formula>
    </cfRule>
    <cfRule type="containsText" dxfId="1148" priority="1764" operator="containsText" text="Insignificante">
      <formula>NOT(ISERROR(SEARCH("Insignificante",G202)))</formula>
    </cfRule>
  </conditionalFormatting>
  <conditionalFormatting sqref="X207">
    <cfRule type="cellIs" dxfId="1147" priority="1756" operator="equal">
      <formula>"Extrema"</formula>
    </cfRule>
    <cfRule type="cellIs" dxfId="1146" priority="1757" operator="equal">
      <formula>"Alta"</formula>
    </cfRule>
    <cfRule type="cellIs" dxfId="1145" priority="1758" operator="equal">
      <formula>"Moderada"</formula>
    </cfRule>
    <cfRule type="cellIs" dxfId="1144" priority="1759" operator="equal">
      <formula>"Baja"</formula>
    </cfRule>
  </conditionalFormatting>
  <conditionalFormatting sqref="X212">
    <cfRule type="cellIs" dxfId="1143" priority="1740" operator="equal">
      <formula>"Extrema"</formula>
    </cfRule>
    <cfRule type="cellIs" dxfId="1142" priority="1741" operator="equal">
      <formula>"Alta"</formula>
    </cfRule>
    <cfRule type="cellIs" dxfId="1141" priority="1742" operator="equal">
      <formula>"Moderada"</formula>
    </cfRule>
    <cfRule type="cellIs" dxfId="1140" priority="1743" operator="equal">
      <formula>"Baja"</formula>
    </cfRule>
  </conditionalFormatting>
  <conditionalFormatting sqref="X217">
    <cfRule type="cellIs" dxfId="1139" priority="1736" operator="equal">
      <formula>"Extrema"</formula>
    </cfRule>
    <cfRule type="cellIs" dxfId="1138" priority="1737" operator="equal">
      <formula>"Alta"</formula>
    </cfRule>
    <cfRule type="cellIs" dxfId="1137" priority="1738" operator="equal">
      <formula>"Moderada"</formula>
    </cfRule>
    <cfRule type="cellIs" dxfId="1136" priority="1739" operator="equal">
      <formula>"Baja"</formula>
    </cfRule>
  </conditionalFormatting>
  <conditionalFormatting sqref="X222">
    <cfRule type="cellIs" dxfId="1135" priority="1732" operator="equal">
      <formula>"Extrema"</formula>
    </cfRule>
    <cfRule type="cellIs" dxfId="1134" priority="1733" operator="equal">
      <formula>"Alta"</formula>
    </cfRule>
    <cfRule type="cellIs" dxfId="1133" priority="1734" operator="equal">
      <formula>"Moderada"</formula>
    </cfRule>
    <cfRule type="cellIs" dxfId="1132" priority="1735" operator="equal">
      <formula>"Baja"</formula>
    </cfRule>
  </conditionalFormatting>
  <conditionalFormatting sqref="X227 X232 X237 X242 X247 X252">
    <cfRule type="cellIs" dxfId="1131" priority="1728" operator="equal">
      <formula>"Extrema"</formula>
    </cfRule>
    <cfRule type="cellIs" dxfId="1130" priority="1729" operator="equal">
      <formula>"Alta"</formula>
    </cfRule>
    <cfRule type="cellIs" dxfId="1129" priority="1730" operator="equal">
      <formula>"Moderada"</formula>
    </cfRule>
    <cfRule type="cellIs" dxfId="1128" priority="1731" operator="equal">
      <formula>"Baja"</formula>
    </cfRule>
  </conditionalFormatting>
  <conditionalFormatting sqref="L212:P231 G207:K231">
    <cfRule type="containsText" dxfId="1127" priority="1707" operator="containsText" text="Catastrófico">
      <formula>NOT(ISERROR(SEARCH("Catastrófico",G207)))</formula>
    </cfRule>
    <cfRule type="containsText" dxfId="1126" priority="1708" operator="containsText" text="Mayor">
      <formula>NOT(ISERROR(SEARCH("Mayor",G207)))</formula>
    </cfRule>
    <cfRule type="containsText" dxfId="1125" priority="1709" operator="containsText" text="Moderado">
      <formula>NOT(ISERROR(SEARCH("Moderado",G207)))</formula>
    </cfRule>
    <cfRule type="containsText" dxfId="1124" priority="1710" operator="containsText" text="Menor">
      <formula>NOT(ISERROR(SEARCH("Menor",G207)))</formula>
    </cfRule>
    <cfRule type="containsText" dxfId="1123" priority="1711" operator="containsText" text="Insignificante">
      <formula>NOT(ISERROR(SEARCH("Insignificante",G207)))</formula>
    </cfRule>
  </conditionalFormatting>
  <conditionalFormatting sqref="L207:P211">
    <cfRule type="containsText" dxfId="1122" priority="1687" operator="containsText" text="Catastrófico">
      <formula>NOT(ISERROR(SEARCH("Catastrófico",L207)))</formula>
    </cfRule>
    <cfRule type="containsText" dxfId="1121" priority="1688" operator="containsText" text="Mayor">
      <formula>NOT(ISERROR(SEARCH("Mayor",L207)))</formula>
    </cfRule>
    <cfRule type="containsText" dxfId="1120" priority="1689" operator="containsText" text="Moderado">
      <formula>NOT(ISERROR(SEARCH("Moderado",L207)))</formula>
    </cfRule>
    <cfRule type="containsText" dxfId="1119" priority="1690" operator="containsText" text="Menor">
      <formula>NOT(ISERROR(SEARCH("Menor",L207)))</formula>
    </cfRule>
    <cfRule type="containsText" dxfId="1118" priority="1691" operator="containsText" text="Insignificante">
      <formula>NOT(ISERROR(SEARCH("Insignificante",L207)))</formula>
    </cfRule>
  </conditionalFormatting>
  <conditionalFormatting sqref="G232:P236">
    <cfRule type="containsText" dxfId="1117" priority="1682" operator="containsText" text="Catastrófico">
      <formula>NOT(ISERROR(SEARCH("Catastrófico",G232)))</formula>
    </cfRule>
    <cfRule type="containsText" dxfId="1116" priority="1683" operator="containsText" text="Mayor">
      <formula>NOT(ISERROR(SEARCH("Mayor",G232)))</formula>
    </cfRule>
    <cfRule type="containsText" dxfId="1115" priority="1684" operator="containsText" text="Moderado">
      <formula>NOT(ISERROR(SEARCH("Moderado",G232)))</formula>
    </cfRule>
    <cfRule type="containsText" dxfId="1114" priority="1685" operator="containsText" text="Menor">
      <formula>NOT(ISERROR(SEARCH("Menor",G232)))</formula>
    </cfRule>
    <cfRule type="containsText" dxfId="1113" priority="1686" operator="containsText" text="Insignificante">
      <formula>NOT(ISERROR(SEARCH("Insignificante",G232)))</formula>
    </cfRule>
  </conditionalFormatting>
  <conditionalFormatting sqref="G237:P241">
    <cfRule type="containsText" dxfId="1112" priority="1677" operator="containsText" text="Catastrófico">
      <formula>NOT(ISERROR(SEARCH("Catastrófico",G237)))</formula>
    </cfRule>
    <cfRule type="containsText" dxfId="1111" priority="1678" operator="containsText" text="Mayor">
      <formula>NOT(ISERROR(SEARCH("Mayor",G237)))</formula>
    </cfRule>
    <cfRule type="containsText" dxfId="1110" priority="1679" operator="containsText" text="Moderado">
      <formula>NOT(ISERROR(SEARCH("Moderado",G237)))</formula>
    </cfRule>
    <cfRule type="containsText" dxfId="1109" priority="1680" operator="containsText" text="Menor">
      <formula>NOT(ISERROR(SEARCH("Menor",G237)))</formula>
    </cfRule>
    <cfRule type="containsText" dxfId="1108" priority="1681" operator="containsText" text="Insignificante">
      <formula>NOT(ISERROR(SEARCH("Insignificante",G237)))</formula>
    </cfRule>
  </conditionalFormatting>
  <conditionalFormatting sqref="G242:P246">
    <cfRule type="containsText" dxfId="1107" priority="1672" operator="containsText" text="Catastrófico">
      <formula>NOT(ISERROR(SEARCH("Catastrófico",G242)))</formula>
    </cfRule>
    <cfRule type="containsText" dxfId="1106" priority="1673" operator="containsText" text="Mayor">
      <formula>NOT(ISERROR(SEARCH("Mayor",G242)))</formula>
    </cfRule>
    <cfRule type="containsText" dxfId="1105" priority="1674" operator="containsText" text="Moderado">
      <formula>NOT(ISERROR(SEARCH("Moderado",G242)))</formula>
    </cfRule>
    <cfRule type="containsText" dxfId="1104" priority="1675" operator="containsText" text="Menor">
      <formula>NOT(ISERROR(SEARCH("Menor",G242)))</formula>
    </cfRule>
    <cfRule type="containsText" dxfId="1103" priority="1676" operator="containsText" text="Insignificante">
      <formula>NOT(ISERROR(SEARCH("Insignificante",G242)))</formula>
    </cfRule>
  </conditionalFormatting>
  <conditionalFormatting sqref="G247:P251">
    <cfRule type="containsText" dxfId="1102" priority="1667" operator="containsText" text="Catastrófico">
      <formula>NOT(ISERROR(SEARCH("Catastrófico",G247)))</formula>
    </cfRule>
    <cfRule type="containsText" dxfId="1101" priority="1668" operator="containsText" text="Mayor">
      <formula>NOT(ISERROR(SEARCH("Mayor",G247)))</formula>
    </cfRule>
    <cfRule type="containsText" dxfId="1100" priority="1669" operator="containsText" text="Moderado">
      <formula>NOT(ISERROR(SEARCH("Moderado",G247)))</formula>
    </cfRule>
    <cfRule type="containsText" dxfId="1099" priority="1670" operator="containsText" text="Menor">
      <formula>NOT(ISERROR(SEARCH("Menor",G247)))</formula>
    </cfRule>
    <cfRule type="containsText" dxfId="1098" priority="1671" operator="containsText" text="Insignificante">
      <formula>NOT(ISERROR(SEARCH("Insignificante",G247)))</formula>
    </cfRule>
  </conditionalFormatting>
  <conditionalFormatting sqref="G252:P256">
    <cfRule type="containsText" dxfId="1097" priority="1662" operator="containsText" text="Catastrófico">
      <formula>NOT(ISERROR(SEARCH("Catastrófico",G252)))</formula>
    </cfRule>
    <cfRule type="containsText" dxfId="1096" priority="1663" operator="containsText" text="Mayor">
      <formula>NOT(ISERROR(SEARCH("Mayor",G252)))</formula>
    </cfRule>
    <cfRule type="containsText" dxfId="1095" priority="1664" operator="containsText" text="Moderado">
      <formula>NOT(ISERROR(SEARCH("Moderado",G252)))</formula>
    </cfRule>
    <cfRule type="containsText" dxfId="1094" priority="1665" operator="containsText" text="Menor">
      <formula>NOT(ISERROR(SEARCH("Menor",G252)))</formula>
    </cfRule>
    <cfRule type="containsText" dxfId="1093" priority="1666" operator="containsText" text="Insignificante">
      <formula>NOT(ISERROR(SEARCH("Insignificante",G252)))</formula>
    </cfRule>
  </conditionalFormatting>
  <conditionalFormatting sqref="X257">
    <cfRule type="cellIs" dxfId="1092" priority="1658" operator="equal">
      <formula>"Extrema"</formula>
    </cfRule>
    <cfRule type="cellIs" dxfId="1091" priority="1659" operator="equal">
      <formula>"Alta"</formula>
    </cfRule>
    <cfRule type="cellIs" dxfId="1090" priority="1660" operator="equal">
      <formula>"Moderada"</formula>
    </cfRule>
    <cfRule type="cellIs" dxfId="1089" priority="1661" operator="equal">
      <formula>"Baja"</formula>
    </cfRule>
  </conditionalFormatting>
  <conditionalFormatting sqref="X262">
    <cfRule type="cellIs" dxfId="1088" priority="1642" operator="equal">
      <formula>"Extrema"</formula>
    </cfRule>
    <cfRule type="cellIs" dxfId="1087" priority="1643" operator="equal">
      <formula>"Alta"</formula>
    </cfRule>
    <cfRule type="cellIs" dxfId="1086" priority="1644" operator="equal">
      <formula>"Moderada"</formula>
    </cfRule>
    <cfRule type="cellIs" dxfId="1085" priority="1645" operator="equal">
      <formula>"Baja"</formula>
    </cfRule>
  </conditionalFormatting>
  <conditionalFormatting sqref="X267">
    <cfRule type="cellIs" dxfId="1084" priority="1638" operator="equal">
      <formula>"Extrema"</formula>
    </cfRule>
    <cfRule type="cellIs" dxfId="1083" priority="1639" operator="equal">
      <formula>"Alta"</formula>
    </cfRule>
    <cfRule type="cellIs" dxfId="1082" priority="1640" operator="equal">
      <formula>"Moderada"</formula>
    </cfRule>
    <cfRule type="cellIs" dxfId="1081" priority="1641" operator="equal">
      <formula>"Baja"</formula>
    </cfRule>
  </conditionalFormatting>
  <conditionalFormatting sqref="X272">
    <cfRule type="cellIs" dxfId="1080" priority="1634" operator="equal">
      <formula>"Extrema"</formula>
    </cfRule>
    <cfRule type="cellIs" dxfId="1079" priority="1635" operator="equal">
      <formula>"Alta"</formula>
    </cfRule>
    <cfRule type="cellIs" dxfId="1078" priority="1636" operator="equal">
      <formula>"Moderada"</formula>
    </cfRule>
    <cfRule type="cellIs" dxfId="1077" priority="1637" operator="equal">
      <formula>"Baja"</formula>
    </cfRule>
  </conditionalFormatting>
  <conditionalFormatting sqref="X277 X282 X287 X292 X297 X302">
    <cfRule type="cellIs" dxfId="1076" priority="1630" operator="equal">
      <formula>"Extrema"</formula>
    </cfRule>
    <cfRule type="cellIs" dxfId="1075" priority="1631" operator="equal">
      <formula>"Alta"</formula>
    </cfRule>
    <cfRule type="cellIs" dxfId="1074" priority="1632" operator="equal">
      <formula>"Moderada"</formula>
    </cfRule>
    <cfRule type="cellIs" dxfId="1073" priority="1633" operator="equal">
      <formula>"Baja"</formula>
    </cfRule>
  </conditionalFormatting>
  <conditionalFormatting sqref="L262:P281 G257:K281">
    <cfRule type="containsText" dxfId="1072" priority="1609" operator="containsText" text="Catastrófico">
      <formula>NOT(ISERROR(SEARCH("Catastrófico",G257)))</formula>
    </cfRule>
    <cfRule type="containsText" dxfId="1071" priority="1610" operator="containsText" text="Mayor">
      <formula>NOT(ISERROR(SEARCH("Mayor",G257)))</formula>
    </cfRule>
    <cfRule type="containsText" dxfId="1070" priority="1611" operator="containsText" text="Moderado">
      <formula>NOT(ISERROR(SEARCH("Moderado",G257)))</formula>
    </cfRule>
    <cfRule type="containsText" dxfId="1069" priority="1612" operator="containsText" text="Menor">
      <formula>NOT(ISERROR(SEARCH("Menor",G257)))</formula>
    </cfRule>
    <cfRule type="containsText" dxfId="1068" priority="1613" operator="containsText" text="Insignificante">
      <formula>NOT(ISERROR(SEARCH("Insignificante",G257)))</formula>
    </cfRule>
  </conditionalFormatting>
  <conditionalFormatting sqref="L257:P261">
    <cfRule type="containsText" dxfId="1067" priority="1589" operator="containsText" text="Catastrófico">
      <formula>NOT(ISERROR(SEARCH("Catastrófico",L257)))</formula>
    </cfRule>
    <cfRule type="containsText" dxfId="1066" priority="1590" operator="containsText" text="Mayor">
      <formula>NOT(ISERROR(SEARCH("Mayor",L257)))</formula>
    </cfRule>
    <cfRule type="containsText" dxfId="1065" priority="1591" operator="containsText" text="Moderado">
      <formula>NOT(ISERROR(SEARCH("Moderado",L257)))</formula>
    </cfRule>
    <cfRule type="containsText" dxfId="1064" priority="1592" operator="containsText" text="Menor">
      <formula>NOT(ISERROR(SEARCH("Menor",L257)))</formula>
    </cfRule>
    <cfRule type="containsText" dxfId="1063" priority="1593" operator="containsText" text="Insignificante">
      <formula>NOT(ISERROR(SEARCH("Insignificante",L257)))</formula>
    </cfRule>
  </conditionalFormatting>
  <conditionalFormatting sqref="G282:P286">
    <cfRule type="containsText" dxfId="1062" priority="1584" operator="containsText" text="Catastrófico">
      <formula>NOT(ISERROR(SEARCH("Catastrófico",G282)))</formula>
    </cfRule>
    <cfRule type="containsText" dxfId="1061" priority="1585" operator="containsText" text="Mayor">
      <formula>NOT(ISERROR(SEARCH("Mayor",G282)))</formula>
    </cfRule>
    <cfRule type="containsText" dxfId="1060" priority="1586" operator="containsText" text="Moderado">
      <formula>NOT(ISERROR(SEARCH("Moderado",G282)))</formula>
    </cfRule>
    <cfRule type="containsText" dxfId="1059" priority="1587" operator="containsText" text="Menor">
      <formula>NOT(ISERROR(SEARCH("Menor",G282)))</formula>
    </cfRule>
    <cfRule type="containsText" dxfId="1058" priority="1588" operator="containsText" text="Insignificante">
      <formula>NOT(ISERROR(SEARCH("Insignificante",G282)))</formula>
    </cfRule>
  </conditionalFormatting>
  <conditionalFormatting sqref="G287:P291">
    <cfRule type="containsText" dxfId="1057" priority="1579" operator="containsText" text="Catastrófico">
      <formula>NOT(ISERROR(SEARCH("Catastrófico",G287)))</formula>
    </cfRule>
    <cfRule type="containsText" dxfId="1056" priority="1580" operator="containsText" text="Mayor">
      <formula>NOT(ISERROR(SEARCH("Mayor",G287)))</formula>
    </cfRule>
    <cfRule type="containsText" dxfId="1055" priority="1581" operator="containsText" text="Moderado">
      <formula>NOT(ISERROR(SEARCH("Moderado",G287)))</formula>
    </cfRule>
    <cfRule type="containsText" dxfId="1054" priority="1582" operator="containsText" text="Menor">
      <formula>NOT(ISERROR(SEARCH("Menor",G287)))</formula>
    </cfRule>
    <cfRule type="containsText" dxfId="1053" priority="1583" operator="containsText" text="Insignificante">
      <formula>NOT(ISERROR(SEARCH("Insignificante",G287)))</formula>
    </cfRule>
  </conditionalFormatting>
  <conditionalFormatting sqref="G292:P296">
    <cfRule type="containsText" dxfId="1052" priority="1574" operator="containsText" text="Catastrófico">
      <formula>NOT(ISERROR(SEARCH("Catastrófico",G292)))</formula>
    </cfRule>
    <cfRule type="containsText" dxfId="1051" priority="1575" operator="containsText" text="Mayor">
      <formula>NOT(ISERROR(SEARCH("Mayor",G292)))</formula>
    </cfRule>
    <cfRule type="containsText" dxfId="1050" priority="1576" operator="containsText" text="Moderado">
      <formula>NOT(ISERROR(SEARCH("Moderado",G292)))</formula>
    </cfRule>
    <cfRule type="containsText" dxfId="1049" priority="1577" operator="containsText" text="Menor">
      <formula>NOT(ISERROR(SEARCH("Menor",G292)))</formula>
    </cfRule>
    <cfRule type="containsText" dxfId="1048" priority="1578" operator="containsText" text="Insignificante">
      <formula>NOT(ISERROR(SEARCH("Insignificante",G292)))</formula>
    </cfRule>
  </conditionalFormatting>
  <conditionalFormatting sqref="G297:P301">
    <cfRule type="containsText" dxfId="1047" priority="1569" operator="containsText" text="Catastrófico">
      <formula>NOT(ISERROR(SEARCH("Catastrófico",G297)))</formula>
    </cfRule>
    <cfRule type="containsText" dxfId="1046" priority="1570" operator="containsText" text="Mayor">
      <formula>NOT(ISERROR(SEARCH("Mayor",G297)))</formula>
    </cfRule>
    <cfRule type="containsText" dxfId="1045" priority="1571" operator="containsText" text="Moderado">
      <formula>NOT(ISERROR(SEARCH("Moderado",G297)))</formula>
    </cfRule>
    <cfRule type="containsText" dxfId="1044" priority="1572" operator="containsText" text="Menor">
      <formula>NOT(ISERROR(SEARCH("Menor",G297)))</formula>
    </cfRule>
    <cfRule type="containsText" dxfId="1043" priority="1573" operator="containsText" text="Insignificante">
      <formula>NOT(ISERROR(SEARCH("Insignificante",G297)))</formula>
    </cfRule>
  </conditionalFormatting>
  <conditionalFormatting sqref="G302:P306">
    <cfRule type="containsText" dxfId="1042" priority="1564" operator="containsText" text="Catastrófico">
      <formula>NOT(ISERROR(SEARCH("Catastrófico",G302)))</formula>
    </cfRule>
    <cfRule type="containsText" dxfId="1041" priority="1565" operator="containsText" text="Mayor">
      <formula>NOT(ISERROR(SEARCH("Mayor",G302)))</formula>
    </cfRule>
    <cfRule type="containsText" dxfId="1040" priority="1566" operator="containsText" text="Moderado">
      <formula>NOT(ISERROR(SEARCH("Moderado",G302)))</formula>
    </cfRule>
    <cfRule type="containsText" dxfId="1039" priority="1567" operator="containsText" text="Menor">
      <formula>NOT(ISERROR(SEARCH("Menor",G302)))</formula>
    </cfRule>
    <cfRule type="containsText" dxfId="1038" priority="1568" operator="containsText" text="Insignificante">
      <formula>NOT(ISERROR(SEARCH("Insignificante",G302)))</formula>
    </cfRule>
  </conditionalFormatting>
  <conditionalFormatting sqref="X307">
    <cfRule type="cellIs" dxfId="1037" priority="1560" operator="equal">
      <formula>"Extrema"</formula>
    </cfRule>
    <cfRule type="cellIs" dxfId="1036" priority="1561" operator="equal">
      <formula>"Alta"</formula>
    </cfRule>
    <cfRule type="cellIs" dxfId="1035" priority="1562" operator="equal">
      <formula>"Moderada"</formula>
    </cfRule>
    <cfRule type="cellIs" dxfId="1034" priority="1563" operator="equal">
      <formula>"Baja"</formula>
    </cfRule>
  </conditionalFormatting>
  <conditionalFormatting sqref="X312">
    <cfRule type="cellIs" dxfId="1033" priority="1544" operator="equal">
      <formula>"Extrema"</formula>
    </cfRule>
    <cfRule type="cellIs" dxfId="1032" priority="1545" operator="equal">
      <formula>"Alta"</formula>
    </cfRule>
    <cfRule type="cellIs" dxfId="1031" priority="1546" operator="equal">
      <formula>"Moderada"</formula>
    </cfRule>
    <cfRule type="cellIs" dxfId="1030" priority="1547" operator="equal">
      <formula>"Baja"</formula>
    </cfRule>
  </conditionalFormatting>
  <conditionalFormatting sqref="X317">
    <cfRule type="cellIs" dxfId="1029" priority="1540" operator="equal">
      <formula>"Extrema"</formula>
    </cfRule>
    <cfRule type="cellIs" dxfId="1028" priority="1541" operator="equal">
      <formula>"Alta"</formula>
    </cfRule>
    <cfRule type="cellIs" dxfId="1027" priority="1542" operator="equal">
      <formula>"Moderada"</formula>
    </cfRule>
    <cfRule type="cellIs" dxfId="1026" priority="1543" operator="equal">
      <formula>"Baja"</formula>
    </cfRule>
  </conditionalFormatting>
  <conditionalFormatting sqref="X322">
    <cfRule type="cellIs" dxfId="1025" priority="1536" operator="equal">
      <formula>"Extrema"</formula>
    </cfRule>
    <cfRule type="cellIs" dxfId="1024" priority="1537" operator="equal">
      <formula>"Alta"</formula>
    </cfRule>
    <cfRule type="cellIs" dxfId="1023" priority="1538" operator="equal">
      <formula>"Moderada"</formula>
    </cfRule>
    <cfRule type="cellIs" dxfId="1022" priority="1539" operator="equal">
      <formula>"Baja"</formula>
    </cfRule>
  </conditionalFormatting>
  <conditionalFormatting sqref="X327 X332 X337 X342 X347 X352">
    <cfRule type="cellIs" dxfId="1021" priority="1532" operator="equal">
      <formula>"Extrema"</formula>
    </cfRule>
    <cfRule type="cellIs" dxfId="1020" priority="1533" operator="equal">
      <formula>"Alta"</formula>
    </cfRule>
    <cfRule type="cellIs" dxfId="1019" priority="1534" operator="equal">
      <formula>"Moderada"</formula>
    </cfRule>
    <cfRule type="cellIs" dxfId="1018" priority="1535" operator="equal">
      <formula>"Baja"</formula>
    </cfRule>
  </conditionalFormatting>
  <conditionalFormatting sqref="L312:P331 G307:K331">
    <cfRule type="containsText" dxfId="1017" priority="1511" operator="containsText" text="Catastrófico">
      <formula>NOT(ISERROR(SEARCH("Catastrófico",G307)))</formula>
    </cfRule>
    <cfRule type="containsText" dxfId="1016" priority="1512" operator="containsText" text="Mayor">
      <formula>NOT(ISERROR(SEARCH("Mayor",G307)))</formula>
    </cfRule>
    <cfRule type="containsText" dxfId="1015" priority="1513" operator="containsText" text="Moderado">
      <formula>NOT(ISERROR(SEARCH("Moderado",G307)))</formula>
    </cfRule>
    <cfRule type="containsText" dxfId="1014" priority="1514" operator="containsText" text="Menor">
      <formula>NOT(ISERROR(SEARCH("Menor",G307)))</formula>
    </cfRule>
    <cfRule type="containsText" dxfId="1013" priority="1515" operator="containsText" text="Insignificante">
      <formula>NOT(ISERROR(SEARCH("Insignificante",G307)))</formula>
    </cfRule>
  </conditionalFormatting>
  <conditionalFormatting sqref="L307:P311">
    <cfRule type="containsText" dxfId="1012" priority="1491" operator="containsText" text="Catastrófico">
      <formula>NOT(ISERROR(SEARCH("Catastrófico",L307)))</formula>
    </cfRule>
    <cfRule type="containsText" dxfId="1011" priority="1492" operator="containsText" text="Mayor">
      <formula>NOT(ISERROR(SEARCH("Mayor",L307)))</formula>
    </cfRule>
    <cfRule type="containsText" dxfId="1010" priority="1493" operator="containsText" text="Moderado">
      <formula>NOT(ISERROR(SEARCH("Moderado",L307)))</formula>
    </cfRule>
    <cfRule type="containsText" dxfId="1009" priority="1494" operator="containsText" text="Menor">
      <formula>NOT(ISERROR(SEARCH("Menor",L307)))</formula>
    </cfRule>
    <cfRule type="containsText" dxfId="1008" priority="1495" operator="containsText" text="Insignificante">
      <formula>NOT(ISERROR(SEARCH("Insignificante",L307)))</formula>
    </cfRule>
  </conditionalFormatting>
  <conditionalFormatting sqref="G332:P336">
    <cfRule type="containsText" dxfId="1007" priority="1486" operator="containsText" text="Catastrófico">
      <formula>NOT(ISERROR(SEARCH("Catastrófico",G332)))</formula>
    </cfRule>
    <cfRule type="containsText" dxfId="1006" priority="1487" operator="containsText" text="Mayor">
      <formula>NOT(ISERROR(SEARCH("Mayor",G332)))</formula>
    </cfRule>
    <cfRule type="containsText" dxfId="1005" priority="1488" operator="containsText" text="Moderado">
      <formula>NOT(ISERROR(SEARCH("Moderado",G332)))</formula>
    </cfRule>
    <cfRule type="containsText" dxfId="1004" priority="1489" operator="containsText" text="Menor">
      <formula>NOT(ISERROR(SEARCH("Menor",G332)))</formula>
    </cfRule>
    <cfRule type="containsText" dxfId="1003" priority="1490" operator="containsText" text="Insignificante">
      <formula>NOT(ISERROR(SEARCH("Insignificante",G332)))</formula>
    </cfRule>
  </conditionalFormatting>
  <conditionalFormatting sqref="G337:P341">
    <cfRule type="containsText" dxfId="1002" priority="1481" operator="containsText" text="Catastrófico">
      <formula>NOT(ISERROR(SEARCH("Catastrófico",G337)))</formula>
    </cfRule>
    <cfRule type="containsText" dxfId="1001" priority="1482" operator="containsText" text="Mayor">
      <formula>NOT(ISERROR(SEARCH("Mayor",G337)))</formula>
    </cfRule>
    <cfRule type="containsText" dxfId="1000" priority="1483" operator="containsText" text="Moderado">
      <formula>NOT(ISERROR(SEARCH("Moderado",G337)))</formula>
    </cfRule>
    <cfRule type="containsText" dxfId="999" priority="1484" operator="containsText" text="Menor">
      <formula>NOT(ISERROR(SEARCH("Menor",G337)))</formula>
    </cfRule>
    <cfRule type="containsText" dxfId="998" priority="1485" operator="containsText" text="Insignificante">
      <formula>NOT(ISERROR(SEARCH("Insignificante",G337)))</formula>
    </cfRule>
  </conditionalFormatting>
  <conditionalFormatting sqref="G342:P346">
    <cfRule type="containsText" dxfId="997" priority="1476" operator="containsText" text="Catastrófico">
      <formula>NOT(ISERROR(SEARCH("Catastrófico",G342)))</formula>
    </cfRule>
    <cfRule type="containsText" dxfId="996" priority="1477" operator="containsText" text="Mayor">
      <formula>NOT(ISERROR(SEARCH("Mayor",G342)))</formula>
    </cfRule>
    <cfRule type="containsText" dxfId="995" priority="1478" operator="containsText" text="Moderado">
      <formula>NOT(ISERROR(SEARCH("Moderado",G342)))</formula>
    </cfRule>
    <cfRule type="containsText" dxfId="994" priority="1479" operator="containsText" text="Menor">
      <formula>NOT(ISERROR(SEARCH("Menor",G342)))</formula>
    </cfRule>
    <cfRule type="containsText" dxfId="993" priority="1480" operator="containsText" text="Insignificante">
      <formula>NOT(ISERROR(SEARCH("Insignificante",G342)))</formula>
    </cfRule>
  </conditionalFormatting>
  <conditionalFormatting sqref="G347:P351">
    <cfRule type="containsText" dxfId="992" priority="1471" operator="containsText" text="Catastrófico">
      <formula>NOT(ISERROR(SEARCH("Catastrófico",G347)))</formula>
    </cfRule>
    <cfRule type="containsText" dxfId="991" priority="1472" operator="containsText" text="Mayor">
      <formula>NOT(ISERROR(SEARCH("Mayor",G347)))</formula>
    </cfRule>
    <cfRule type="containsText" dxfId="990" priority="1473" operator="containsText" text="Moderado">
      <formula>NOT(ISERROR(SEARCH("Moderado",G347)))</formula>
    </cfRule>
    <cfRule type="containsText" dxfId="989" priority="1474" operator="containsText" text="Menor">
      <formula>NOT(ISERROR(SEARCH("Menor",G347)))</formula>
    </cfRule>
    <cfRule type="containsText" dxfId="988" priority="1475" operator="containsText" text="Insignificante">
      <formula>NOT(ISERROR(SEARCH("Insignificante",G347)))</formula>
    </cfRule>
  </conditionalFormatting>
  <conditionalFormatting sqref="G352:P356">
    <cfRule type="containsText" dxfId="987" priority="1466" operator="containsText" text="Catastrófico">
      <formula>NOT(ISERROR(SEARCH("Catastrófico",G352)))</formula>
    </cfRule>
    <cfRule type="containsText" dxfId="986" priority="1467" operator="containsText" text="Mayor">
      <formula>NOT(ISERROR(SEARCH("Mayor",G352)))</formula>
    </cfRule>
    <cfRule type="containsText" dxfId="985" priority="1468" operator="containsText" text="Moderado">
      <formula>NOT(ISERROR(SEARCH("Moderado",G352)))</formula>
    </cfRule>
    <cfRule type="containsText" dxfId="984" priority="1469" operator="containsText" text="Menor">
      <formula>NOT(ISERROR(SEARCH("Menor",G352)))</formula>
    </cfRule>
    <cfRule type="containsText" dxfId="983" priority="1470" operator="containsText" text="Insignificante">
      <formula>NOT(ISERROR(SEARCH("Insignificante",G352)))</formula>
    </cfRule>
  </conditionalFormatting>
  <conditionalFormatting sqref="X357">
    <cfRule type="cellIs" dxfId="982" priority="1462" operator="equal">
      <formula>"Extrema"</formula>
    </cfRule>
    <cfRule type="cellIs" dxfId="981" priority="1463" operator="equal">
      <formula>"Alta"</formula>
    </cfRule>
    <cfRule type="cellIs" dxfId="980" priority="1464" operator="equal">
      <formula>"Moderada"</formula>
    </cfRule>
    <cfRule type="cellIs" dxfId="979" priority="1465" operator="equal">
      <formula>"Baja"</formula>
    </cfRule>
  </conditionalFormatting>
  <conditionalFormatting sqref="X362">
    <cfRule type="cellIs" dxfId="978" priority="1446" operator="equal">
      <formula>"Extrema"</formula>
    </cfRule>
    <cfRule type="cellIs" dxfId="977" priority="1447" operator="equal">
      <formula>"Alta"</formula>
    </cfRule>
    <cfRule type="cellIs" dxfId="976" priority="1448" operator="equal">
      <formula>"Moderada"</formula>
    </cfRule>
    <cfRule type="cellIs" dxfId="975" priority="1449" operator="equal">
      <formula>"Baja"</formula>
    </cfRule>
  </conditionalFormatting>
  <conditionalFormatting sqref="X367">
    <cfRule type="cellIs" dxfId="974" priority="1442" operator="equal">
      <formula>"Extrema"</formula>
    </cfRule>
    <cfRule type="cellIs" dxfId="973" priority="1443" operator="equal">
      <formula>"Alta"</formula>
    </cfRule>
    <cfRule type="cellIs" dxfId="972" priority="1444" operator="equal">
      <formula>"Moderada"</formula>
    </cfRule>
    <cfRule type="cellIs" dxfId="971" priority="1445" operator="equal">
      <formula>"Baja"</formula>
    </cfRule>
  </conditionalFormatting>
  <conditionalFormatting sqref="X372">
    <cfRule type="cellIs" dxfId="970" priority="1438" operator="equal">
      <formula>"Extrema"</formula>
    </cfRule>
    <cfRule type="cellIs" dxfId="969" priority="1439" operator="equal">
      <formula>"Alta"</formula>
    </cfRule>
    <cfRule type="cellIs" dxfId="968" priority="1440" operator="equal">
      <formula>"Moderada"</formula>
    </cfRule>
    <cfRule type="cellIs" dxfId="967" priority="1441" operator="equal">
      <formula>"Baja"</formula>
    </cfRule>
  </conditionalFormatting>
  <conditionalFormatting sqref="X377 X382 X387 X392 X397 X402">
    <cfRule type="cellIs" dxfId="966" priority="1434" operator="equal">
      <formula>"Extrema"</formula>
    </cfRule>
    <cfRule type="cellIs" dxfId="965" priority="1435" operator="equal">
      <formula>"Alta"</formula>
    </cfRule>
    <cfRule type="cellIs" dxfId="964" priority="1436" operator="equal">
      <formula>"Moderada"</formula>
    </cfRule>
    <cfRule type="cellIs" dxfId="963" priority="1437" operator="equal">
      <formula>"Baja"</formula>
    </cfRule>
  </conditionalFormatting>
  <conditionalFormatting sqref="L362:P381 G357:K381">
    <cfRule type="containsText" dxfId="962" priority="1413" operator="containsText" text="Catastrófico">
      <formula>NOT(ISERROR(SEARCH("Catastrófico",G357)))</formula>
    </cfRule>
    <cfRule type="containsText" dxfId="961" priority="1414" operator="containsText" text="Mayor">
      <formula>NOT(ISERROR(SEARCH("Mayor",G357)))</formula>
    </cfRule>
    <cfRule type="containsText" dxfId="960" priority="1415" operator="containsText" text="Moderado">
      <formula>NOT(ISERROR(SEARCH("Moderado",G357)))</formula>
    </cfRule>
    <cfRule type="containsText" dxfId="959" priority="1416" operator="containsText" text="Menor">
      <formula>NOT(ISERROR(SEARCH("Menor",G357)))</formula>
    </cfRule>
    <cfRule type="containsText" dxfId="958" priority="1417" operator="containsText" text="Insignificante">
      <formula>NOT(ISERROR(SEARCH("Insignificante",G357)))</formula>
    </cfRule>
  </conditionalFormatting>
  <conditionalFormatting sqref="L357:P361">
    <cfRule type="containsText" dxfId="957" priority="1393" operator="containsText" text="Catastrófico">
      <formula>NOT(ISERROR(SEARCH("Catastrófico",L357)))</formula>
    </cfRule>
    <cfRule type="containsText" dxfId="956" priority="1394" operator="containsText" text="Mayor">
      <formula>NOT(ISERROR(SEARCH("Mayor",L357)))</formula>
    </cfRule>
    <cfRule type="containsText" dxfId="955" priority="1395" operator="containsText" text="Moderado">
      <formula>NOT(ISERROR(SEARCH("Moderado",L357)))</formula>
    </cfRule>
    <cfRule type="containsText" dxfId="954" priority="1396" operator="containsText" text="Menor">
      <formula>NOT(ISERROR(SEARCH("Menor",L357)))</formula>
    </cfRule>
    <cfRule type="containsText" dxfId="953" priority="1397" operator="containsText" text="Insignificante">
      <formula>NOT(ISERROR(SEARCH("Insignificante",L357)))</formula>
    </cfRule>
  </conditionalFormatting>
  <conditionalFormatting sqref="G382:P386">
    <cfRule type="containsText" dxfId="952" priority="1388" operator="containsText" text="Catastrófico">
      <formula>NOT(ISERROR(SEARCH("Catastrófico",G382)))</formula>
    </cfRule>
    <cfRule type="containsText" dxfId="951" priority="1389" operator="containsText" text="Mayor">
      <formula>NOT(ISERROR(SEARCH("Mayor",G382)))</formula>
    </cfRule>
    <cfRule type="containsText" dxfId="950" priority="1390" operator="containsText" text="Moderado">
      <formula>NOT(ISERROR(SEARCH("Moderado",G382)))</formula>
    </cfRule>
    <cfRule type="containsText" dxfId="949" priority="1391" operator="containsText" text="Menor">
      <formula>NOT(ISERROR(SEARCH("Menor",G382)))</formula>
    </cfRule>
    <cfRule type="containsText" dxfId="948" priority="1392" operator="containsText" text="Insignificante">
      <formula>NOT(ISERROR(SEARCH("Insignificante",G382)))</formula>
    </cfRule>
  </conditionalFormatting>
  <conditionalFormatting sqref="G387:P391">
    <cfRule type="containsText" dxfId="947" priority="1383" operator="containsText" text="Catastrófico">
      <formula>NOT(ISERROR(SEARCH("Catastrófico",G387)))</formula>
    </cfRule>
    <cfRule type="containsText" dxfId="946" priority="1384" operator="containsText" text="Mayor">
      <formula>NOT(ISERROR(SEARCH("Mayor",G387)))</formula>
    </cfRule>
    <cfRule type="containsText" dxfId="945" priority="1385" operator="containsText" text="Moderado">
      <formula>NOT(ISERROR(SEARCH("Moderado",G387)))</formula>
    </cfRule>
    <cfRule type="containsText" dxfId="944" priority="1386" operator="containsText" text="Menor">
      <formula>NOT(ISERROR(SEARCH("Menor",G387)))</formula>
    </cfRule>
    <cfRule type="containsText" dxfId="943" priority="1387" operator="containsText" text="Insignificante">
      <formula>NOT(ISERROR(SEARCH("Insignificante",G387)))</formula>
    </cfRule>
  </conditionalFormatting>
  <conditionalFormatting sqref="G392:P396">
    <cfRule type="containsText" dxfId="942" priority="1378" operator="containsText" text="Catastrófico">
      <formula>NOT(ISERROR(SEARCH("Catastrófico",G392)))</formula>
    </cfRule>
    <cfRule type="containsText" dxfId="941" priority="1379" operator="containsText" text="Mayor">
      <formula>NOT(ISERROR(SEARCH("Mayor",G392)))</formula>
    </cfRule>
    <cfRule type="containsText" dxfId="940" priority="1380" operator="containsText" text="Moderado">
      <formula>NOT(ISERROR(SEARCH("Moderado",G392)))</formula>
    </cfRule>
    <cfRule type="containsText" dxfId="939" priority="1381" operator="containsText" text="Menor">
      <formula>NOT(ISERROR(SEARCH("Menor",G392)))</formula>
    </cfRule>
    <cfRule type="containsText" dxfId="938" priority="1382" operator="containsText" text="Insignificante">
      <formula>NOT(ISERROR(SEARCH("Insignificante",G392)))</formula>
    </cfRule>
  </conditionalFormatting>
  <conditionalFormatting sqref="G397:P401">
    <cfRule type="containsText" dxfId="937" priority="1373" operator="containsText" text="Catastrófico">
      <formula>NOT(ISERROR(SEARCH("Catastrófico",G397)))</formula>
    </cfRule>
    <cfRule type="containsText" dxfId="936" priority="1374" operator="containsText" text="Mayor">
      <formula>NOT(ISERROR(SEARCH("Mayor",G397)))</formula>
    </cfRule>
    <cfRule type="containsText" dxfId="935" priority="1375" operator="containsText" text="Moderado">
      <formula>NOT(ISERROR(SEARCH("Moderado",G397)))</formula>
    </cfRule>
    <cfRule type="containsText" dxfId="934" priority="1376" operator="containsText" text="Menor">
      <formula>NOT(ISERROR(SEARCH("Menor",G397)))</formula>
    </cfRule>
    <cfRule type="containsText" dxfId="933" priority="1377" operator="containsText" text="Insignificante">
      <formula>NOT(ISERROR(SEARCH("Insignificante",G397)))</formula>
    </cfRule>
  </conditionalFormatting>
  <conditionalFormatting sqref="G402:P406">
    <cfRule type="containsText" dxfId="932" priority="1368" operator="containsText" text="Catastrófico">
      <formula>NOT(ISERROR(SEARCH("Catastrófico",G402)))</formula>
    </cfRule>
    <cfRule type="containsText" dxfId="931" priority="1369" operator="containsText" text="Mayor">
      <formula>NOT(ISERROR(SEARCH("Mayor",G402)))</formula>
    </cfRule>
    <cfRule type="containsText" dxfId="930" priority="1370" operator="containsText" text="Moderado">
      <formula>NOT(ISERROR(SEARCH("Moderado",G402)))</formula>
    </cfRule>
    <cfRule type="containsText" dxfId="929" priority="1371" operator="containsText" text="Menor">
      <formula>NOT(ISERROR(SEARCH("Menor",G402)))</formula>
    </cfRule>
    <cfRule type="containsText" dxfId="928" priority="1372" operator="containsText" text="Insignificante">
      <formula>NOT(ISERROR(SEARCH("Insignificante",G402)))</formula>
    </cfRule>
  </conditionalFormatting>
  <conditionalFormatting sqref="X407">
    <cfRule type="cellIs" dxfId="927" priority="1364" operator="equal">
      <formula>"Extrema"</formula>
    </cfRule>
    <cfRule type="cellIs" dxfId="926" priority="1365" operator="equal">
      <formula>"Alta"</formula>
    </cfRule>
    <cfRule type="cellIs" dxfId="925" priority="1366" operator="equal">
      <formula>"Moderada"</formula>
    </cfRule>
    <cfRule type="cellIs" dxfId="924" priority="1367" operator="equal">
      <formula>"Baja"</formula>
    </cfRule>
  </conditionalFormatting>
  <conditionalFormatting sqref="X412">
    <cfRule type="cellIs" dxfId="923" priority="1348" operator="equal">
      <formula>"Extrema"</formula>
    </cfRule>
    <cfRule type="cellIs" dxfId="922" priority="1349" operator="equal">
      <formula>"Alta"</formula>
    </cfRule>
    <cfRule type="cellIs" dxfId="921" priority="1350" operator="equal">
      <formula>"Moderada"</formula>
    </cfRule>
    <cfRule type="cellIs" dxfId="920" priority="1351" operator="equal">
      <formula>"Baja"</formula>
    </cfRule>
  </conditionalFormatting>
  <conditionalFormatting sqref="X417">
    <cfRule type="cellIs" dxfId="919" priority="1344" operator="equal">
      <formula>"Extrema"</formula>
    </cfRule>
    <cfRule type="cellIs" dxfId="918" priority="1345" operator="equal">
      <formula>"Alta"</formula>
    </cfRule>
    <cfRule type="cellIs" dxfId="917" priority="1346" operator="equal">
      <formula>"Moderada"</formula>
    </cfRule>
    <cfRule type="cellIs" dxfId="916" priority="1347" operator="equal">
      <formula>"Baja"</formula>
    </cfRule>
  </conditionalFormatting>
  <conditionalFormatting sqref="X422">
    <cfRule type="cellIs" dxfId="915" priority="1340" operator="equal">
      <formula>"Extrema"</formula>
    </cfRule>
    <cfRule type="cellIs" dxfId="914" priority="1341" operator="equal">
      <formula>"Alta"</formula>
    </cfRule>
    <cfRule type="cellIs" dxfId="913" priority="1342" operator="equal">
      <formula>"Moderada"</formula>
    </cfRule>
    <cfRule type="cellIs" dxfId="912" priority="1343" operator="equal">
      <formula>"Baja"</formula>
    </cfRule>
  </conditionalFormatting>
  <conditionalFormatting sqref="X427 X432 X437 X442 X447 X452">
    <cfRule type="cellIs" dxfId="911" priority="1336" operator="equal">
      <formula>"Extrema"</formula>
    </cfRule>
    <cfRule type="cellIs" dxfId="910" priority="1337" operator="equal">
      <formula>"Alta"</formula>
    </cfRule>
    <cfRule type="cellIs" dxfId="909" priority="1338" operator="equal">
      <formula>"Moderada"</formula>
    </cfRule>
    <cfRule type="cellIs" dxfId="908" priority="1339" operator="equal">
      <formula>"Baja"</formula>
    </cfRule>
  </conditionalFormatting>
  <conditionalFormatting sqref="G407:G431 H422:H431 I412:P431">
    <cfRule type="containsText" dxfId="907" priority="1315" operator="containsText" text="Catastrófico">
      <formula>NOT(ISERROR(SEARCH("Catastrófico",G407)))</formula>
    </cfRule>
    <cfRule type="containsText" dxfId="906" priority="1316" operator="containsText" text="Mayor">
      <formula>NOT(ISERROR(SEARCH("Mayor",G407)))</formula>
    </cfRule>
    <cfRule type="containsText" dxfId="905" priority="1317" operator="containsText" text="Moderado">
      <formula>NOT(ISERROR(SEARCH("Moderado",G407)))</formula>
    </cfRule>
    <cfRule type="containsText" dxfId="904" priority="1318" operator="containsText" text="Menor">
      <formula>NOT(ISERROR(SEARCH("Menor",G407)))</formula>
    </cfRule>
    <cfRule type="containsText" dxfId="903" priority="1319" operator="containsText" text="Insignificante">
      <formula>NOT(ISERROR(SEARCH("Insignificante",G407)))</formula>
    </cfRule>
  </conditionalFormatting>
  <conditionalFormatting sqref="H407:H411">
    <cfRule type="containsText" dxfId="902" priority="1310" operator="containsText" text="Catastrófico">
      <formula>NOT(ISERROR(SEARCH("Catastrófico",H407)))</formula>
    </cfRule>
    <cfRule type="containsText" dxfId="901" priority="1311" operator="containsText" text="Mayor">
      <formula>NOT(ISERROR(SEARCH("Mayor",H407)))</formula>
    </cfRule>
    <cfRule type="containsText" dxfId="900" priority="1312" operator="containsText" text="Moderado">
      <formula>NOT(ISERROR(SEARCH("Moderado",H407)))</formula>
    </cfRule>
    <cfRule type="containsText" dxfId="899" priority="1313" operator="containsText" text="Menor">
      <formula>NOT(ISERROR(SEARCH("Menor",H407)))</formula>
    </cfRule>
    <cfRule type="containsText" dxfId="898" priority="1314" operator="containsText" text="Insignificante">
      <formula>NOT(ISERROR(SEARCH("Insignificante",H407)))</formula>
    </cfRule>
  </conditionalFormatting>
  <conditionalFormatting sqref="H412:H416">
    <cfRule type="containsText" dxfId="897" priority="1305" operator="containsText" text="Catastrófico">
      <formula>NOT(ISERROR(SEARCH("Catastrófico",H412)))</formula>
    </cfRule>
    <cfRule type="containsText" dxfId="896" priority="1306" operator="containsText" text="Mayor">
      <formula>NOT(ISERROR(SEARCH("Mayor",H412)))</formula>
    </cfRule>
    <cfRule type="containsText" dxfId="895" priority="1307" operator="containsText" text="Moderado">
      <formula>NOT(ISERROR(SEARCH("Moderado",H412)))</formula>
    </cfRule>
    <cfRule type="containsText" dxfId="894" priority="1308" operator="containsText" text="Menor">
      <formula>NOT(ISERROR(SEARCH("Menor",H412)))</formula>
    </cfRule>
    <cfRule type="containsText" dxfId="893" priority="1309" operator="containsText" text="Insignificante">
      <formula>NOT(ISERROR(SEARCH("Insignificante",H412)))</formula>
    </cfRule>
  </conditionalFormatting>
  <conditionalFormatting sqref="H417:H421">
    <cfRule type="containsText" dxfId="892" priority="1300" operator="containsText" text="Catastrófico">
      <formula>NOT(ISERROR(SEARCH("Catastrófico",H417)))</formula>
    </cfRule>
    <cfRule type="containsText" dxfId="891" priority="1301" operator="containsText" text="Mayor">
      <formula>NOT(ISERROR(SEARCH("Mayor",H417)))</formula>
    </cfRule>
    <cfRule type="containsText" dxfId="890" priority="1302" operator="containsText" text="Moderado">
      <formula>NOT(ISERROR(SEARCH("Moderado",H417)))</formula>
    </cfRule>
    <cfRule type="containsText" dxfId="889" priority="1303" operator="containsText" text="Menor">
      <formula>NOT(ISERROR(SEARCH("Menor",H417)))</formula>
    </cfRule>
    <cfRule type="containsText" dxfId="888" priority="1304" operator="containsText" text="Insignificante">
      <formula>NOT(ISERROR(SEARCH("Insignificante",H417)))</formula>
    </cfRule>
  </conditionalFormatting>
  <conditionalFormatting sqref="I407:P411">
    <cfRule type="containsText" dxfId="887" priority="1295" operator="containsText" text="Catastrófico">
      <formula>NOT(ISERROR(SEARCH("Catastrófico",I407)))</formula>
    </cfRule>
    <cfRule type="containsText" dxfId="886" priority="1296" operator="containsText" text="Mayor">
      <formula>NOT(ISERROR(SEARCH("Mayor",I407)))</formula>
    </cfRule>
    <cfRule type="containsText" dxfId="885" priority="1297" operator="containsText" text="Moderado">
      <formula>NOT(ISERROR(SEARCH("Moderado",I407)))</formula>
    </cfRule>
    <cfRule type="containsText" dxfId="884" priority="1298" operator="containsText" text="Menor">
      <formula>NOT(ISERROR(SEARCH("Menor",I407)))</formula>
    </cfRule>
    <cfRule type="containsText" dxfId="883" priority="1299" operator="containsText" text="Insignificante">
      <formula>NOT(ISERROR(SEARCH("Insignificante",I407)))</formula>
    </cfRule>
  </conditionalFormatting>
  <conditionalFormatting sqref="G432:P436">
    <cfRule type="containsText" dxfId="882" priority="1290" operator="containsText" text="Catastrófico">
      <formula>NOT(ISERROR(SEARCH("Catastrófico",G432)))</formula>
    </cfRule>
    <cfRule type="containsText" dxfId="881" priority="1291" operator="containsText" text="Mayor">
      <formula>NOT(ISERROR(SEARCH("Mayor",G432)))</formula>
    </cfRule>
    <cfRule type="containsText" dxfId="880" priority="1292" operator="containsText" text="Moderado">
      <formula>NOT(ISERROR(SEARCH("Moderado",G432)))</formula>
    </cfRule>
    <cfRule type="containsText" dxfId="879" priority="1293" operator="containsText" text="Menor">
      <formula>NOT(ISERROR(SEARCH("Menor",G432)))</formula>
    </cfRule>
    <cfRule type="containsText" dxfId="878" priority="1294" operator="containsText" text="Insignificante">
      <formula>NOT(ISERROR(SEARCH("Insignificante",G432)))</formula>
    </cfRule>
  </conditionalFormatting>
  <conditionalFormatting sqref="G437:P441">
    <cfRule type="containsText" dxfId="877" priority="1285" operator="containsText" text="Catastrófico">
      <formula>NOT(ISERROR(SEARCH("Catastrófico",G437)))</formula>
    </cfRule>
    <cfRule type="containsText" dxfId="876" priority="1286" operator="containsText" text="Mayor">
      <formula>NOT(ISERROR(SEARCH("Mayor",G437)))</formula>
    </cfRule>
    <cfRule type="containsText" dxfId="875" priority="1287" operator="containsText" text="Moderado">
      <formula>NOT(ISERROR(SEARCH("Moderado",G437)))</formula>
    </cfRule>
    <cfRule type="containsText" dxfId="874" priority="1288" operator="containsText" text="Menor">
      <formula>NOT(ISERROR(SEARCH("Menor",G437)))</formula>
    </cfRule>
    <cfRule type="containsText" dxfId="873" priority="1289" operator="containsText" text="Insignificante">
      <formula>NOT(ISERROR(SEARCH("Insignificante",G437)))</formula>
    </cfRule>
  </conditionalFormatting>
  <conditionalFormatting sqref="G442:P446">
    <cfRule type="containsText" dxfId="872" priority="1280" operator="containsText" text="Catastrófico">
      <formula>NOT(ISERROR(SEARCH("Catastrófico",G442)))</formula>
    </cfRule>
    <cfRule type="containsText" dxfId="871" priority="1281" operator="containsText" text="Mayor">
      <formula>NOT(ISERROR(SEARCH("Mayor",G442)))</formula>
    </cfRule>
    <cfRule type="containsText" dxfId="870" priority="1282" operator="containsText" text="Moderado">
      <formula>NOT(ISERROR(SEARCH("Moderado",G442)))</formula>
    </cfRule>
    <cfRule type="containsText" dxfId="869" priority="1283" operator="containsText" text="Menor">
      <formula>NOT(ISERROR(SEARCH("Menor",G442)))</formula>
    </cfRule>
    <cfRule type="containsText" dxfId="868" priority="1284" operator="containsText" text="Insignificante">
      <formula>NOT(ISERROR(SEARCH("Insignificante",G442)))</formula>
    </cfRule>
  </conditionalFormatting>
  <conditionalFormatting sqref="G447:P451">
    <cfRule type="containsText" dxfId="867" priority="1275" operator="containsText" text="Catastrófico">
      <formula>NOT(ISERROR(SEARCH("Catastrófico",G447)))</formula>
    </cfRule>
    <cfRule type="containsText" dxfId="866" priority="1276" operator="containsText" text="Mayor">
      <formula>NOT(ISERROR(SEARCH("Mayor",G447)))</formula>
    </cfRule>
    <cfRule type="containsText" dxfId="865" priority="1277" operator="containsText" text="Moderado">
      <formula>NOT(ISERROR(SEARCH("Moderado",G447)))</formula>
    </cfRule>
    <cfRule type="containsText" dxfId="864" priority="1278" operator="containsText" text="Menor">
      <formula>NOT(ISERROR(SEARCH("Menor",G447)))</formula>
    </cfRule>
    <cfRule type="containsText" dxfId="863" priority="1279" operator="containsText" text="Insignificante">
      <formula>NOT(ISERROR(SEARCH("Insignificante",G447)))</formula>
    </cfRule>
  </conditionalFormatting>
  <conditionalFormatting sqref="G452:P456">
    <cfRule type="containsText" dxfId="862" priority="1270" operator="containsText" text="Catastrófico">
      <formula>NOT(ISERROR(SEARCH("Catastrófico",G452)))</formula>
    </cfRule>
    <cfRule type="containsText" dxfId="861" priority="1271" operator="containsText" text="Mayor">
      <formula>NOT(ISERROR(SEARCH("Mayor",G452)))</formula>
    </cfRule>
    <cfRule type="containsText" dxfId="860" priority="1272" operator="containsText" text="Moderado">
      <formula>NOT(ISERROR(SEARCH("Moderado",G452)))</formula>
    </cfRule>
    <cfRule type="containsText" dxfId="859" priority="1273" operator="containsText" text="Menor">
      <formula>NOT(ISERROR(SEARCH("Menor",G452)))</formula>
    </cfRule>
    <cfRule type="containsText" dxfId="858" priority="1274" operator="containsText" text="Insignificante">
      <formula>NOT(ISERROR(SEARCH("Insignificante",G452)))</formula>
    </cfRule>
  </conditionalFormatting>
  <conditionalFormatting sqref="X457">
    <cfRule type="cellIs" dxfId="857" priority="1266" operator="equal">
      <formula>"Extrema"</formula>
    </cfRule>
    <cfRule type="cellIs" dxfId="856" priority="1267" operator="equal">
      <formula>"Alta"</formula>
    </cfRule>
    <cfRule type="cellIs" dxfId="855" priority="1268" operator="equal">
      <formula>"Moderada"</formula>
    </cfRule>
    <cfRule type="cellIs" dxfId="854" priority="1269" operator="equal">
      <formula>"Baja"</formula>
    </cfRule>
  </conditionalFormatting>
  <conditionalFormatting sqref="X462">
    <cfRule type="cellIs" dxfId="853" priority="1250" operator="equal">
      <formula>"Extrema"</formula>
    </cfRule>
    <cfRule type="cellIs" dxfId="852" priority="1251" operator="equal">
      <formula>"Alta"</formula>
    </cfRule>
    <cfRule type="cellIs" dxfId="851" priority="1252" operator="equal">
      <formula>"Moderada"</formula>
    </cfRule>
    <cfRule type="cellIs" dxfId="850" priority="1253" operator="equal">
      <formula>"Baja"</formula>
    </cfRule>
  </conditionalFormatting>
  <conditionalFormatting sqref="X467">
    <cfRule type="cellIs" dxfId="849" priority="1246" operator="equal">
      <formula>"Extrema"</formula>
    </cfRule>
    <cfRule type="cellIs" dxfId="848" priority="1247" operator="equal">
      <formula>"Alta"</formula>
    </cfRule>
    <cfRule type="cellIs" dxfId="847" priority="1248" operator="equal">
      <formula>"Moderada"</formula>
    </cfRule>
    <cfRule type="cellIs" dxfId="846" priority="1249" operator="equal">
      <formula>"Baja"</formula>
    </cfRule>
  </conditionalFormatting>
  <conditionalFormatting sqref="X472">
    <cfRule type="cellIs" dxfId="845" priority="1242" operator="equal">
      <formula>"Extrema"</formula>
    </cfRule>
    <cfRule type="cellIs" dxfId="844" priority="1243" operator="equal">
      <formula>"Alta"</formula>
    </cfRule>
    <cfRule type="cellIs" dxfId="843" priority="1244" operator="equal">
      <formula>"Moderada"</formula>
    </cfRule>
    <cfRule type="cellIs" dxfId="842" priority="1245" operator="equal">
      <formula>"Baja"</formula>
    </cfRule>
  </conditionalFormatting>
  <conditionalFormatting sqref="X477 X482 X487 X492 X497 X502">
    <cfRule type="cellIs" dxfId="841" priority="1238" operator="equal">
      <formula>"Extrema"</formula>
    </cfRule>
    <cfRule type="cellIs" dxfId="840" priority="1239" operator="equal">
      <formula>"Alta"</formula>
    </cfRule>
    <cfRule type="cellIs" dxfId="839" priority="1240" operator="equal">
      <formula>"Moderada"</formula>
    </cfRule>
    <cfRule type="cellIs" dxfId="838" priority="1241" operator="equal">
      <formula>"Baja"</formula>
    </cfRule>
  </conditionalFormatting>
  <conditionalFormatting sqref="G457:G481 H472:H481 I462:P481">
    <cfRule type="containsText" dxfId="837" priority="1217" operator="containsText" text="Catastrófico">
      <formula>NOT(ISERROR(SEARCH("Catastrófico",G457)))</formula>
    </cfRule>
    <cfRule type="containsText" dxfId="836" priority="1218" operator="containsText" text="Mayor">
      <formula>NOT(ISERROR(SEARCH("Mayor",G457)))</formula>
    </cfRule>
    <cfRule type="containsText" dxfId="835" priority="1219" operator="containsText" text="Moderado">
      <formula>NOT(ISERROR(SEARCH("Moderado",G457)))</formula>
    </cfRule>
    <cfRule type="containsText" dxfId="834" priority="1220" operator="containsText" text="Menor">
      <formula>NOT(ISERROR(SEARCH("Menor",G457)))</formula>
    </cfRule>
    <cfRule type="containsText" dxfId="833" priority="1221" operator="containsText" text="Insignificante">
      <formula>NOT(ISERROR(SEARCH("Insignificante",G457)))</formula>
    </cfRule>
  </conditionalFormatting>
  <conditionalFormatting sqref="H457:H461">
    <cfRule type="containsText" dxfId="832" priority="1212" operator="containsText" text="Catastrófico">
      <formula>NOT(ISERROR(SEARCH("Catastrófico",H457)))</formula>
    </cfRule>
    <cfRule type="containsText" dxfId="831" priority="1213" operator="containsText" text="Mayor">
      <formula>NOT(ISERROR(SEARCH("Mayor",H457)))</formula>
    </cfRule>
    <cfRule type="containsText" dxfId="830" priority="1214" operator="containsText" text="Moderado">
      <formula>NOT(ISERROR(SEARCH("Moderado",H457)))</formula>
    </cfRule>
    <cfRule type="containsText" dxfId="829" priority="1215" operator="containsText" text="Menor">
      <formula>NOT(ISERROR(SEARCH("Menor",H457)))</formula>
    </cfRule>
    <cfRule type="containsText" dxfId="828" priority="1216" operator="containsText" text="Insignificante">
      <formula>NOT(ISERROR(SEARCH("Insignificante",H457)))</formula>
    </cfRule>
  </conditionalFormatting>
  <conditionalFormatting sqref="H462:H466">
    <cfRule type="containsText" dxfId="827" priority="1207" operator="containsText" text="Catastrófico">
      <formula>NOT(ISERROR(SEARCH("Catastrófico",H462)))</formula>
    </cfRule>
    <cfRule type="containsText" dxfId="826" priority="1208" operator="containsText" text="Mayor">
      <formula>NOT(ISERROR(SEARCH("Mayor",H462)))</formula>
    </cfRule>
    <cfRule type="containsText" dxfId="825" priority="1209" operator="containsText" text="Moderado">
      <formula>NOT(ISERROR(SEARCH("Moderado",H462)))</formula>
    </cfRule>
    <cfRule type="containsText" dxfId="824" priority="1210" operator="containsText" text="Menor">
      <formula>NOT(ISERROR(SEARCH("Menor",H462)))</formula>
    </cfRule>
    <cfRule type="containsText" dxfId="823" priority="1211" operator="containsText" text="Insignificante">
      <formula>NOT(ISERROR(SEARCH("Insignificante",H462)))</formula>
    </cfRule>
  </conditionalFormatting>
  <conditionalFormatting sqref="H467:H471">
    <cfRule type="containsText" dxfId="822" priority="1202" operator="containsText" text="Catastrófico">
      <formula>NOT(ISERROR(SEARCH("Catastrófico",H467)))</formula>
    </cfRule>
    <cfRule type="containsText" dxfId="821" priority="1203" operator="containsText" text="Mayor">
      <formula>NOT(ISERROR(SEARCH("Mayor",H467)))</formula>
    </cfRule>
    <cfRule type="containsText" dxfId="820" priority="1204" operator="containsText" text="Moderado">
      <formula>NOT(ISERROR(SEARCH("Moderado",H467)))</formula>
    </cfRule>
    <cfRule type="containsText" dxfId="819" priority="1205" operator="containsText" text="Menor">
      <formula>NOT(ISERROR(SEARCH("Menor",H467)))</formula>
    </cfRule>
    <cfRule type="containsText" dxfId="818" priority="1206" operator="containsText" text="Insignificante">
      <formula>NOT(ISERROR(SEARCH("Insignificante",H467)))</formula>
    </cfRule>
  </conditionalFormatting>
  <conditionalFormatting sqref="I457:P461">
    <cfRule type="containsText" dxfId="817" priority="1197" operator="containsText" text="Catastrófico">
      <formula>NOT(ISERROR(SEARCH("Catastrófico",I457)))</formula>
    </cfRule>
    <cfRule type="containsText" dxfId="816" priority="1198" operator="containsText" text="Mayor">
      <formula>NOT(ISERROR(SEARCH("Mayor",I457)))</formula>
    </cfRule>
    <cfRule type="containsText" dxfId="815" priority="1199" operator="containsText" text="Moderado">
      <formula>NOT(ISERROR(SEARCH("Moderado",I457)))</formula>
    </cfRule>
    <cfRule type="containsText" dxfId="814" priority="1200" operator="containsText" text="Menor">
      <formula>NOT(ISERROR(SEARCH("Menor",I457)))</formula>
    </cfRule>
    <cfRule type="containsText" dxfId="813" priority="1201" operator="containsText" text="Insignificante">
      <formula>NOT(ISERROR(SEARCH("Insignificante",I457)))</formula>
    </cfRule>
  </conditionalFormatting>
  <conditionalFormatting sqref="G482:P486">
    <cfRule type="containsText" dxfId="812" priority="1192" operator="containsText" text="Catastrófico">
      <formula>NOT(ISERROR(SEARCH("Catastrófico",G482)))</formula>
    </cfRule>
    <cfRule type="containsText" dxfId="811" priority="1193" operator="containsText" text="Mayor">
      <formula>NOT(ISERROR(SEARCH("Mayor",G482)))</formula>
    </cfRule>
    <cfRule type="containsText" dxfId="810" priority="1194" operator="containsText" text="Moderado">
      <formula>NOT(ISERROR(SEARCH("Moderado",G482)))</formula>
    </cfRule>
    <cfRule type="containsText" dxfId="809" priority="1195" operator="containsText" text="Menor">
      <formula>NOT(ISERROR(SEARCH("Menor",G482)))</formula>
    </cfRule>
    <cfRule type="containsText" dxfId="808" priority="1196" operator="containsText" text="Insignificante">
      <formula>NOT(ISERROR(SEARCH("Insignificante",G482)))</formula>
    </cfRule>
  </conditionalFormatting>
  <conditionalFormatting sqref="G487:P491">
    <cfRule type="containsText" dxfId="807" priority="1187" operator="containsText" text="Catastrófico">
      <formula>NOT(ISERROR(SEARCH("Catastrófico",G487)))</formula>
    </cfRule>
    <cfRule type="containsText" dxfId="806" priority="1188" operator="containsText" text="Mayor">
      <formula>NOT(ISERROR(SEARCH("Mayor",G487)))</formula>
    </cfRule>
    <cfRule type="containsText" dxfId="805" priority="1189" operator="containsText" text="Moderado">
      <formula>NOT(ISERROR(SEARCH("Moderado",G487)))</formula>
    </cfRule>
    <cfRule type="containsText" dxfId="804" priority="1190" operator="containsText" text="Menor">
      <formula>NOT(ISERROR(SEARCH("Menor",G487)))</formula>
    </cfRule>
    <cfRule type="containsText" dxfId="803" priority="1191" operator="containsText" text="Insignificante">
      <formula>NOT(ISERROR(SEARCH("Insignificante",G487)))</formula>
    </cfRule>
  </conditionalFormatting>
  <conditionalFormatting sqref="G492:P496">
    <cfRule type="containsText" dxfId="802" priority="1182" operator="containsText" text="Catastrófico">
      <formula>NOT(ISERROR(SEARCH("Catastrófico",G492)))</formula>
    </cfRule>
    <cfRule type="containsText" dxfId="801" priority="1183" operator="containsText" text="Mayor">
      <formula>NOT(ISERROR(SEARCH("Mayor",G492)))</formula>
    </cfRule>
    <cfRule type="containsText" dxfId="800" priority="1184" operator="containsText" text="Moderado">
      <formula>NOT(ISERROR(SEARCH("Moderado",G492)))</formula>
    </cfRule>
    <cfRule type="containsText" dxfId="799" priority="1185" operator="containsText" text="Menor">
      <formula>NOT(ISERROR(SEARCH("Menor",G492)))</formula>
    </cfRule>
    <cfRule type="containsText" dxfId="798" priority="1186" operator="containsText" text="Insignificante">
      <formula>NOT(ISERROR(SEARCH("Insignificante",G492)))</formula>
    </cfRule>
  </conditionalFormatting>
  <conditionalFormatting sqref="G497:P501">
    <cfRule type="containsText" dxfId="797" priority="1177" operator="containsText" text="Catastrófico">
      <formula>NOT(ISERROR(SEARCH("Catastrófico",G497)))</formula>
    </cfRule>
    <cfRule type="containsText" dxfId="796" priority="1178" operator="containsText" text="Mayor">
      <formula>NOT(ISERROR(SEARCH("Mayor",G497)))</formula>
    </cfRule>
    <cfRule type="containsText" dxfId="795" priority="1179" operator="containsText" text="Moderado">
      <formula>NOT(ISERROR(SEARCH("Moderado",G497)))</formula>
    </cfRule>
    <cfRule type="containsText" dxfId="794" priority="1180" operator="containsText" text="Menor">
      <formula>NOT(ISERROR(SEARCH("Menor",G497)))</formula>
    </cfRule>
    <cfRule type="containsText" dxfId="793" priority="1181" operator="containsText" text="Insignificante">
      <formula>NOT(ISERROR(SEARCH("Insignificante",G497)))</formula>
    </cfRule>
  </conditionalFormatting>
  <conditionalFormatting sqref="G502:P506">
    <cfRule type="containsText" dxfId="792" priority="1172" operator="containsText" text="Catastrófico">
      <formula>NOT(ISERROR(SEARCH("Catastrófico",G502)))</formula>
    </cfRule>
    <cfRule type="containsText" dxfId="791" priority="1173" operator="containsText" text="Mayor">
      <formula>NOT(ISERROR(SEARCH("Mayor",G502)))</formula>
    </cfRule>
    <cfRule type="containsText" dxfId="790" priority="1174" operator="containsText" text="Moderado">
      <formula>NOT(ISERROR(SEARCH("Moderado",G502)))</formula>
    </cfRule>
    <cfRule type="containsText" dxfId="789" priority="1175" operator="containsText" text="Menor">
      <formula>NOT(ISERROR(SEARCH("Menor",G502)))</formula>
    </cfRule>
    <cfRule type="containsText" dxfId="788" priority="1176" operator="containsText" text="Insignificante">
      <formula>NOT(ISERROR(SEARCH("Insignificante",G502)))</formula>
    </cfRule>
  </conditionalFormatting>
  <conditionalFormatting sqref="X507">
    <cfRule type="cellIs" dxfId="787" priority="1168" operator="equal">
      <formula>"Extrema"</formula>
    </cfRule>
    <cfRule type="cellIs" dxfId="786" priority="1169" operator="equal">
      <formula>"Alta"</formula>
    </cfRule>
    <cfRule type="cellIs" dxfId="785" priority="1170" operator="equal">
      <formula>"Moderada"</formula>
    </cfRule>
    <cfRule type="cellIs" dxfId="784" priority="1171" operator="equal">
      <formula>"Baja"</formula>
    </cfRule>
  </conditionalFormatting>
  <conditionalFormatting sqref="X512">
    <cfRule type="cellIs" dxfId="783" priority="1152" operator="equal">
      <formula>"Extrema"</formula>
    </cfRule>
    <cfRule type="cellIs" dxfId="782" priority="1153" operator="equal">
      <formula>"Alta"</formula>
    </cfRule>
    <cfRule type="cellIs" dxfId="781" priority="1154" operator="equal">
      <formula>"Moderada"</formula>
    </cfRule>
    <cfRule type="cellIs" dxfId="780" priority="1155" operator="equal">
      <formula>"Baja"</formula>
    </cfRule>
  </conditionalFormatting>
  <conditionalFormatting sqref="X517">
    <cfRule type="cellIs" dxfId="779" priority="1148" operator="equal">
      <formula>"Extrema"</formula>
    </cfRule>
    <cfRule type="cellIs" dxfId="778" priority="1149" operator="equal">
      <formula>"Alta"</formula>
    </cfRule>
    <cfRule type="cellIs" dxfId="777" priority="1150" operator="equal">
      <formula>"Moderada"</formula>
    </cfRule>
    <cfRule type="cellIs" dxfId="776" priority="1151" operator="equal">
      <formula>"Baja"</formula>
    </cfRule>
  </conditionalFormatting>
  <conditionalFormatting sqref="X522">
    <cfRule type="cellIs" dxfId="775" priority="1144" operator="equal">
      <formula>"Extrema"</formula>
    </cfRule>
    <cfRule type="cellIs" dxfId="774" priority="1145" operator="equal">
      <formula>"Alta"</formula>
    </cfRule>
    <cfRule type="cellIs" dxfId="773" priority="1146" operator="equal">
      <formula>"Moderada"</formula>
    </cfRule>
    <cfRule type="cellIs" dxfId="772" priority="1147" operator="equal">
      <formula>"Baja"</formula>
    </cfRule>
  </conditionalFormatting>
  <conditionalFormatting sqref="X527 X532 X537 X542 X547 X552">
    <cfRule type="cellIs" dxfId="771" priority="1140" operator="equal">
      <formula>"Extrema"</formula>
    </cfRule>
    <cfRule type="cellIs" dxfId="770" priority="1141" operator="equal">
      <formula>"Alta"</formula>
    </cfRule>
    <cfRule type="cellIs" dxfId="769" priority="1142" operator="equal">
      <formula>"Moderada"</formula>
    </cfRule>
    <cfRule type="cellIs" dxfId="768" priority="1143" operator="equal">
      <formula>"Baja"</formula>
    </cfRule>
  </conditionalFormatting>
  <conditionalFormatting sqref="G507:G531 H522:H531 I512:P531">
    <cfRule type="containsText" dxfId="767" priority="1119" operator="containsText" text="Catastrófico">
      <formula>NOT(ISERROR(SEARCH("Catastrófico",G507)))</formula>
    </cfRule>
    <cfRule type="containsText" dxfId="766" priority="1120" operator="containsText" text="Mayor">
      <formula>NOT(ISERROR(SEARCH("Mayor",G507)))</formula>
    </cfRule>
    <cfRule type="containsText" dxfId="765" priority="1121" operator="containsText" text="Moderado">
      <formula>NOT(ISERROR(SEARCH("Moderado",G507)))</formula>
    </cfRule>
    <cfRule type="containsText" dxfId="764" priority="1122" operator="containsText" text="Menor">
      <formula>NOT(ISERROR(SEARCH("Menor",G507)))</formula>
    </cfRule>
    <cfRule type="containsText" dxfId="763" priority="1123" operator="containsText" text="Insignificante">
      <formula>NOT(ISERROR(SEARCH("Insignificante",G507)))</formula>
    </cfRule>
  </conditionalFormatting>
  <conditionalFormatting sqref="H507:H511">
    <cfRule type="containsText" dxfId="762" priority="1114" operator="containsText" text="Catastrófico">
      <formula>NOT(ISERROR(SEARCH("Catastrófico",H507)))</formula>
    </cfRule>
    <cfRule type="containsText" dxfId="761" priority="1115" operator="containsText" text="Mayor">
      <formula>NOT(ISERROR(SEARCH("Mayor",H507)))</formula>
    </cfRule>
    <cfRule type="containsText" dxfId="760" priority="1116" operator="containsText" text="Moderado">
      <formula>NOT(ISERROR(SEARCH("Moderado",H507)))</formula>
    </cfRule>
    <cfRule type="containsText" dxfId="759" priority="1117" operator="containsText" text="Menor">
      <formula>NOT(ISERROR(SEARCH("Menor",H507)))</formula>
    </cfRule>
    <cfRule type="containsText" dxfId="758" priority="1118" operator="containsText" text="Insignificante">
      <formula>NOT(ISERROR(SEARCH("Insignificante",H507)))</formula>
    </cfRule>
  </conditionalFormatting>
  <conditionalFormatting sqref="H512:H516">
    <cfRule type="containsText" dxfId="757" priority="1109" operator="containsText" text="Catastrófico">
      <formula>NOT(ISERROR(SEARCH("Catastrófico",H512)))</formula>
    </cfRule>
    <cfRule type="containsText" dxfId="756" priority="1110" operator="containsText" text="Mayor">
      <formula>NOT(ISERROR(SEARCH("Mayor",H512)))</formula>
    </cfRule>
    <cfRule type="containsText" dxfId="755" priority="1111" operator="containsText" text="Moderado">
      <formula>NOT(ISERROR(SEARCH("Moderado",H512)))</formula>
    </cfRule>
    <cfRule type="containsText" dxfId="754" priority="1112" operator="containsText" text="Menor">
      <formula>NOT(ISERROR(SEARCH("Menor",H512)))</formula>
    </cfRule>
    <cfRule type="containsText" dxfId="753" priority="1113" operator="containsText" text="Insignificante">
      <formula>NOT(ISERROR(SEARCH("Insignificante",H512)))</formula>
    </cfRule>
  </conditionalFormatting>
  <conditionalFormatting sqref="H517:H521">
    <cfRule type="containsText" dxfId="752" priority="1104" operator="containsText" text="Catastrófico">
      <formula>NOT(ISERROR(SEARCH("Catastrófico",H517)))</formula>
    </cfRule>
    <cfRule type="containsText" dxfId="751" priority="1105" operator="containsText" text="Mayor">
      <formula>NOT(ISERROR(SEARCH("Mayor",H517)))</formula>
    </cfRule>
    <cfRule type="containsText" dxfId="750" priority="1106" operator="containsText" text="Moderado">
      <formula>NOT(ISERROR(SEARCH("Moderado",H517)))</formula>
    </cfRule>
    <cfRule type="containsText" dxfId="749" priority="1107" operator="containsText" text="Menor">
      <formula>NOT(ISERROR(SEARCH("Menor",H517)))</formula>
    </cfRule>
    <cfRule type="containsText" dxfId="748" priority="1108" operator="containsText" text="Insignificante">
      <formula>NOT(ISERROR(SEARCH("Insignificante",H517)))</formula>
    </cfRule>
  </conditionalFormatting>
  <conditionalFormatting sqref="I507:P511">
    <cfRule type="containsText" dxfId="747" priority="1099" operator="containsText" text="Catastrófico">
      <formula>NOT(ISERROR(SEARCH("Catastrófico",I507)))</formula>
    </cfRule>
    <cfRule type="containsText" dxfId="746" priority="1100" operator="containsText" text="Mayor">
      <formula>NOT(ISERROR(SEARCH("Mayor",I507)))</formula>
    </cfRule>
    <cfRule type="containsText" dxfId="745" priority="1101" operator="containsText" text="Moderado">
      <formula>NOT(ISERROR(SEARCH("Moderado",I507)))</formula>
    </cfRule>
    <cfRule type="containsText" dxfId="744" priority="1102" operator="containsText" text="Menor">
      <formula>NOT(ISERROR(SEARCH("Menor",I507)))</formula>
    </cfRule>
    <cfRule type="containsText" dxfId="743" priority="1103" operator="containsText" text="Insignificante">
      <formula>NOT(ISERROR(SEARCH("Insignificante",I507)))</formula>
    </cfRule>
  </conditionalFormatting>
  <conditionalFormatting sqref="G532:P536">
    <cfRule type="containsText" dxfId="742" priority="1094" operator="containsText" text="Catastrófico">
      <formula>NOT(ISERROR(SEARCH("Catastrófico",G532)))</formula>
    </cfRule>
    <cfRule type="containsText" dxfId="741" priority="1095" operator="containsText" text="Mayor">
      <formula>NOT(ISERROR(SEARCH("Mayor",G532)))</formula>
    </cfRule>
    <cfRule type="containsText" dxfId="740" priority="1096" operator="containsText" text="Moderado">
      <formula>NOT(ISERROR(SEARCH("Moderado",G532)))</formula>
    </cfRule>
    <cfRule type="containsText" dxfId="739" priority="1097" operator="containsText" text="Menor">
      <formula>NOT(ISERROR(SEARCH("Menor",G532)))</formula>
    </cfRule>
    <cfRule type="containsText" dxfId="738" priority="1098" operator="containsText" text="Insignificante">
      <formula>NOT(ISERROR(SEARCH("Insignificante",G532)))</formula>
    </cfRule>
  </conditionalFormatting>
  <conditionalFormatting sqref="G537:P541">
    <cfRule type="containsText" dxfId="737" priority="1089" operator="containsText" text="Catastrófico">
      <formula>NOT(ISERROR(SEARCH("Catastrófico",G537)))</formula>
    </cfRule>
    <cfRule type="containsText" dxfId="736" priority="1090" operator="containsText" text="Mayor">
      <formula>NOT(ISERROR(SEARCH("Mayor",G537)))</formula>
    </cfRule>
    <cfRule type="containsText" dxfId="735" priority="1091" operator="containsText" text="Moderado">
      <formula>NOT(ISERROR(SEARCH("Moderado",G537)))</formula>
    </cfRule>
    <cfRule type="containsText" dxfId="734" priority="1092" operator="containsText" text="Menor">
      <formula>NOT(ISERROR(SEARCH("Menor",G537)))</formula>
    </cfRule>
    <cfRule type="containsText" dxfId="733" priority="1093" operator="containsText" text="Insignificante">
      <formula>NOT(ISERROR(SEARCH("Insignificante",G537)))</formula>
    </cfRule>
  </conditionalFormatting>
  <conditionalFormatting sqref="G542:P546">
    <cfRule type="containsText" dxfId="732" priority="1084" operator="containsText" text="Catastrófico">
      <formula>NOT(ISERROR(SEARCH("Catastrófico",G542)))</formula>
    </cfRule>
    <cfRule type="containsText" dxfId="731" priority="1085" operator="containsText" text="Mayor">
      <formula>NOT(ISERROR(SEARCH("Mayor",G542)))</formula>
    </cfRule>
    <cfRule type="containsText" dxfId="730" priority="1086" operator="containsText" text="Moderado">
      <formula>NOT(ISERROR(SEARCH("Moderado",G542)))</formula>
    </cfRule>
    <cfRule type="containsText" dxfId="729" priority="1087" operator="containsText" text="Menor">
      <formula>NOT(ISERROR(SEARCH("Menor",G542)))</formula>
    </cfRule>
    <cfRule type="containsText" dxfId="728" priority="1088" operator="containsText" text="Insignificante">
      <formula>NOT(ISERROR(SEARCH("Insignificante",G542)))</formula>
    </cfRule>
  </conditionalFormatting>
  <conditionalFormatting sqref="G547:P551">
    <cfRule type="containsText" dxfId="727" priority="1079" operator="containsText" text="Catastrófico">
      <formula>NOT(ISERROR(SEARCH("Catastrófico",G547)))</formula>
    </cfRule>
    <cfRule type="containsText" dxfId="726" priority="1080" operator="containsText" text="Mayor">
      <formula>NOT(ISERROR(SEARCH("Mayor",G547)))</formula>
    </cfRule>
    <cfRule type="containsText" dxfId="725" priority="1081" operator="containsText" text="Moderado">
      <formula>NOT(ISERROR(SEARCH("Moderado",G547)))</formula>
    </cfRule>
    <cfRule type="containsText" dxfId="724" priority="1082" operator="containsText" text="Menor">
      <formula>NOT(ISERROR(SEARCH("Menor",G547)))</formula>
    </cfRule>
    <cfRule type="containsText" dxfId="723" priority="1083" operator="containsText" text="Insignificante">
      <formula>NOT(ISERROR(SEARCH("Insignificante",G547)))</formula>
    </cfRule>
  </conditionalFormatting>
  <conditionalFormatting sqref="G552:P556">
    <cfRule type="containsText" dxfId="722" priority="1074" operator="containsText" text="Catastrófico">
      <formula>NOT(ISERROR(SEARCH("Catastrófico",G552)))</formula>
    </cfRule>
    <cfRule type="containsText" dxfId="721" priority="1075" operator="containsText" text="Mayor">
      <formula>NOT(ISERROR(SEARCH("Mayor",G552)))</formula>
    </cfRule>
    <cfRule type="containsText" dxfId="720" priority="1076" operator="containsText" text="Moderado">
      <formula>NOT(ISERROR(SEARCH("Moderado",G552)))</formula>
    </cfRule>
    <cfRule type="containsText" dxfId="719" priority="1077" operator="containsText" text="Menor">
      <formula>NOT(ISERROR(SEARCH("Menor",G552)))</formula>
    </cfRule>
    <cfRule type="containsText" dxfId="718" priority="1078" operator="containsText" text="Insignificante">
      <formula>NOT(ISERROR(SEARCH("Insignificante",G552)))</formula>
    </cfRule>
  </conditionalFormatting>
  <conditionalFormatting sqref="X557">
    <cfRule type="cellIs" dxfId="717" priority="1070" operator="equal">
      <formula>"Extrema"</formula>
    </cfRule>
    <cfRule type="cellIs" dxfId="716" priority="1071" operator="equal">
      <formula>"Alta"</formula>
    </cfRule>
    <cfRule type="cellIs" dxfId="715" priority="1072" operator="equal">
      <formula>"Moderada"</formula>
    </cfRule>
    <cfRule type="cellIs" dxfId="714" priority="1073" operator="equal">
      <formula>"Baja"</formula>
    </cfRule>
  </conditionalFormatting>
  <conditionalFormatting sqref="X562">
    <cfRule type="cellIs" dxfId="713" priority="1054" operator="equal">
      <formula>"Extrema"</formula>
    </cfRule>
    <cfRule type="cellIs" dxfId="712" priority="1055" operator="equal">
      <formula>"Alta"</formula>
    </cfRule>
    <cfRule type="cellIs" dxfId="711" priority="1056" operator="equal">
      <formula>"Moderada"</formula>
    </cfRule>
    <cfRule type="cellIs" dxfId="710" priority="1057" operator="equal">
      <formula>"Baja"</formula>
    </cfRule>
  </conditionalFormatting>
  <conditionalFormatting sqref="X567">
    <cfRule type="cellIs" dxfId="709" priority="1050" operator="equal">
      <formula>"Extrema"</formula>
    </cfRule>
    <cfRule type="cellIs" dxfId="708" priority="1051" operator="equal">
      <formula>"Alta"</formula>
    </cfRule>
    <cfRule type="cellIs" dxfId="707" priority="1052" operator="equal">
      <formula>"Moderada"</formula>
    </cfRule>
    <cfRule type="cellIs" dxfId="706" priority="1053" operator="equal">
      <formula>"Baja"</formula>
    </cfRule>
  </conditionalFormatting>
  <conditionalFormatting sqref="X572">
    <cfRule type="cellIs" dxfId="705" priority="1046" operator="equal">
      <formula>"Extrema"</formula>
    </cfRule>
    <cfRule type="cellIs" dxfId="704" priority="1047" operator="equal">
      <formula>"Alta"</formula>
    </cfRule>
    <cfRule type="cellIs" dxfId="703" priority="1048" operator="equal">
      <formula>"Moderada"</formula>
    </cfRule>
    <cfRule type="cellIs" dxfId="702" priority="1049" operator="equal">
      <formula>"Baja"</formula>
    </cfRule>
  </conditionalFormatting>
  <conditionalFormatting sqref="X577 X582 X587 X592 X597 X602">
    <cfRule type="cellIs" dxfId="701" priority="1042" operator="equal">
      <formula>"Extrema"</formula>
    </cfRule>
    <cfRule type="cellIs" dxfId="700" priority="1043" operator="equal">
      <formula>"Alta"</formula>
    </cfRule>
    <cfRule type="cellIs" dxfId="699" priority="1044" operator="equal">
      <formula>"Moderada"</formula>
    </cfRule>
    <cfRule type="cellIs" dxfId="698" priority="1045" operator="equal">
      <formula>"Baja"</formula>
    </cfRule>
  </conditionalFormatting>
  <conditionalFormatting sqref="G557:G581 H572:H581 I562:P581">
    <cfRule type="containsText" dxfId="697" priority="1021" operator="containsText" text="Catastrófico">
      <formula>NOT(ISERROR(SEARCH("Catastrófico",G557)))</formula>
    </cfRule>
    <cfRule type="containsText" dxfId="696" priority="1022" operator="containsText" text="Mayor">
      <formula>NOT(ISERROR(SEARCH("Mayor",G557)))</formula>
    </cfRule>
    <cfRule type="containsText" dxfId="695" priority="1023" operator="containsText" text="Moderado">
      <formula>NOT(ISERROR(SEARCH("Moderado",G557)))</formula>
    </cfRule>
    <cfRule type="containsText" dxfId="694" priority="1024" operator="containsText" text="Menor">
      <formula>NOT(ISERROR(SEARCH("Menor",G557)))</formula>
    </cfRule>
    <cfRule type="containsText" dxfId="693" priority="1025" operator="containsText" text="Insignificante">
      <formula>NOT(ISERROR(SEARCH("Insignificante",G557)))</formula>
    </cfRule>
  </conditionalFormatting>
  <conditionalFormatting sqref="H557:H561">
    <cfRule type="containsText" dxfId="692" priority="1016" operator="containsText" text="Catastrófico">
      <formula>NOT(ISERROR(SEARCH("Catastrófico",H557)))</formula>
    </cfRule>
    <cfRule type="containsText" dxfId="691" priority="1017" operator="containsText" text="Mayor">
      <formula>NOT(ISERROR(SEARCH("Mayor",H557)))</formula>
    </cfRule>
    <cfRule type="containsText" dxfId="690" priority="1018" operator="containsText" text="Moderado">
      <formula>NOT(ISERROR(SEARCH("Moderado",H557)))</formula>
    </cfRule>
    <cfRule type="containsText" dxfId="689" priority="1019" operator="containsText" text="Menor">
      <formula>NOT(ISERROR(SEARCH("Menor",H557)))</formula>
    </cfRule>
    <cfRule type="containsText" dxfId="688" priority="1020" operator="containsText" text="Insignificante">
      <formula>NOT(ISERROR(SEARCH("Insignificante",H557)))</formula>
    </cfRule>
  </conditionalFormatting>
  <conditionalFormatting sqref="H562:H566">
    <cfRule type="containsText" dxfId="687" priority="1011" operator="containsText" text="Catastrófico">
      <formula>NOT(ISERROR(SEARCH("Catastrófico",H562)))</formula>
    </cfRule>
    <cfRule type="containsText" dxfId="686" priority="1012" operator="containsText" text="Mayor">
      <formula>NOT(ISERROR(SEARCH("Mayor",H562)))</formula>
    </cfRule>
    <cfRule type="containsText" dxfId="685" priority="1013" operator="containsText" text="Moderado">
      <formula>NOT(ISERROR(SEARCH("Moderado",H562)))</formula>
    </cfRule>
    <cfRule type="containsText" dxfId="684" priority="1014" operator="containsText" text="Menor">
      <formula>NOT(ISERROR(SEARCH("Menor",H562)))</formula>
    </cfRule>
    <cfRule type="containsText" dxfId="683" priority="1015" operator="containsText" text="Insignificante">
      <formula>NOT(ISERROR(SEARCH("Insignificante",H562)))</formula>
    </cfRule>
  </conditionalFormatting>
  <conditionalFormatting sqref="H567:H571">
    <cfRule type="containsText" dxfId="682" priority="1006" operator="containsText" text="Catastrófico">
      <formula>NOT(ISERROR(SEARCH("Catastrófico",H567)))</formula>
    </cfRule>
    <cfRule type="containsText" dxfId="681" priority="1007" operator="containsText" text="Mayor">
      <formula>NOT(ISERROR(SEARCH("Mayor",H567)))</formula>
    </cfRule>
    <cfRule type="containsText" dxfId="680" priority="1008" operator="containsText" text="Moderado">
      <formula>NOT(ISERROR(SEARCH("Moderado",H567)))</formula>
    </cfRule>
    <cfRule type="containsText" dxfId="679" priority="1009" operator="containsText" text="Menor">
      <formula>NOT(ISERROR(SEARCH("Menor",H567)))</formula>
    </cfRule>
    <cfRule type="containsText" dxfId="678" priority="1010" operator="containsText" text="Insignificante">
      <formula>NOT(ISERROR(SEARCH("Insignificante",H567)))</formula>
    </cfRule>
  </conditionalFormatting>
  <conditionalFormatting sqref="I557:P561">
    <cfRule type="containsText" dxfId="677" priority="1001" operator="containsText" text="Catastrófico">
      <formula>NOT(ISERROR(SEARCH("Catastrófico",I557)))</formula>
    </cfRule>
    <cfRule type="containsText" dxfId="676" priority="1002" operator="containsText" text="Mayor">
      <formula>NOT(ISERROR(SEARCH("Mayor",I557)))</formula>
    </cfRule>
    <cfRule type="containsText" dxfId="675" priority="1003" operator="containsText" text="Moderado">
      <formula>NOT(ISERROR(SEARCH("Moderado",I557)))</formula>
    </cfRule>
    <cfRule type="containsText" dxfId="674" priority="1004" operator="containsText" text="Menor">
      <formula>NOT(ISERROR(SEARCH("Menor",I557)))</formula>
    </cfRule>
    <cfRule type="containsText" dxfId="673" priority="1005" operator="containsText" text="Insignificante">
      <formula>NOT(ISERROR(SEARCH("Insignificante",I557)))</formula>
    </cfRule>
  </conditionalFormatting>
  <conditionalFormatting sqref="G582:P586">
    <cfRule type="containsText" dxfId="672" priority="996" operator="containsText" text="Catastrófico">
      <formula>NOT(ISERROR(SEARCH("Catastrófico",G582)))</formula>
    </cfRule>
    <cfRule type="containsText" dxfId="671" priority="997" operator="containsText" text="Mayor">
      <formula>NOT(ISERROR(SEARCH("Mayor",G582)))</formula>
    </cfRule>
    <cfRule type="containsText" dxfId="670" priority="998" operator="containsText" text="Moderado">
      <formula>NOT(ISERROR(SEARCH("Moderado",G582)))</formula>
    </cfRule>
    <cfRule type="containsText" dxfId="669" priority="999" operator="containsText" text="Menor">
      <formula>NOT(ISERROR(SEARCH("Menor",G582)))</formula>
    </cfRule>
    <cfRule type="containsText" dxfId="668" priority="1000" operator="containsText" text="Insignificante">
      <formula>NOT(ISERROR(SEARCH("Insignificante",G582)))</formula>
    </cfRule>
  </conditionalFormatting>
  <conditionalFormatting sqref="G587:P591">
    <cfRule type="containsText" dxfId="667" priority="991" operator="containsText" text="Catastrófico">
      <formula>NOT(ISERROR(SEARCH("Catastrófico",G587)))</formula>
    </cfRule>
    <cfRule type="containsText" dxfId="666" priority="992" operator="containsText" text="Mayor">
      <formula>NOT(ISERROR(SEARCH("Mayor",G587)))</formula>
    </cfRule>
    <cfRule type="containsText" dxfId="665" priority="993" operator="containsText" text="Moderado">
      <formula>NOT(ISERROR(SEARCH("Moderado",G587)))</formula>
    </cfRule>
    <cfRule type="containsText" dxfId="664" priority="994" operator="containsText" text="Menor">
      <formula>NOT(ISERROR(SEARCH("Menor",G587)))</formula>
    </cfRule>
    <cfRule type="containsText" dxfId="663" priority="995" operator="containsText" text="Insignificante">
      <formula>NOT(ISERROR(SEARCH("Insignificante",G587)))</formula>
    </cfRule>
  </conditionalFormatting>
  <conditionalFormatting sqref="G592:P596">
    <cfRule type="containsText" dxfId="662" priority="986" operator="containsText" text="Catastrófico">
      <formula>NOT(ISERROR(SEARCH("Catastrófico",G592)))</formula>
    </cfRule>
    <cfRule type="containsText" dxfId="661" priority="987" operator="containsText" text="Mayor">
      <formula>NOT(ISERROR(SEARCH("Mayor",G592)))</formula>
    </cfRule>
    <cfRule type="containsText" dxfId="660" priority="988" operator="containsText" text="Moderado">
      <formula>NOT(ISERROR(SEARCH("Moderado",G592)))</formula>
    </cfRule>
    <cfRule type="containsText" dxfId="659" priority="989" operator="containsText" text="Menor">
      <formula>NOT(ISERROR(SEARCH("Menor",G592)))</formula>
    </cfRule>
    <cfRule type="containsText" dxfId="658" priority="990" operator="containsText" text="Insignificante">
      <formula>NOT(ISERROR(SEARCH("Insignificante",G592)))</formula>
    </cfRule>
  </conditionalFormatting>
  <conditionalFormatting sqref="G597:P601">
    <cfRule type="containsText" dxfId="657" priority="981" operator="containsText" text="Catastrófico">
      <formula>NOT(ISERROR(SEARCH("Catastrófico",G597)))</formula>
    </cfRule>
    <cfRule type="containsText" dxfId="656" priority="982" operator="containsText" text="Mayor">
      <formula>NOT(ISERROR(SEARCH("Mayor",G597)))</formula>
    </cfRule>
    <cfRule type="containsText" dxfId="655" priority="983" operator="containsText" text="Moderado">
      <formula>NOT(ISERROR(SEARCH("Moderado",G597)))</formula>
    </cfRule>
    <cfRule type="containsText" dxfId="654" priority="984" operator="containsText" text="Menor">
      <formula>NOT(ISERROR(SEARCH("Menor",G597)))</formula>
    </cfRule>
    <cfRule type="containsText" dxfId="653" priority="985" operator="containsText" text="Insignificante">
      <formula>NOT(ISERROR(SEARCH("Insignificante",G597)))</formula>
    </cfRule>
  </conditionalFormatting>
  <conditionalFormatting sqref="G602:P606">
    <cfRule type="containsText" dxfId="652" priority="976" operator="containsText" text="Catastrófico">
      <formula>NOT(ISERROR(SEARCH("Catastrófico",G602)))</formula>
    </cfRule>
    <cfRule type="containsText" dxfId="651" priority="977" operator="containsText" text="Mayor">
      <formula>NOT(ISERROR(SEARCH("Mayor",G602)))</formula>
    </cfRule>
    <cfRule type="containsText" dxfId="650" priority="978" operator="containsText" text="Moderado">
      <formula>NOT(ISERROR(SEARCH("Moderado",G602)))</formula>
    </cfRule>
    <cfRule type="containsText" dxfId="649" priority="979" operator="containsText" text="Menor">
      <formula>NOT(ISERROR(SEARCH("Menor",G602)))</formula>
    </cfRule>
    <cfRule type="containsText" dxfId="648" priority="980" operator="containsText" text="Insignificante">
      <formula>NOT(ISERROR(SEARCH("Insignificante",G602)))</formula>
    </cfRule>
  </conditionalFormatting>
  <conditionalFormatting sqref="X607">
    <cfRule type="cellIs" dxfId="647" priority="972" operator="equal">
      <formula>"Extrema"</formula>
    </cfRule>
    <cfRule type="cellIs" dxfId="646" priority="973" operator="equal">
      <formula>"Alta"</formula>
    </cfRule>
    <cfRule type="cellIs" dxfId="645" priority="974" operator="equal">
      <formula>"Moderada"</formula>
    </cfRule>
    <cfRule type="cellIs" dxfId="644" priority="975" operator="equal">
      <formula>"Baja"</formula>
    </cfRule>
  </conditionalFormatting>
  <conditionalFormatting sqref="X612">
    <cfRule type="cellIs" dxfId="643" priority="956" operator="equal">
      <formula>"Extrema"</formula>
    </cfRule>
    <cfRule type="cellIs" dxfId="642" priority="957" operator="equal">
      <formula>"Alta"</formula>
    </cfRule>
    <cfRule type="cellIs" dxfId="641" priority="958" operator="equal">
      <formula>"Moderada"</formula>
    </cfRule>
    <cfRule type="cellIs" dxfId="640" priority="959" operator="equal">
      <formula>"Baja"</formula>
    </cfRule>
  </conditionalFormatting>
  <conditionalFormatting sqref="X617">
    <cfRule type="cellIs" dxfId="639" priority="952" operator="equal">
      <formula>"Extrema"</formula>
    </cfRule>
    <cfRule type="cellIs" dxfId="638" priority="953" operator="equal">
      <formula>"Alta"</formula>
    </cfRule>
    <cfRule type="cellIs" dxfId="637" priority="954" operator="equal">
      <formula>"Moderada"</formula>
    </cfRule>
    <cfRule type="cellIs" dxfId="636" priority="955" operator="equal">
      <formula>"Baja"</formula>
    </cfRule>
  </conditionalFormatting>
  <conditionalFormatting sqref="X622">
    <cfRule type="cellIs" dxfId="635" priority="948" operator="equal">
      <formula>"Extrema"</formula>
    </cfRule>
    <cfRule type="cellIs" dxfId="634" priority="949" operator="equal">
      <formula>"Alta"</formula>
    </cfRule>
    <cfRule type="cellIs" dxfId="633" priority="950" operator="equal">
      <formula>"Moderada"</formula>
    </cfRule>
    <cfRule type="cellIs" dxfId="632" priority="951" operator="equal">
      <formula>"Baja"</formula>
    </cfRule>
  </conditionalFormatting>
  <conditionalFormatting sqref="X627 X632 X637 X642 X647 X652">
    <cfRule type="cellIs" dxfId="631" priority="944" operator="equal">
      <formula>"Extrema"</formula>
    </cfRule>
    <cfRule type="cellIs" dxfId="630" priority="945" operator="equal">
      <formula>"Alta"</formula>
    </cfRule>
    <cfRule type="cellIs" dxfId="629" priority="946" operator="equal">
      <formula>"Moderada"</formula>
    </cfRule>
    <cfRule type="cellIs" dxfId="628" priority="947" operator="equal">
      <formula>"Baja"</formula>
    </cfRule>
  </conditionalFormatting>
  <conditionalFormatting sqref="G607:G631 H622:H631 I612:P631">
    <cfRule type="containsText" dxfId="627" priority="923" operator="containsText" text="Catastrófico">
      <formula>NOT(ISERROR(SEARCH("Catastrófico",G607)))</formula>
    </cfRule>
    <cfRule type="containsText" dxfId="626" priority="924" operator="containsText" text="Mayor">
      <formula>NOT(ISERROR(SEARCH("Mayor",G607)))</formula>
    </cfRule>
    <cfRule type="containsText" dxfId="625" priority="925" operator="containsText" text="Moderado">
      <formula>NOT(ISERROR(SEARCH("Moderado",G607)))</formula>
    </cfRule>
    <cfRule type="containsText" dxfId="624" priority="926" operator="containsText" text="Menor">
      <formula>NOT(ISERROR(SEARCH("Menor",G607)))</formula>
    </cfRule>
    <cfRule type="containsText" dxfId="623" priority="927" operator="containsText" text="Insignificante">
      <formula>NOT(ISERROR(SEARCH("Insignificante",G607)))</formula>
    </cfRule>
  </conditionalFormatting>
  <conditionalFormatting sqref="H607:H611">
    <cfRule type="containsText" dxfId="622" priority="918" operator="containsText" text="Catastrófico">
      <formula>NOT(ISERROR(SEARCH("Catastrófico",H607)))</formula>
    </cfRule>
    <cfRule type="containsText" dxfId="621" priority="919" operator="containsText" text="Mayor">
      <formula>NOT(ISERROR(SEARCH("Mayor",H607)))</formula>
    </cfRule>
    <cfRule type="containsText" dxfId="620" priority="920" operator="containsText" text="Moderado">
      <formula>NOT(ISERROR(SEARCH("Moderado",H607)))</formula>
    </cfRule>
    <cfRule type="containsText" dxfId="619" priority="921" operator="containsText" text="Menor">
      <formula>NOT(ISERROR(SEARCH("Menor",H607)))</formula>
    </cfRule>
    <cfRule type="containsText" dxfId="618" priority="922" operator="containsText" text="Insignificante">
      <formula>NOT(ISERROR(SEARCH("Insignificante",H607)))</formula>
    </cfRule>
  </conditionalFormatting>
  <conditionalFormatting sqref="H612:H616">
    <cfRule type="containsText" dxfId="617" priority="913" operator="containsText" text="Catastrófico">
      <formula>NOT(ISERROR(SEARCH("Catastrófico",H612)))</formula>
    </cfRule>
    <cfRule type="containsText" dxfId="616" priority="914" operator="containsText" text="Mayor">
      <formula>NOT(ISERROR(SEARCH("Mayor",H612)))</formula>
    </cfRule>
    <cfRule type="containsText" dxfId="615" priority="915" operator="containsText" text="Moderado">
      <formula>NOT(ISERROR(SEARCH("Moderado",H612)))</formula>
    </cfRule>
    <cfRule type="containsText" dxfId="614" priority="916" operator="containsText" text="Menor">
      <formula>NOT(ISERROR(SEARCH("Menor",H612)))</formula>
    </cfRule>
    <cfRule type="containsText" dxfId="613" priority="917" operator="containsText" text="Insignificante">
      <formula>NOT(ISERROR(SEARCH("Insignificante",H612)))</formula>
    </cfRule>
  </conditionalFormatting>
  <conditionalFormatting sqref="H617:H621">
    <cfRule type="containsText" dxfId="612" priority="908" operator="containsText" text="Catastrófico">
      <formula>NOT(ISERROR(SEARCH("Catastrófico",H617)))</formula>
    </cfRule>
    <cfRule type="containsText" dxfId="611" priority="909" operator="containsText" text="Mayor">
      <formula>NOT(ISERROR(SEARCH("Mayor",H617)))</formula>
    </cfRule>
    <cfRule type="containsText" dxfId="610" priority="910" operator="containsText" text="Moderado">
      <formula>NOT(ISERROR(SEARCH("Moderado",H617)))</formula>
    </cfRule>
    <cfRule type="containsText" dxfId="609" priority="911" operator="containsText" text="Menor">
      <formula>NOT(ISERROR(SEARCH("Menor",H617)))</formula>
    </cfRule>
    <cfRule type="containsText" dxfId="608" priority="912" operator="containsText" text="Insignificante">
      <formula>NOT(ISERROR(SEARCH("Insignificante",H617)))</formula>
    </cfRule>
  </conditionalFormatting>
  <conditionalFormatting sqref="I607:P611">
    <cfRule type="containsText" dxfId="607" priority="903" operator="containsText" text="Catastrófico">
      <formula>NOT(ISERROR(SEARCH("Catastrófico",I607)))</formula>
    </cfRule>
    <cfRule type="containsText" dxfId="606" priority="904" operator="containsText" text="Mayor">
      <formula>NOT(ISERROR(SEARCH("Mayor",I607)))</formula>
    </cfRule>
    <cfRule type="containsText" dxfId="605" priority="905" operator="containsText" text="Moderado">
      <formula>NOT(ISERROR(SEARCH("Moderado",I607)))</formula>
    </cfRule>
    <cfRule type="containsText" dxfId="604" priority="906" operator="containsText" text="Menor">
      <formula>NOT(ISERROR(SEARCH("Menor",I607)))</formula>
    </cfRule>
    <cfRule type="containsText" dxfId="603" priority="907" operator="containsText" text="Insignificante">
      <formula>NOT(ISERROR(SEARCH("Insignificante",I607)))</formula>
    </cfRule>
  </conditionalFormatting>
  <conditionalFormatting sqref="G632:P636">
    <cfRule type="containsText" dxfId="602" priority="898" operator="containsText" text="Catastrófico">
      <formula>NOT(ISERROR(SEARCH("Catastrófico",G632)))</formula>
    </cfRule>
    <cfRule type="containsText" dxfId="601" priority="899" operator="containsText" text="Mayor">
      <formula>NOT(ISERROR(SEARCH("Mayor",G632)))</formula>
    </cfRule>
    <cfRule type="containsText" dxfId="600" priority="900" operator="containsText" text="Moderado">
      <formula>NOT(ISERROR(SEARCH("Moderado",G632)))</formula>
    </cfRule>
    <cfRule type="containsText" dxfId="599" priority="901" operator="containsText" text="Menor">
      <formula>NOT(ISERROR(SEARCH("Menor",G632)))</formula>
    </cfRule>
    <cfRule type="containsText" dxfId="598" priority="902" operator="containsText" text="Insignificante">
      <formula>NOT(ISERROR(SEARCH("Insignificante",G632)))</formula>
    </cfRule>
  </conditionalFormatting>
  <conditionalFormatting sqref="G637:P641">
    <cfRule type="containsText" dxfId="597" priority="893" operator="containsText" text="Catastrófico">
      <formula>NOT(ISERROR(SEARCH("Catastrófico",G637)))</formula>
    </cfRule>
    <cfRule type="containsText" dxfId="596" priority="894" operator="containsText" text="Mayor">
      <formula>NOT(ISERROR(SEARCH("Mayor",G637)))</formula>
    </cfRule>
    <cfRule type="containsText" dxfId="595" priority="895" operator="containsText" text="Moderado">
      <formula>NOT(ISERROR(SEARCH("Moderado",G637)))</formula>
    </cfRule>
    <cfRule type="containsText" dxfId="594" priority="896" operator="containsText" text="Menor">
      <formula>NOT(ISERROR(SEARCH("Menor",G637)))</formula>
    </cfRule>
    <cfRule type="containsText" dxfId="593" priority="897" operator="containsText" text="Insignificante">
      <formula>NOT(ISERROR(SEARCH("Insignificante",G637)))</formula>
    </cfRule>
  </conditionalFormatting>
  <conditionalFormatting sqref="G642:P646">
    <cfRule type="containsText" dxfId="592" priority="888" operator="containsText" text="Catastrófico">
      <formula>NOT(ISERROR(SEARCH("Catastrófico",G642)))</formula>
    </cfRule>
    <cfRule type="containsText" dxfId="591" priority="889" operator="containsText" text="Mayor">
      <formula>NOT(ISERROR(SEARCH("Mayor",G642)))</formula>
    </cfRule>
    <cfRule type="containsText" dxfId="590" priority="890" operator="containsText" text="Moderado">
      <formula>NOT(ISERROR(SEARCH("Moderado",G642)))</formula>
    </cfRule>
    <cfRule type="containsText" dxfId="589" priority="891" operator="containsText" text="Menor">
      <formula>NOT(ISERROR(SEARCH("Menor",G642)))</formula>
    </cfRule>
    <cfRule type="containsText" dxfId="588" priority="892" operator="containsText" text="Insignificante">
      <formula>NOT(ISERROR(SEARCH("Insignificante",G642)))</formula>
    </cfRule>
  </conditionalFormatting>
  <conditionalFormatting sqref="G647:P651">
    <cfRule type="containsText" dxfId="587" priority="883" operator="containsText" text="Catastrófico">
      <formula>NOT(ISERROR(SEARCH("Catastrófico",G647)))</formula>
    </cfRule>
    <cfRule type="containsText" dxfId="586" priority="884" operator="containsText" text="Mayor">
      <formula>NOT(ISERROR(SEARCH("Mayor",G647)))</formula>
    </cfRule>
    <cfRule type="containsText" dxfId="585" priority="885" operator="containsText" text="Moderado">
      <formula>NOT(ISERROR(SEARCH("Moderado",G647)))</formula>
    </cfRule>
    <cfRule type="containsText" dxfId="584" priority="886" operator="containsText" text="Menor">
      <formula>NOT(ISERROR(SEARCH("Menor",G647)))</formula>
    </cfRule>
    <cfRule type="containsText" dxfId="583" priority="887" operator="containsText" text="Insignificante">
      <formula>NOT(ISERROR(SEARCH("Insignificante",G647)))</formula>
    </cfRule>
  </conditionalFormatting>
  <conditionalFormatting sqref="G652:P656">
    <cfRule type="containsText" dxfId="582" priority="878" operator="containsText" text="Catastrófico">
      <formula>NOT(ISERROR(SEARCH("Catastrófico",G652)))</formula>
    </cfRule>
    <cfRule type="containsText" dxfId="581" priority="879" operator="containsText" text="Mayor">
      <formula>NOT(ISERROR(SEARCH("Mayor",G652)))</formula>
    </cfRule>
    <cfRule type="containsText" dxfId="580" priority="880" operator="containsText" text="Moderado">
      <formula>NOT(ISERROR(SEARCH("Moderado",G652)))</formula>
    </cfRule>
    <cfRule type="containsText" dxfId="579" priority="881" operator="containsText" text="Menor">
      <formula>NOT(ISERROR(SEARCH("Menor",G652)))</formula>
    </cfRule>
    <cfRule type="containsText" dxfId="578" priority="882" operator="containsText" text="Insignificante">
      <formula>NOT(ISERROR(SEARCH("Insignificante",G652)))</formula>
    </cfRule>
  </conditionalFormatting>
  <conditionalFormatting sqref="X657">
    <cfRule type="cellIs" dxfId="577" priority="874" operator="equal">
      <formula>"Extrema"</formula>
    </cfRule>
    <cfRule type="cellIs" dxfId="576" priority="875" operator="equal">
      <formula>"Alta"</formula>
    </cfRule>
    <cfRule type="cellIs" dxfId="575" priority="876" operator="equal">
      <formula>"Moderada"</formula>
    </cfRule>
    <cfRule type="cellIs" dxfId="574" priority="877" operator="equal">
      <formula>"Baja"</formula>
    </cfRule>
  </conditionalFormatting>
  <conditionalFormatting sqref="X662">
    <cfRule type="cellIs" dxfId="573" priority="858" operator="equal">
      <formula>"Extrema"</formula>
    </cfRule>
    <cfRule type="cellIs" dxfId="572" priority="859" operator="equal">
      <formula>"Alta"</formula>
    </cfRule>
    <cfRule type="cellIs" dxfId="571" priority="860" operator="equal">
      <formula>"Moderada"</formula>
    </cfRule>
    <cfRule type="cellIs" dxfId="570" priority="861" operator="equal">
      <formula>"Baja"</formula>
    </cfRule>
  </conditionalFormatting>
  <conditionalFormatting sqref="X667">
    <cfRule type="cellIs" dxfId="569" priority="854" operator="equal">
      <formula>"Extrema"</formula>
    </cfRule>
    <cfRule type="cellIs" dxfId="568" priority="855" operator="equal">
      <formula>"Alta"</formula>
    </cfRule>
    <cfRule type="cellIs" dxfId="567" priority="856" operator="equal">
      <formula>"Moderada"</formula>
    </cfRule>
    <cfRule type="cellIs" dxfId="566" priority="857" operator="equal">
      <formula>"Baja"</formula>
    </cfRule>
  </conditionalFormatting>
  <conditionalFormatting sqref="X672">
    <cfRule type="cellIs" dxfId="565" priority="850" operator="equal">
      <formula>"Extrema"</formula>
    </cfRule>
    <cfRule type="cellIs" dxfId="564" priority="851" operator="equal">
      <formula>"Alta"</formula>
    </cfRule>
    <cfRule type="cellIs" dxfId="563" priority="852" operator="equal">
      <formula>"Moderada"</formula>
    </cfRule>
    <cfRule type="cellIs" dxfId="562" priority="853" operator="equal">
      <formula>"Baja"</formula>
    </cfRule>
  </conditionalFormatting>
  <conditionalFormatting sqref="X677 X682 X687 X692 X697 X702">
    <cfRule type="cellIs" dxfId="561" priority="846" operator="equal">
      <formula>"Extrema"</formula>
    </cfRule>
    <cfRule type="cellIs" dxfId="560" priority="847" operator="equal">
      <formula>"Alta"</formula>
    </cfRule>
    <cfRule type="cellIs" dxfId="559" priority="848" operator="equal">
      <formula>"Moderada"</formula>
    </cfRule>
    <cfRule type="cellIs" dxfId="558" priority="849" operator="equal">
      <formula>"Baja"</formula>
    </cfRule>
  </conditionalFormatting>
  <conditionalFormatting sqref="G657:G681 H672:H681 I662:P681">
    <cfRule type="containsText" dxfId="557" priority="825" operator="containsText" text="Catastrófico">
      <formula>NOT(ISERROR(SEARCH("Catastrófico",G657)))</formula>
    </cfRule>
    <cfRule type="containsText" dxfId="556" priority="826" operator="containsText" text="Mayor">
      <formula>NOT(ISERROR(SEARCH("Mayor",G657)))</formula>
    </cfRule>
    <cfRule type="containsText" dxfId="555" priority="827" operator="containsText" text="Moderado">
      <formula>NOT(ISERROR(SEARCH("Moderado",G657)))</formula>
    </cfRule>
    <cfRule type="containsText" dxfId="554" priority="828" operator="containsText" text="Menor">
      <formula>NOT(ISERROR(SEARCH("Menor",G657)))</formula>
    </cfRule>
    <cfRule type="containsText" dxfId="553" priority="829" operator="containsText" text="Insignificante">
      <formula>NOT(ISERROR(SEARCH("Insignificante",G657)))</formula>
    </cfRule>
  </conditionalFormatting>
  <conditionalFormatting sqref="H657:H661">
    <cfRule type="containsText" dxfId="552" priority="820" operator="containsText" text="Catastrófico">
      <formula>NOT(ISERROR(SEARCH("Catastrófico",H657)))</formula>
    </cfRule>
    <cfRule type="containsText" dxfId="551" priority="821" operator="containsText" text="Mayor">
      <formula>NOT(ISERROR(SEARCH("Mayor",H657)))</formula>
    </cfRule>
    <cfRule type="containsText" dxfId="550" priority="822" operator="containsText" text="Moderado">
      <formula>NOT(ISERROR(SEARCH("Moderado",H657)))</formula>
    </cfRule>
    <cfRule type="containsText" dxfId="549" priority="823" operator="containsText" text="Menor">
      <formula>NOT(ISERROR(SEARCH("Menor",H657)))</formula>
    </cfRule>
    <cfRule type="containsText" dxfId="548" priority="824" operator="containsText" text="Insignificante">
      <formula>NOT(ISERROR(SEARCH("Insignificante",H657)))</formula>
    </cfRule>
  </conditionalFormatting>
  <conditionalFormatting sqref="H662:H666">
    <cfRule type="containsText" dxfId="547" priority="815" operator="containsText" text="Catastrófico">
      <formula>NOT(ISERROR(SEARCH("Catastrófico",H662)))</formula>
    </cfRule>
    <cfRule type="containsText" dxfId="546" priority="816" operator="containsText" text="Mayor">
      <formula>NOT(ISERROR(SEARCH("Mayor",H662)))</formula>
    </cfRule>
    <cfRule type="containsText" dxfId="545" priority="817" operator="containsText" text="Moderado">
      <formula>NOT(ISERROR(SEARCH("Moderado",H662)))</formula>
    </cfRule>
    <cfRule type="containsText" dxfId="544" priority="818" operator="containsText" text="Menor">
      <formula>NOT(ISERROR(SEARCH("Menor",H662)))</formula>
    </cfRule>
    <cfRule type="containsText" dxfId="543" priority="819" operator="containsText" text="Insignificante">
      <formula>NOT(ISERROR(SEARCH("Insignificante",H662)))</formula>
    </cfRule>
  </conditionalFormatting>
  <conditionalFormatting sqref="H667:H671">
    <cfRule type="containsText" dxfId="542" priority="810" operator="containsText" text="Catastrófico">
      <formula>NOT(ISERROR(SEARCH("Catastrófico",H667)))</formula>
    </cfRule>
    <cfRule type="containsText" dxfId="541" priority="811" operator="containsText" text="Mayor">
      <formula>NOT(ISERROR(SEARCH("Mayor",H667)))</formula>
    </cfRule>
    <cfRule type="containsText" dxfId="540" priority="812" operator="containsText" text="Moderado">
      <formula>NOT(ISERROR(SEARCH("Moderado",H667)))</formula>
    </cfRule>
    <cfRule type="containsText" dxfId="539" priority="813" operator="containsText" text="Menor">
      <formula>NOT(ISERROR(SEARCH("Menor",H667)))</formula>
    </cfRule>
    <cfRule type="containsText" dxfId="538" priority="814" operator="containsText" text="Insignificante">
      <formula>NOT(ISERROR(SEARCH("Insignificante",H667)))</formula>
    </cfRule>
  </conditionalFormatting>
  <conditionalFormatting sqref="I657:P661">
    <cfRule type="containsText" dxfId="537" priority="805" operator="containsText" text="Catastrófico">
      <formula>NOT(ISERROR(SEARCH("Catastrófico",I657)))</formula>
    </cfRule>
    <cfRule type="containsText" dxfId="536" priority="806" operator="containsText" text="Mayor">
      <formula>NOT(ISERROR(SEARCH("Mayor",I657)))</formula>
    </cfRule>
    <cfRule type="containsText" dxfId="535" priority="807" operator="containsText" text="Moderado">
      <formula>NOT(ISERROR(SEARCH("Moderado",I657)))</formula>
    </cfRule>
    <cfRule type="containsText" dxfId="534" priority="808" operator="containsText" text="Menor">
      <formula>NOT(ISERROR(SEARCH("Menor",I657)))</formula>
    </cfRule>
    <cfRule type="containsText" dxfId="533" priority="809" operator="containsText" text="Insignificante">
      <formula>NOT(ISERROR(SEARCH("Insignificante",I657)))</formula>
    </cfRule>
  </conditionalFormatting>
  <conditionalFormatting sqref="G682:P686">
    <cfRule type="containsText" dxfId="532" priority="800" operator="containsText" text="Catastrófico">
      <formula>NOT(ISERROR(SEARCH("Catastrófico",G682)))</formula>
    </cfRule>
    <cfRule type="containsText" dxfId="531" priority="801" operator="containsText" text="Mayor">
      <formula>NOT(ISERROR(SEARCH("Mayor",G682)))</formula>
    </cfRule>
    <cfRule type="containsText" dxfId="530" priority="802" operator="containsText" text="Moderado">
      <formula>NOT(ISERROR(SEARCH("Moderado",G682)))</formula>
    </cfRule>
    <cfRule type="containsText" dxfId="529" priority="803" operator="containsText" text="Menor">
      <formula>NOT(ISERROR(SEARCH("Menor",G682)))</formula>
    </cfRule>
    <cfRule type="containsText" dxfId="528" priority="804" operator="containsText" text="Insignificante">
      <formula>NOT(ISERROR(SEARCH("Insignificante",G682)))</formula>
    </cfRule>
  </conditionalFormatting>
  <conditionalFormatting sqref="G687:P691">
    <cfRule type="containsText" dxfId="527" priority="795" operator="containsText" text="Catastrófico">
      <formula>NOT(ISERROR(SEARCH("Catastrófico",G687)))</formula>
    </cfRule>
    <cfRule type="containsText" dxfId="526" priority="796" operator="containsText" text="Mayor">
      <formula>NOT(ISERROR(SEARCH("Mayor",G687)))</formula>
    </cfRule>
    <cfRule type="containsText" dxfId="525" priority="797" operator="containsText" text="Moderado">
      <formula>NOT(ISERROR(SEARCH("Moderado",G687)))</formula>
    </cfRule>
    <cfRule type="containsText" dxfId="524" priority="798" operator="containsText" text="Menor">
      <formula>NOT(ISERROR(SEARCH("Menor",G687)))</formula>
    </cfRule>
    <cfRule type="containsText" dxfId="523" priority="799" operator="containsText" text="Insignificante">
      <formula>NOT(ISERROR(SEARCH("Insignificante",G687)))</formula>
    </cfRule>
  </conditionalFormatting>
  <conditionalFormatting sqref="G692:P696">
    <cfRule type="containsText" dxfId="522" priority="790" operator="containsText" text="Catastrófico">
      <formula>NOT(ISERROR(SEARCH("Catastrófico",G692)))</formula>
    </cfRule>
    <cfRule type="containsText" dxfId="521" priority="791" operator="containsText" text="Mayor">
      <formula>NOT(ISERROR(SEARCH("Mayor",G692)))</formula>
    </cfRule>
    <cfRule type="containsText" dxfId="520" priority="792" operator="containsText" text="Moderado">
      <formula>NOT(ISERROR(SEARCH("Moderado",G692)))</formula>
    </cfRule>
    <cfRule type="containsText" dxfId="519" priority="793" operator="containsText" text="Menor">
      <formula>NOT(ISERROR(SEARCH("Menor",G692)))</formula>
    </cfRule>
    <cfRule type="containsText" dxfId="518" priority="794" operator="containsText" text="Insignificante">
      <formula>NOT(ISERROR(SEARCH("Insignificante",G692)))</formula>
    </cfRule>
  </conditionalFormatting>
  <conditionalFormatting sqref="G697:P701">
    <cfRule type="containsText" dxfId="517" priority="785" operator="containsText" text="Catastrófico">
      <formula>NOT(ISERROR(SEARCH("Catastrófico",G697)))</formula>
    </cfRule>
    <cfRule type="containsText" dxfId="516" priority="786" operator="containsText" text="Mayor">
      <formula>NOT(ISERROR(SEARCH("Mayor",G697)))</formula>
    </cfRule>
    <cfRule type="containsText" dxfId="515" priority="787" operator="containsText" text="Moderado">
      <formula>NOT(ISERROR(SEARCH("Moderado",G697)))</formula>
    </cfRule>
    <cfRule type="containsText" dxfId="514" priority="788" operator="containsText" text="Menor">
      <formula>NOT(ISERROR(SEARCH("Menor",G697)))</formula>
    </cfRule>
    <cfRule type="containsText" dxfId="513" priority="789" operator="containsText" text="Insignificante">
      <formula>NOT(ISERROR(SEARCH("Insignificante",G697)))</formula>
    </cfRule>
  </conditionalFormatting>
  <conditionalFormatting sqref="G702:P706">
    <cfRule type="containsText" dxfId="512" priority="780" operator="containsText" text="Catastrófico">
      <formula>NOT(ISERROR(SEARCH("Catastrófico",G702)))</formula>
    </cfRule>
    <cfRule type="containsText" dxfId="511" priority="781" operator="containsText" text="Mayor">
      <formula>NOT(ISERROR(SEARCH("Mayor",G702)))</formula>
    </cfRule>
    <cfRule type="containsText" dxfId="510" priority="782" operator="containsText" text="Moderado">
      <formula>NOT(ISERROR(SEARCH("Moderado",G702)))</formula>
    </cfRule>
    <cfRule type="containsText" dxfId="509" priority="783" operator="containsText" text="Menor">
      <formula>NOT(ISERROR(SEARCH("Menor",G702)))</formula>
    </cfRule>
    <cfRule type="containsText" dxfId="508" priority="784" operator="containsText" text="Insignificante">
      <formula>NOT(ISERROR(SEARCH("Insignificante",G702)))</formula>
    </cfRule>
  </conditionalFormatting>
  <conditionalFormatting sqref="X707">
    <cfRule type="cellIs" dxfId="507" priority="776" operator="equal">
      <formula>"Extrema"</formula>
    </cfRule>
    <cfRule type="cellIs" dxfId="506" priority="777" operator="equal">
      <formula>"Alta"</formula>
    </cfRule>
    <cfRule type="cellIs" dxfId="505" priority="778" operator="equal">
      <formula>"Moderada"</formula>
    </cfRule>
    <cfRule type="cellIs" dxfId="504" priority="779" operator="equal">
      <formula>"Baja"</formula>
    </cfRule>
  </conditionalFormatting>
  <conditionalFormatting sqref="X712">
    <cfRule type="cellIs" dxfId="503" priority="760" operator="equal">
      <formula>"Extrema"</formula>
    </cfRule>
    <cfRule type="cellIs" dxfId="502" priority="761" operator="equal">
      <formula>"Alta"</formula>
    </cfRule>
    <cfRule type="cellIs" dxfId="501" priority="762" operator="equal">
      <formula>"Moderada"</formula>
    </cfRule>
    <cfRule type="cellIs" dxfId="500" priority="763" operator="equal">
      <formula>"Baja"</formula>
    </cfRule>
  </conditionalFormatting>
  <conditionalFormatting sqref="X717">
    <cfRule type="cellIs" dxfId="499" priority="756" operator="equal">
      <formula>"Extrema"</formula>
    </cfRule>
    <cfRule type="cellIs" dxfId="498" priority="757" operator="equal">
      <formula>"Alta"</formula>
    </cfRule>
    <cfRule type="cellIs" dxfId="497" priority="758" operator="equal">
      <formula>"Moderada"</formula>
    </cfRule>
    <cfRule type="cellIs" dxfId="496" priority="759" operator="equal">
      <formula>"Baja"</formula>
    </cfRule>
  </conditionalFormatting>
  <conditionalFormatting sqref="X727 X732 X737 X742 X747 X752">
    <cfRule type="cellIs" dxfId="495" priority="748" operator="equal">
      <formula>"Extrema"</formula>
    </cfRule>
    <cfRule type="cellIs" dxfId="494" priority="749" operator="equal">
      <formula>"Alta"</formula>
    </cfRule>
    <cfRule type="cellIs" dxfId="493" priority="750" operator="equal">
      <formula>"Moderada"</formula>
    </cfRule>
    <cfRule type="cellIs" dxfId="492" priority="751" operator="equal">
      <formula>"Baja"</formula>
    </cfRule>
  </conditionalFormatting>
  <conditionalFormatting sqref="G707:G731 H722:H731 I712:P731">
    <cfRule type="containsText" dxfId="491" priority="727" operator="containsText" text="Catastrófico">
      <formula>NOT(ISERROR(SEARCH("Catastrófico",G707)))</formula>
    </cfRule>
    <cfRule type="containsText" dxfId="490" priority="728" operator="containsText" text="Mayor">
      <formula>NOT(ISERROR(SEARCH("Mayor",G707)))</formula>
    </cfRule>
    <cfRule type="containsText" dxfId="489" priority="729" operator="containsText" text="Moderado">
      <formula>NOT(ISERROR(SEARCH("Moderado",G707)))</formula>
    </cfRule>
    <cfRule type="containsText" dxfId="488" priority="730" operator="containsText" text="Menor">
      <formula>NOT(ISERROR(SEARCH("Menor",G707)))</formula>
    </cfRule>
    <cfRule type="containsText" dxfId="487" priority="731" operator="containsText" text="Insignificante">
      <formula>NOT(ISERROR(SEARCH("Insignificante",G707)))</formula>
    </cfRule>
  </conditionalFormatting>
  <conditionalFormatting sqref="H707:H711">
    <cfRule type="containsText" dxfId="486" priority="722" operator="containsText" text="Catastrófico">
      <formula>NOT(ISERROR(SEARCH("Catastrófico",H707)))</formula>
    </cfRule>
    <cfRule type="containsText" dxfId="485" priority="723" operator="containsText" text="Mayor">
      <formula>NOT(ISERROR(SEARCH("Mayor",H707)))</formula>
    </cfRule>
    <cfRule type="containsText" dxfId="484" priority="724" operator="containsText" text="Moderado">
      <formula>NOT(ISERROR(SEARCH("Moderado",H707)))</formula>
    </cfRule>
    <cfRule type="containsText" dxfId="483" priority="725" operator="containsText" text="Menor">
      <formula>NOT(ISERROR(SEARCH("Menor",H707)))</formula>
    </cfRule>
    <cfRule type="containsText" dxfId="482" priority="726" operator="containsText" text="Insignificante">
      <formula>NOT(ISERROR(SEARCH("Insignificante",H707)))</formula>
    </cfRule>
  </conditionalFormatting>
  <conditionalFormatting sqref="H712:H716">
    <cfRule type="containsText" dxfId="481" priority="717" operator="containsText" text="Catastrófico">
      <formula>NOT(ISERROR(SEARCH("Catastrófico",H712)))</formula>
    </cfRule>
    <cfRule type="containsText" dxfId="480" priority="718" operator="containsText" text="Mayor">
      <formula>NOT(ISERROR(SEARCH("Mayor",H712)))</formula>
    </cfRule>
    <cfRule type="containsText" dxfId="479" priority="719" operator="containsText" text="Moderado">
      <formula>NOT(ISERROR(SEARCH("Moderado",H712)))</formula>
    </cfRule>
    <cfRule type="containsText" dxfId="478" priority="720" operator="containsText" text="Menor">
      <formula>NOT(ISERROR(SEARCH("Menor",H712)))</formula>
    </cfRule>
    <cfRule type="containsText" dxfId="477" priority="721" operator="containsText" text="Insignificante">
      <formula>NOT(ISERROR(SEARCH("Insignificante",H712)))</formula>
    </cfRule>
  </conditionalFormatting>
  <conditionalFormatting sqref="H717:H721">
    <cfRule type="containsText" dxfId="476" priority="712" operator="containsText" text="Catastrófico">
      <formula>NOT(ISERROR(SEARCH("Catastrófico",H717)))</formula>
    </cfRule>
    <cfRule type="containsText" dxfId="475" priority="713" operator="containsText" text="Mayor">
      <formula>NOT(ISERROR(SEARCH("Mayor",H717)))</formula>
    </cfRule>
    <cfRule type="containsText" dxfId="474" priority="714" operator="containsText" text="Moderado">
      <formula>NOT(ISERROR(SEARCH("Moderado",H717)))</formula>
    </cfRule>
    <cfRule type="containsText" dxfId="473" priority="715" operator="containsText" text="Menor">
      <formula>NOT(ISERROR(SEARCH("Menor",H717)))</formula>
    </cfRule>
    <cfRule type="containsText" dxfId="472" priority="716" operator="containsText" text="Insignificante">
      <formula>NOT(ISERROR(SEARCH("Insignificante",H717)))</formula>
    </cfRule>
  </conditionalFormatting>
  <conditionalFormatting sqref="I707:P711">
    <cfRule type="containsText" dxfId="471" priority="707" operator="containsText" text="Catastrófico">
      <formula>NOT(ISERROR(SEARCH("Catastrófico",I707)))</formula>
    </cfRule>
    <cfRule type="containsText" dxfId="470" priority="708" operator="containsText" text="Mayor">
      <formula>NOT(ISERROR(SEARCH("Mayor",I707)))</formula>
    </cfRule>
    <cfRule type="containsText" dxfId="469" priority="709" operator="containsText" text="Moderado">
      <formula>NOT(ISERROR(SEARCH("Moderado",I707)))</formula>
    </cfRule>
    <cfRule type="containsText" dxfId="468" priority="710" operator="containsText" text="Menor">
      <formula>NOT(ISERROR(SEARCH("Menor",I707)))</formula>
    </cfRule>
    <cfRule type="containsText" dxfId="467" priority="711" operator="containsText" text="Insignificante">
      <formula>NOT(ISERROR(SEARCH("Insignificante",I707)))</formula>
    </cfRule>
  </conditionalFormatting>
  <conditionalFormatting sqref="G732:P736">
    <cfRule type="containsText" dxfId="466" priority="702" operator="containsText" text="Catastrófico">
      <formula>NOT(ISERROR(SEARCH("Catastrófico",G732)))</formula>
    </cfRule>
    <cfRule type="containsText" dxfId="465" priority="703" operator="containsText" text="Mayor">
      <formula>NOT(ISERROR(SEARCH("Mayor",G732)))</formula>
    </cfRule>
    <cfRule type="containsText" dxfId="464" priority="704" operator="containsText" text="Moderado">
      <formula>NOT(ISERROR(SEARCH("Moderado",G732)))</formula>
    </cfRule>
    <cfRule type="containsText" dxfId="463" priority="705" operator="containsText" text="Menor">
      <formula>NOT(ISERROR(SEARCH("Menor",G732)))</formula>
    </cfRule>
    <cfRule type="containsText" dxfId="462" priority="706" operator="containsText" text="Insignificante">
      <formula>NOT(ISERROR(SEARCH("Insignificante",G732)))</formula>
    </cfRule>
  </conditionalFormatting>
  <conditionalFormatting sqref="G737:P741">
    <cfRule type="containsText" dxfId="461" priority="697" operator="containsText" text="Catastrófico">
      <formula>NOT(ISERROR(SEARCH("Catastrófico",G737)))</formula>
    </cfRule>
    <cfRule type="containsText" dxfId="460" priority="698" operator="containsText" text="Mayor">
      <formula>NOT(ISERROR(SEARCH("Mayor",G737)))</formula>
    </cfRule>
    <cfRule type="containsText" dxfId="459" priority="699" operator="containsText" text="Moderado">
      <formula>NOT(ISERROR(SEARCH("Moderado",G737)))</formula>
    </cfRule>
    <cfRule type="containsText" dxfId="458" priority="700" operator="containsText" text="Menor">
      <formula>NOT(ISERROR(SEARCH("Menor",G737)))</formula>
    </cfRule>
    <cfRule type="containsText" dxfId="457" priority="701" operator="containsText" text="Insignificante">
      <formula>NOT(ISERROR(SEARCH("Insignificante",G737)))</formula>
    </cfRule>
  </conditionalFormatting>
  <conditionalFormatting sqref="G742:P746">
    <cfRule type="containsText" dxfId="456" priority="692" operator="containsText" text="Catastrófico">
      <formula>NOT(ISERROR(SEARCH("Catastrófico",G742)))</formula>
    </cfRule>
    <cfRule type="containsText" dxfId="455" priority="693" operator="containsText" text="Mayor">
      <formula>NOT(ISERROR(SEARCH("Mayor",G742)))</formula>
    </cfRule>
    <cfRule type="containsText" dxfId="454" priority="694" operator="containsText" text="Moderado">
      <formula>NOT(ISERROR(SEARCH("Moderado",G742)))</formula>
    </cfRule>
    <cfRule type="containsText" dxfId="453" priority="695" operator="containsText" text="Menor">
      <formula>NOT(ISERROR(SEARCH("Menor",G742)))</formula>
    </cfRule>
    <cfRule type="containsText" dxfId="452" priority="696" operator="containsText" text="Insignificante">
      <formula>NOT(ISERROR(SEARCH("Insignificante",G742)))</formula>
    </cfRule>
  </conditionalFormatting>
  <conditionalFormatting sqref="G752:P756">
    <cfRule type="containsText" dxfId="451" priority="682" operator="containsText" text="Catastrófico">
      <formula>NOT(ISERROR(SEARCH("Catastrófico",G752)))</formula>
    </cfRule>
    <cfRule type="containsText" dxfId="450" priority="683" operator="containsText" text="Mayor">
      <formula>NOT(ISERROR(SEARCH("Mayor",G752)))</formula>
    </cfRule>
    <cfRule type="containsText" dxfId="449" priority="684" operator="containsText" text="Moderado">
      <formula>NOT(ISERROR(SEARCH("Moderado",G752)))</formula>
    </cfRule>
    <cfRule type="containsText" dxfId="448" priority="685" operator="containsText" text="Menor">
      <formula>NOT(ISERROR(SEARCH("Menor",G752)))</formula>
    </cfRule>
    <cfRule type="containsText" dxfId="447" priority="686" operator="containsText" text="Insignificante">
      <formula>NOT(ISERROR(SEARCH("Insignificante",G752)))</formula>
    </cfRule>
  </conditionalFormatting>
  <conditionalFormatting sqref="X757">
    <cfRule type="cellIs" dxfId="446" priority="678" operator="equal">
      <formula>"Extrema"</formula>
    </cfRule>
    <cfRule type="cellIs" dxfId="445" priority="679" operator="equal">
      <formula>"Alta"</formula>
    </cfRule>
    <cfRule type="cellIs" dxfId="444" priority="680" operator="equal">
      <formula>"Moderada"</formula>
    </cfRule>
    <cfRule type="cellIs" dxfId="443" priority="681" operator="equal">
      <formula>"Baja"</formula>
    </cfRule>
  </conditionalFormatting>
  <conditionalFormatting sqref="X762">
    <cfRule type="cellIs" dxfId="442" priority="662" operator="equal">
      <formula>"Extrema"</formula>
    </cfRule>
    <cfRule type="cellIs" dxfId="441" priority="663" operator="equal">
      <formula>"Alta"</formula>
    </cfRule>
    <cfRule type="cellIs" dxfId="440" priority="664" operator="equal">
      <formula>"Moderada"</formula>
    </cfRule>
    <cfRule type="cellIs" dxfId="439" priority="665" operator="equal">
      <formula>"Baja"</formula>
    </cfRule>
  </conditionalFormatting>
  <conditionalFormatting sqref="X767">
    <cfRule type="cellIs" dxfId="438" priority="658" operator="equal">
      <formula>"Extrema"</formula>
    </cfRule>
    <cfRule type="cellIs" dxfId="437" priority="659" operator="equal">
      <formula>"Alta"</formula>
    </cfRule>
    <cfRule type="cellIs" dxfId="436" priority="660" operator="equal">
      <formula>"Moderada"</formula>
    </cfRule>
    <cfRule type="cellIs" dxfId="435" priority="661" operator="equal">
      <formula>"Baja"</formula>
    </cfRule>
  </conditionalFormatting>
  <conditionalFormatting sqref="X772">
    <cfRule type="cellIs" dxfId="434" priority="654" operator="equal">
      <formula>"Extrema"</formula>
    </cfRule>
    <cfRule type="cellIs" dxfId="433" priority="655" operator="equal">
      <formula>"Alta"</formula>
    </cfRule>
    <cfRule type="cellIs" dxfId="432" priority="656" operator="equal">
      <formula>"Moderada"</formula>
    </cfRule>
    <cfRule type="cellIs" dxfId="431" priority="657" operator="equal">
      <formula>"Baja"</formula>
    </cfRule>
  </conditionalFormatting>
  <conditionalFormatting sqref="X777 X782 X787 X792 X797 X802">
    <cfRule type="cellIs" dxfId="430" priority="650" operator="equal">
      <formula>"Extrema"</formula>
    </cfRule>
    <cfRule type="cellIs" dxfId="429" priority="651" operator="equal">
      <formula>"Alta"</formula>
    </cfRule>
    <cfRule type="cellIs" dxfId="428" priority="652" operator="equal">
      <formula>"Moderada"</formula>
    </cfRule>
    <cfRule type="cellIs" dxfId="427" priority="653" operator="equal">
      <formula>"Baja"</formula>
    </cfRule>
  </conditionalFormatting>
  <conditionalFormatting sqref="G757:G781 H772:H781 I762:P781">
    <cfRule type="containsText" dxfId="426" priority="629" operator="containsText" text="Catastrófico">
      <formula>NOT(ISERROR(SEARCH("Catastrófico",G757)))</formula>
    </cfRule>
    <cfRule type="containsText" dxfId="425" priority="630" operator="containsText" text="Mayor">
      <formula>NOT(ISERROR(SEARCH("Mayor",G757)))</formula>
    </cfRule>
    <cfRule type="containsText" dxfId="424" priority="631" operator="containsText" text="Moderado">
      <formula>NOT(ISERROR(SEARCH("Moderado",G757)))</formula>
    </cfRule>
    <cfRule type="containsText" dxfId="423" priority="632" operator="containsText" text="Menor">
      <formula>NOT(ISERROR(SEARCH("Menor",G757)))</formula>
    </cfRule>
    <cfRule type="containsText" dxfId="422" priority="633" operator="containsText" text="Insignificante">
      <formula>NOT(ISERROR(SEARCH("Insignificante",G757)))</formula>
    </cfRule>
  </conditionalFormatting>
  <conditionalFormatting sqref="H757:H761">
    <cfRule type="containsText" dxfId="421" priority="624" operator="containsText" text="Catastrófico">
      <formula>NOT(ISERROR(SEARCH("Catastrófico",H757)))</formula>
    </cfRule>
    <cfRule type="containsText" dxfId="420" priority="625" operator="containsText" text="Mayor">
      <formula>NOT(ISERROR(SEARCH("Mayor",H757)))</formula>
    </cfRule>
    <cfRule type="containsText" dxfId="419" priority="626" operator="containsText" text="Moderado">
      <formula>NOT(ISERROR(SEARCH("Moderado",H757)))</formula>
    </cfRule>
    <cfRule type="containsText" dxfId="418" priority="627" operator="containsText" text="Menor">
      <formula>NOT(ISERROR(SEARCH("Menor",H757)))</formula>
    </cfRule>
    <cfRule type="containsText" dxfId="417" priority="628" operator="containsText" text="Insignificante">
      <formula>NOT(ISERROR(SEARCH("Insignificante",H757)))</formula>
    </cfRule>
  </conditionalFormatting>
  <conditionalFormatting sqref="H762:H766">
    <cfRule type="containsText" dxfId="416" priority="619" operator="containsText" text="Catastrófico">
      <formula>NOT(ISERROR(SEARCH("Catastrófico",H762)))</formula>
    </cfRule>
    <cfRule type="containsText" dxfId="415" priority="620" operator="containsText" text="Mayor">
      <formula>NOT(ISERROR(SEARCH("Mayor",H762)))</formula>
    </cfRule>
    <cfRule type="containsText" dxfId="414" priority="621" operator="containsText" text="Moderado">
      <formula>NOT(ISERROR(SEARCH("Moderado",H762)))</formula>
    </cfRule>
    <cfRule type="containsText" dxfId="413" priority="622" operator="containsText" text="Menor">
      <formula>NOT(ISERROR(SEARCH("Menor",H762)))</formula>
    </cfRule>
    <cfRule type="containsText" dxfId="412" priority="623" operator="containsText" text="Insignificante">
      <formula>NOT(ISERROR(SEARCH("Insignificante",H762)))</formula>
    </cfRule>
  </conditionalFormatting>
  <conditionalFormatting sqref="H767:H771">
    <cfRule type="containsText" dxfId="411" priority="614" operator="containsText" text="Catastrófico">
      <formula>NOT(ISERROR(SEARCH("Catastrófico",H767)))</formula>
    </cfRule>
    <cfRule type="containsText" dxfId="410" priority="615" operator="containsText" text="Mayor">
      <formula>NOT(ISERROR(SEARCH("Mayor",H767)))</formula>
    </cfRule>
    <cfRule type="containsText" dxfId="409" priority="616" operator="containsText" text="Moderado">
      <formula>NOT(ISERROR(SEARCH("Moderado",H767)))</formula>
    </cfRule>
    <cfRule type="containsText" dxfId="408" priority="617" operator="containsText" text="Menor">
      <formula>NOT(ISERROR(SEARCH("Menor",H767)))</formula>
    </cfRule>
    <cfRule type="containsText" dxfId="407" priority="618" operator="containsText" text="Insignificante">
      <formula>NOT(ISERROR(SEARCH("Insignificante",H767)))</formula>
    </cfRule>
  </conditionalFormatting>
  <conditionalFormatting sqref="I757:P761">
    <cfRule type="containsText" dxfId="406" priority="609" operator="containsText" text="Catastrófico">
      <formula>NOT(ISERROR(SEARCH("Catastrófico",I757)))</formula>
    </cfRule>
    <cfRule type="containsText" dxfId="405" priority="610" operator="containsText" text="Mayor">
      <formula>NOT(ISERROR(SEARCH("Mayor",I757)))</formula>
    </cfRule>
    <cfRule type="containsText" dxfId="404" priority="611" operator="containsText" text="Moderado">
      <formula>NOT(ISERROR(SEARCH("Moderado",I757)))</formula>
    </cfRule>
    <cfRule type="containsText" dxfId="403" priority="612" operator="containsText" text="Menor">
      <formula>NOT(ISERROR(SEARCH("Menor",I757)))</formula>
    </cfRule>
    <cfRule type="containsText" dxfId="402" priority="613" operator="containsText" text="Insignificante">
      <formula>NOT(ISERROR(SEARCH("Insignificante",I757)))</formula>
    </cfRule>
  </conditionalFormatting>
  <conditionalFormatting sqref="G782:P786">
    <cfRule type="containsText" dxfId="401" priority="604" operator="containsText" text="Catastrófico">
      <formula>NOT(ISERROR(SEARCH("Catastrófico",G782)))</formula>
    </cfRule>
    <cfRule type="containsText" dxfId="400" priority="605" operator="containsText" text="Mayor">
      <formula>NOT(ISERROR(SEARCH("Mayor",G782)))</formula>
    </cfRule>
    <cfRule type="containsText" dxfId="399" priority="606" operator="containsText" text="Moderado">
      <formula>NOT(ISERROR(SEARCH("Moderado",G782)))</formula>
    </cfRule>
    <cfRule type="containsText" dxfId="398" priority="607" operator="containsText" text="Menor">
      <formula>NOT(ISERROR(SEARCH("Menor",G782)))</formula>
    </cfRule>
    <cfRule type="containsText" dxfId="397" priority="608" operator="containsText" text="Insignificante">
      <formula>NOT(ISERROR(SEARCH("Insignificante",G782)))</formula>
    </cfRule>
  </conditionalFormatting>
  <conditionalFormatting sqref="G787:P791">
    <cfRule type="containsText" dxfId="396" priority="599" operator="containsText" text="Catastrófico">
      <formula>NOT(ISERROR(SEARCH("Catastrófico",G787)))</formula>
    </cfRule>
    <cfRule type="containsText" dxfId="395" priority="600" operator="containsText" text="Mayor">
      <formula>NOT(ISERROR(SEARCH("Mayor",G787)))</formula>
    </cfRule>
    <cfRule type="containsText" dxfId="394" priority="601" operator="containsText" text="Moderado">
      <formula>NOT(ISERROR(SEARCH("Moderado",G787)))</formula>
    </cfRule>
    <cfRule type="containsText" dxfId="393" priority="602" operator="containsText" text="Menor">
      <formula>NOT(ISERROR(SEARCH("Menor",G787)))</formula>
    </cfRule>
    <cfRule type="containsText" dxfId="392" priority="603" operator="containsText" text="Insignificante">
      <formula>NOT(ISERROR(SEARCH("Insignificante",G787)))</formula>
    </cfRule>
  </conditionalFormatting>
  <conditionalFormatting sqref="G792:P796">
    <cfRule type="containsText" dxfId="391" priority="594" operator="containsText" text="Catastrófico">
      <formula>NOT(ISERROR(SEARCH("Catastrófico",G792)))</formula>
    </cfRule>
    <cfRule type="containsText" dxfId="390" priority="595" operator="containsText" text="Mayor">
      <formula>NOT(ISERROR(SEARCH("Mayor",G792)))</formula>
    </cfRule>
    <cfRule type="containsText" dxfId="389" priority="596" operator="containsText" text="Moderado">
      <formula>NOT(ISERROR(SEARCH("Moderado",G792)))</formula>
    </cfRule>
    <cfRule type="containsText" dxfId="388" priority="597" operator="containsText" text="Menor">
      <formula>NOT(ISERROR(SEARCH("Menor",G792)))</formula>
    </cfRule>
    <cfRule type="containsText" dxfId="387" priority="598" operator="containsText" text="Insignificante">
      <formula>NOT(ISERROR(SEARCH("Insignificante",G792)))</formula>
    </cfRule>
  </conditionalFormatting>
  <conditionalFormatting sqref="G797:P801">
    <cfRule type="containsText" dxfId="386" priority="589" operator="containsText" text="Catastrófico">
      <formula>NOT(ISERROR(SEARCH("Catastrófico",G797)))</formula>
    </cfRule>
    <cfRule type="containsText" dxfId="385" priority="590" operator="containsText" text="Mayor">
      <formula>NOT(ISERROR(SEARCH("Mayor",G797)))</formula>
    </cfRule>
    <cfRule type="containsText" dxfId="384" priority="591" operator="containsText" text="Moderado">
      <formula>NOT(ISERROR(SEARCH("Moderado",G797)))</formula>
    </cfRule>
    <cfRule type="containsText" dxfId="383" priority="592" operator="containsText" text="Menor">
      <formula>NOT(ISERROR(SEARCH("Menor",G797)))</formula>
    </cfRule>
    <cfRule type="containsText" dxfId="382" priority="593" operator="containsText" text="Insignificante">
      <formula>NOT(ISERROR(SEARCH("Insignificante",G797)))</formula>
    </cfRule>
  </conditionalFormatting>
  <conditionalFormatting sqref="G802:P806">
    <cfRule type="containsText" dxfId="381" priority="584" operator="containsText" text="Catastrófico">
      <formula>NOT(ISERROR(SEARCH("Catastrófico",G802)))</formula>
    </cfRule>
    <cfRule type="containsText" dxfId="380" priority="585" operator="containsText" text="Mayor">
      <formula>NOT(ISERROR(SEARCH("Mayor",G802)))</formula>
    </cfRule>
    <cfRule type="containsText" dxfId="379" priority="586" operator="containsText" text="Moderado">
      <formula>NOT(ISERROR(SEARCH("Moderado",G802)))</formula>
    </cfRule>
    <cfRule type="containsText" dxfId="378" priority="587" operator="containsText" text="Menor">
      <formula>NOT(ISERROR(SEARCH("Menor",G802)))</formula>
    </cfRule>
    <cfRule type="containsText" dxfId="377" priority="588" operator="containsText" text="Insignificante">
      <formula>NOT(ISERROR(SEARCH("Insignificante",G802)))</formula>
    </cfRule>
  </conditionalFormatting>
  <conditionalFormatting sqref="X807">
    <cfRule type="cellIs" dxfId="376" priority="580" operator="equal">
      <formula>"Extrema"</formula>
    </cfRule>
    <cfRule type="cellIs" dxfId="375" priority="581" operator="equal">
      <formula>"Alta"</formula>
    </cfRule>
    <cfRule type="cellIs" dxfId="374" priority="582" operator="equal">
      <formula>"Moderada"</formula>
    </cfRule>
    <cfRule type="cellIs" dxfId="373" priority="583" operator="equal">
      <formula>"Baja"</formula>
    </cfRule>
  </conditionalFormatting>
  <conditionalFormatting sqref="X812">
    <cfRule type="cellIs" dxfId="372" priority="564" operator="equal">
      <formula>"Extrema"</formula>
    </cfRule>
    <cfRule type="cellIs" dxfId="371" priority="565" operator="equal">
      <formula>"Alta"</formula>
    </cfRule>
    <cfRule type="cellIs" dxfId="370" priority="566" operator="equal">
      <formula>"Moderada"</formula>
    </cfRule>
    <cfRule type="cellIs" dxfId="369" priority="567" operator="equal">
      <formula>"Baja"</formula>
    </cfRule>
  </conditionalFormatting>
  <conditionalFormatting sqref="X817">
    <cfRule type="cellIs" dxfId="368" priority="560" operator="equal">
      <formula>"Extrema"</formula>
    </cfRule>
    <cfRule type="cellIs" dxfId="367" priority="561" operator="equal">
      <formula>"Alta"</formula>
    </cfRule>
    <cfRule type="cellIs" dxfId="366" priority="562" operator="equal">
      <formula>"Moderada"</formula>
    </cfRule>
    <cfRule type="cellIs" dxfId="365" priority="563" operator="equal">
      <formula>"Baja"</formula>
    </cfRule>
  </conditionalFormatting>
  <conditionalFormatting sqref="X822">
    <cfRule type="cellIs" dxfId="364" priority="556" operator="equal">
      <formula>"Extrema"</formula>
    </cfRule>
    <cfRule type="cellIs" dxfId="363" priority="557" operator="equal">
      <formula>"Alta"</formula>
    </cfRule>
    <cfRule type="cellIs" dxfId="362" priority="558" operator="equal">
      <formula>"Moderada"</formula>
    </cfRule>
    <cfRule type="cellIs" dxfId="361" priority="559" operator="equal">
      <formula>"Baja"</formula>
    </cfRule>
  </conditionalFormatting>
  <conditionalFormatting sqref="X827 X832 X837 X842 X847 X852">
    <cfRule type="cellIs" dxfId="360" priority="552" operator="equal">
      <formula>"Extrema"</formula>
    </cfRule>
    <cfRule type="cellIs" dxfId="359" priority="553" operator="equal">
      <formula>"Alta"</formula>
    </cfRule>
    <cfRule type="cellIs" dxfId="358" priority="554" operator="equal">
      <formula>"Moderada"</formula>
    </cfRule>
    <cfRule type="cellIs" dxfId="357" priority="555" operator="equal">
      <formula>"Baja"</formula>
    </cfRule>
  </conditionalFormatting>
  <conditionalFormatting sqref="G807:G831 H822:H831 I812:P831">
    <cfRule type="containsText" dxfId="356" priority="531" operator="containsText" text="Catastrófico">
      <formula>NOT(ISERROR(SEARCH("Catastrófico",G807)))</formula>
    </cfRule>
    <cfRule type="containsText" dxfId="355" priority="532" operator="containsText" text="Mayor">
      <formula>NOT(ISERROR(SEARCH("Mayor",G807)))</formula>
    </cfRule>
    <cfRule type="containsText" dxfId="354" priority="533" operator="containsText" text="Moderado">
      <formula>NOT(ISERROR(SEARCH("Moderado",G807)))</formula>
    </cfRule>
    <cfRule type="containsText" dxfId="353" priority="534" operator="containsText" text="Menor">
      <formula>NOT(ISERROR(SEARCH("Menor",G807)))</formula>
    </cfRule>
    <cfRule type="containsText" dxfId="352" priority="535" operator="containsText" text="Insignificante">
      <formula>NOT(ISERROR(SEARCH("Insignificante",G807)))</formula>
    </cfRule>
  </conditionalFormatting>
  <conditionalFormatting sqref="H807:H811">
    <cfRule type="containsText" dxfId="351" priority="526" operator="containsText" text="Catastrófico">
      <formula>NOT(ISERROR(SEARCH("Catastrófico",H807)))</formula>
    </cfRule>
    <cfRule type="containsText" dxfId="350" priority="527" operator="containsText" text="Mayor">
      <formula>NOT(ISERROR(SEARCH("Mayor",H807)))</formula>
    </cfRule>
    <cfRule type="containsText" dxfId="349" priority="528" operator="containsText" text="Moderado">
      <formula>NOT(ISERROR(SEARCH("Moderado",H807)))</formula>
    </cfRule>
    <cfRule type="containsText" dxfId="348" priority="529" operator="containsText" text="Menor">
      <formula>NOT(ISERROR(SEARCH("Menor",H807)))</formula>
    </cfRule>
    <cfRule type="containsText" dxfId="347" priority="530" operator="containsText" text="Insignificante">
      <formula>NOT(ISERROR(SEARCH("Insignificante",H807)))</formula>
    </cfRule>
  </conditionalFormatting>
  <conditionalFormatting sqref="H812:H816">
    <cfRule type="containsText" dxfId="346" priority="521" operator="containsText" text="Catastrófico">
      <formula>NOT(ISERROR(SEARCH("Catastrófico",H812)))</formula>
    </cfRule>
    <cfRule type="containsText" dxfId="345" priority="522" operator="containsText" text="Mayor">
      <formula>NOT(ISERROR(SEARCH("Mayor",H812)))</formula>
    </cfRule>
    <cfRule type="containsText" dxfId="344" priority="523" operator="containsText" text="Moderado">
      <formula>NOT(ISERROR(SEARCH("Moderado",H812)))</formula>
    </cfRule>
    <cfRule type="containsText" dxfId="343" priority="524" operator="containsText" text="Menor">
      <formula>NOT(ISERROR(SEARCH("Menor",H812)))</formula>
    </cfRule>
    <cfRule type="containsText" dxfId="342" priority="525" operator="containsText" text="Insignificante">
      <formula>NOT(ISERROR(SEARCH("Insignificante",H812)))</formula>
    </cfRule>
  </conditionalFormatting>
  <conditionalFormatting sqref="H817:H821">
    <cfRule type="containsText" dxfId="341" priority="516" operator="containsText" text="Catastrófico">
      <formula>NOT(ISERROR(SEARCH("Catastrófico",H817)))</formula>
    </cfRule>
    <cfRule type="containsText" dxfId="340" priority="517" operator="containsText" text="Mayor">
      <formula>NOT(ISERROR(SEARCH("Mayor",H817)))</formula>
    </cfRule>
    <cfRule type="containsText" dxfId="339" priority="518" operator="containsText" text="Moderado">
      <formula>NOT(ISERROR(SEARCH("Moderado",H817)))</formula>
    </cfRule>
    <cfRule type="containsText" dxfId="338" priority="519" operator="containsText" text="Menor">
      <formula>NOT(ISERROR(SEARCH("Menor",H817)))</formula>
    </cfRule>
    <cfRule type="containsText" dxfId="337" priority="520" operator="containsText" text="Insignificante">
      <formula>NOT(ISERROR(SEARCH("Insignificante",H817)))</formula>
    </cfRule>
  </conditionalFormatting>
  <conditionalFormatting sqref="I807:P811">
    <cfRule type="containsText" dxfId="336" priority="511" operator="containsText" text="Catastrófico">
      <formula>NOT(ISERROR(SEARCH("Catastrófico",I807)))</formula>
    </cfRule>
    <cfRule type="containsText" dxfId="335" priority="512" operator="containsText" text="Mayor">
      <formula>NOT(ISERROR(SEARCH("Mayor",I807)))</formula>
    </cfRule>
    <cfRule type="containsText" dxfId="334" priority="513" operator="containsText" text="Moderado">
      <formula>NOT(ISERROR(SEARCH("Moderado",I807)))</formula>
    </cfRule>
    <cfRule type="containsText" dxfId="333" priority="514" operator="containsText" text="Menor">
      <formula>NOT(ISERROR(SEARCH("Menor",I807)))</formula>
    </cfRule>
    <cfRule type="containsText" dxfId="332" priority="515" operator="containsText" text="Insignificante">
      <formula>NOT(ISERROR(SEARCH("Insignificante",I807)))</formula>
    </cfRule>
  </conditionalFormatting>
  <conditionalFormatting sqref="G832:P836">
    <cfRule type="containsText" dxfId="331" priority="506" operator="containsText" text="Catastrófico">
      <formula>NOT(ISERROR(SEARCH("Catastrófico",G832)))</formula>
    </cfRule>
    <cfRule type="containsText" dxfId="330" priority="507" operator="containsText" text="Mayor">
      <formula>NOT(ISERROR(SEARCH("Mayor",G832)))</formula>
    </cfRule>
    <cfRule type="containsText" dxfId="329" priority="508" operator="containsText" text="Moderado">
      <formula>NOT(ISERROR(SEARCH("Moderado",G832)))</formula>
    </cfRule>
    <cfRule type="containsText" dxfId="328" priority="509" operator="containsText" text="Menor">
      <formula>NOT(ISERROR(SEARCH("Menor",G832)))</formula>
    </cfRule>
    <cfRule type="containsText" dxfId="327" priority="510" operator="containsText" text="Insignificante">
      <formula>NOT(ISERROR(SEARCH("Insignificante",G832)))</formula>
    </cfRule>
  </conditionalFormatting>
  <conditionalFormatting sqref="G837:P841">
    <cfRule type="containsText" dxfId="326" priority="501" operator="containsText" text="Catastrófico">
      <formula>NOT(ISERROR(SEARCH("Catastrófico",G837)))</formula>
    </cfRule>
    <cfRule type="containsText" dxfId="325" priority="502" operator="containsText" text="Mayor">
      <formula>NOT(ISERROR(SEARCH("Mayor",G837)))</formula>
    </cfRule>
    <cfRule type="containsText" dxfId="324" priority="503" operator="containsText" text="Moderado">
      <formula>NOT(ISERROR(SEARCH("Moderado",G837)))</formula>
    </cfRule>
    <cfRule type="containsText" dxfId="323" priority="504" operator="containsText" text="Menor">
      <formula>NOT(ISERROR(SEARCH("Menor",G837)))</formula>
    </cfRule>
    <cfRule type="containsText" dxfId="322" priority="505" operator="containsText" text="Insignificante">
      <formula>NOT(ISERROR(SEARCH("Insignificante",G837)))</formula>
    </cfRule>
  </conditionalFormatting>
  <conditionalFormatting sqref="G842:P846">
    <cfRule type="containsText" dxfId="321" priority="496" operator="containsText" text="Catastrófico">
      <formula>NOT(ISERROR(SEARCH("Catastrófico",G842)))</formula>
    </cfRule>
    <cfRule type="containsText" dxfId="320" priority="497" operator="containsText" text="Mayor">
      <formula>NOT(ISERROR(SEARCH("Mayor",G842)))</formula>
    </cfRule>
    <cfRule type="containsText" dxfId="319" priority="498" operator="containsText" text="Moderado">
      <formula>NOT(ISERROR(SEARCH("Moderado",G842)))</formula>
    </cfRule>
    <cfRule type="containsText" dxfId="318" priority="499" operator="containsText" text="Menor">
      <formula>NOT(ISERROR(SEARCH("Menor",G842)))</formula>
    </cfRule>
    <cfRule type="containsText" dxfId="317" priority="500" operator="containsText" text="Insignificante">
      <formula>NOT(ISERROR(SEARCH("Insignificante",G842)))</formula>
    </cfRule>
  </conditionalFormatting>
  <conditionalFormatting sqref="G847:P851">
    <cfRule type="containsText" dxfId="316" priority="491" operator="containsText" text="Catastrófico">
      <formula>NOT(ISERROR(SEARCH("Catastrófico",G847)))</formula>
    </cfRule>
    <cfRule type="containsText" dxfId="315" priority="492" operator="containsText" text="Mayor">
      <formula>NOT(ISERROR(SEARCH("Mayor",G847)))</formula>
    </cfRule>
    <cfRule type="containsText" dxfId="314" priority="493" operator="containsText" text="Moderado">
      <formula>NOT(ISERROR(SEARCH("Moderado",G847)))</formula>
    </cfRule>
    <cfRule type="containsText" dxfId="313" priority="494" operator="containsText" text="Menor">
      <formula>NOT(ISERROR(SEARCH("Menor",G847)))</formula>
    </cfRule>
    <cfRule type="containsText" dxfId="312" priority="495" operator="containsText" text="Insignificante">
      <formula>NOT(ISERROR(SEARCH("Insignificante",G847)))</formula>
    </cfRule>
  </conditionalFormatting>
  <conditionalFormatting sqref="G852:P856">
    <cfRule type="containsText" dxfId="311" priority="486" operator="containsText" text="Catastrófico">
      <formula>NOT(ISERROR(SEARCH("Catastrófico",G852)))</formula>
    </cfRule>
    <cfRule type="containsText" dxfId="310" priority="487" operator="containsText" text="Mayor">
      <formula>NOT(ISERROR(SEARCH("Mayor",G852)))</formula>
    </cfRule>
    <cfRule type="containsText" dxfId="309" priority="488" operator="containsText" text="Moderado">
      <formula>NOT(ISERROR(SEARCH("Moderado",G852)))</formula>
    </cfRule>
    <cfRule type="containsText" dxfId="308" priority="489" operator="containsText" text="Menor">
      <formula>NOT(ISERROR(SEARCH("Menor",G852)))</formula>
    </cfRule>
    <cfRule type="containsText" dxfId="307" priority="490" operator="containsText" text="Insignificante">
      <formula>NOT(ISERROR(SEARCH("Insignificante",G852)))</formula>
    </cfRule>
  </conditionalFormatting>
  <conditionalFormatting sqref="X857">
    <cfRule type="cellIs" dxfId="306" priority="482" operator="equal">
      <formula>"Extrema"</formula>
    </cfRule>
    <cfRule type="cellIs" dxfId="305" priority="483" operator="equal">
      <formula>"Alta"</formula>
    </cfRule>
    <cfRule type="cellIs" dxfId="304" priority="484" operator="equal">
      <formula>"Moderada"</formula>
    </cfRule>
    <cfRule type="cellIs" dxfId="303" priority="485" operator="equal">
      <formula>"Baja"</formula>
    </cfRule>
  </conditionalFormatting>
  <conditionalFormatting sqref="X862">
    <cfRule type="cellIs" dxfId="302" priority="466" operator="equal">
      <formula>"Extrema"</formula>
    </cfRule>
    <cfRule type="cellIs" dxfId="301" priority="467" operator="equal">
      <formula>"Alta"</formula>
    </cfRule>
    <cfRule type="cellIs" dxfId="300" priority="468" operator="equal">
      <formula>"Moderada"</formula>
    </cfRule>
    <cfRule type="cellIs" dxfId="299" priority="469" operator="equal">
      <formula>"Baja"</formula>
    </cfRule>
  </conditionalFormatting>
  <conditionalFormatting sqref="X867">
    <cfRule type="cellIs" dxfId="298" priority="462" operator="equal">
      <formula>"Extrema"</formula>
    </cfRule>
    <cfRule type="cellIs" dxfId="297" priority="463" operator="equal">
      <formula>"Alta"</formula>
    </cfRule>
    <cfRule type="cellIs" dxfId="296" priority="464" operator="equal">
      <formula>"Moderada"</formula>
    </cfRule>
    <cfRule type="cellIs" dxfId="295" priority="465" operator="equal">
      <formula>"Baja"</formula>
    </cfRule>
  </conditionalFormatting>
  <conditionalFormatting sqref="X872">
    <cfRule type="cellIs" dxfId="294" priority="458" operator="equal">
      <formula>"Extrema"</formula>
    </cfRule>
    <cfRule type="cellIs" dxfId="293" priority="459" operator="equal">
      <formula>"Alta"</formula>
    </cfRule>
    <cfRule type="cellIs" dxfId="292" priority="460" operator="equal">
      <formula>"Moderada"</formula>
    </cfRule>
    <cfRule type="cellIs" dxfId="291" priority="461" operator="equal">
      <formula>"Baja"</formula>
    </cfRule>
  </conditionalFormatting>
  <conditionalFormatting sqref="X877 X882 X887 X892 X897 X902">
    <cfRule type="cellIs" dxfId="290" priority="454" operator="equal">
      <formula>"Extrema"</formula>
    </cfRule>
    <cfRule type="cellIs" dxfId="289" priority="455" operator="equal">
      <formula>"Alta"</formula>
    </cfRule>
    <cfRule type="cellIs" dxfId="288" priority="456" operator="equal">
      <formula>"Moderada"</formula>
    </cfRule>
    <cfRule type="cellIs" dxfId="287" priority="457" operator="equal">
      <formula>"Baja"</formula>
    </cfRule>
  </conditionalFormatting>
  <conditionalFormatting sqref="G857:G881 H872:H881 I862:P881">
    <cfRule type="containsText" dxfId="286" priority="433" operator="containsText" text="Catastrófico">
      <formula>NOT(ISERROR(SEARCH("Catastrófico",G857)))</formula>
    </cfRule>
    <cfRule type="containsText" dxfId="285" priority="434" operator="containsText" text="Mayor">
      <formula>NOT(ISERROR(SEARCH("Mayor",G857)))</formula>
    </cfRule>
    <cfRule type="containsText" dxfId="284" priority="435" operator="containsText" text="Moderado">
      <formula>NOT(ISERROR(SEARCH("Moderado",G857)))</formula>
    </cfRule>
    <cfRule type="containsText" dxfId="283" priority="436" operator="containsText" text="Menor">
      <formula>NOT(ISERROR(SEARCH("Menor",G857)))</formula>
    </cfRule>
    <cfRule type="containsText" dxfId="282" priority="437" operator="containsText" text="Insignificante">
      <formula>NOT(ISERROR(SEARCH("Insignificante",G857)))</formula>
    </cfRule>
  </conditionalFormatting>
  <conditionalFormatting sqref="H857:H861">
    <cfRule type="containsText" dxfId="281" priority="428" operator="containsText" text="Catastrófico">
      <formula>NOT(ISERROR(SEARCH("Catastrófico",H857)))</formula>
    </cfRule>
    <cfRule type="containsText" dxfId="280" priority="429" operator="containsText" text="Mayor">
      <formula>NOT(ISERROR(SEARCH("Mayor",H857)))</formula>
    </cfRule>
    <cfRule type="containsText" dxfId="279" priority="430" operator="containsText" text="Moderado">
      <formula>NOT(ISERROR(SEARCH("Moderado",H857)))</formula>
    </cfRule>
    <cfRule type="containsText" dxfId="278" priority="431" operator="containsText" text="Menor">
      <formula>NOT(ISERROR(SEARCH("Menor",H857)))</formula>
    </cfRule>
    <cfRule type="containsText" dxfId="277" priority="432" operator="containsText" text="Insignificante">
      <formula>NOT(ISERROR(SEARCH("Insignificante",H857)))</formula>
    </cfRule>
  </conditionalFormatting>
  <conditionalFormatting sqref="H862:H866">
    <cfRule type="containsText" dxfId="276" priority="423" operator="containsText" text="Catastrófico">
      <formula>NOT(ISERROR(SEARCH("Catastrófico",H862)))</formula>
    </cfRule>
    <cfRule type="containsText" dxfId="275" priority="424" operator="containsText" text="Mayor">
      <formula>NOT(ISERROR(SEARCH("Mayor",H862)))</formula>
    </cfRule>
    <cfRule type="containsText" dxfId="274" priority="425" operator="containsText" text="Moderado">
      <formula>NOT(ISERROR(SEARCH("Moderado",H862)))</formula>
    </cfRule>
    <cfRule type="containsText" dxfId="273" priority="426" operator="containsText" text="Menor">
      <formula>NOT(ISERROR(SEARCH("Menor",H862)))</formula>
    </cfRule>
    <cfRule type="containsText" dxfId="272" priority="427" operator="containsText" text="Insignificante">
      <formula>NOT(ISERROR(SEARCH("Insignificante",H862)))</formula>
    </cfRule>
  </conditionalFormatting>
  <conditionalFormatting sqref="H867:H871">
    <cfRule type="containsText" dxfId="271" priority="418" operator="containsText" text="Catastrófico">
      <formula>NOT(ISERROR(SEARCH("Catastrófico",H867)))</formula>
    </cfRule>
    <cfRule type="containsText" dxfId="270" priority="419" operator="containsText" text="Mayor">
      <formula>NOT(ISERROR(SEARCH("Mayor",H867)))</formula>
    </cfRule>
    <cfRule type="containsText" dxfId="269" priority="420" operator="containsText" text="Moderado">
      <formula>NOT(ISERROR(SEARCH("Moderado",H867)))</formula>
    </cfRule>
    <cfRule type="containsText" dxfId="268" priority="421" operator="containsText" text="Menor">
      <formula>NOT(ISERROR(SEARCH("Menor",H867)))</formula>
    </cfRule>
    <cfRule type="containsText" dxfId="267" priority="422" operator="containsText" text="Insignificante">
      <formula>NOT(ISERROR(SEARCH("Insignificante",H867)))</formula>
    </cfRule>
  </conditionalFormatting>
  <conditionalFormatting sqref="I857:P861">
    <cfRule type="containsText" dxfId="266" priority="413" operator="containsText" text="Catastrófico">
      <formula>NOT(ISERROR(SEARCH("Catastrófico",I857)))</formula>
    </cfRule>
    <cfRule type="containsText" dxfId="265" priority="414" operator="containsText" text="Mayor">
      <formula>NOT(ISERROR(SEARCH("Mayor",I857)))</formula>
    </cfRule>
    <cfRule type="containsText" dxfId="264" priority="415" operator="containsText" text="Moderado">
      <formula>NOT(ISERROR(SEARCH("Moderado",I857)))</formula>
    </cfRule>
    <cfRule type="containsText" dxfId="263" priority="416" operator="containsText" text="Menor">
      <formula>NOT(ISERROR(SEARCH("Menor",I857)))</formula>
    </cfRule>
    <cfRule type="containsText" dxfId="262" priority="417" operator="containsText" text="Insignificante">
      <formula>NOT(ISERROR(SEARCH("Insignificante",I857)))</formula>
    </cfRule>
  </conditionalFormatting>
  <conditionalFormatting sqref="G882:P886">
    <cfRule type="containsText" dxfId="261" priority="408" operator="containsText" text="Catastrófico">
      <formula>NOT(ISERROR(SEARCH("Catastrófico",G882)))</formula>
    </cfRule>
    <cfRule type="containsText" dxfId="260" priority="409" operator="containsText" text="Mayor">
      <formula>NOT(ISERROR(SEARCH("Mayor",G882)))</formula>
    </cfRule>
    <cfRule type="containsText" dxfId="259" priority="410" operator="containsText" text="Moderado">
      <formula>NOT(ISERROR(SEARCH("Moderado",G882)))</formula>
    </cfRule>
    <cfRule type="containsText" dxfId="258" priority="411" operator="containsText" text="Menor">
      <formula>NOT(ISERROR(SEARCH("Menor",G882)))</formula>
    </cfRule>
    <cfRule type="containsText" dxfId="257" priority="412" operator="containsText" text="Insignificante">
      <formula>NOT(ISERROR(SEARCH("Insignificante",G882)))</formula>
    </cfRule>
  </conditionalFormatting>
  <conditionalFormatting sqref="G887:P891">
    <cfRule type="containsText" dxfId="256" priority="403" operator="containsText" text="Catastrófico">
      <formula>NOT(ISERROR(SEARCH("Catastrófico",G887)))</formula>
    </cfRule>
    <cfRule type="containsText" dxfId="255" priority="404" operator="containsText" text="Mayor">
      <formula>NOT(ISERROR(SEARCH("Mayor",G887)))</formula>
    </cfRule>
    <cfRule type="containsText" dxfId="254" priority="405" operator="containsText" text="Moderado">
      <formula>NOT(ISERROR(SEARCH("Moderado",G887)))</formula>
    </cfRule>
    <cfRule type="containsText" dxfId="253" priority="406" operator="containsText" text="Menor">
      <formula>NOT(ISERROR(SEARCH("Menor",G887)))</formula>
    </cfRule>
    <cfRule type="containsText" dxfId="252" priority="407" operator="containsText" text="Insignificante">
      <formula>NOT(ISERROR(SEARCH("Insignificante",G887)))</formula>
    </cfRule>
  </conditionalFormatting>
  <conditionalFormatting sqref="G892:P896">
    <cfRule type="containsText" dxfId="251" priority="398" operator="containsText" text="Catastrófico">
      <formula>NOT(ISERROR(SEARCH("Catastrófico",G892)))</formula>
    </cfRule>
    <cfRule type="containsText" dxfId="250" priority="399" operator="containsText" text="Mayor">
      <formula>NOT(ISERROR(SEARCH("Mayor",G892)))</formula>
    </cfRule>
    <cfRule type="containsText" dxfId="249" priority="400" operator="containsText" text="Moderado">
      <formula>NOT(ISERROR(SEARCH("Moderado",G892)))</formula>
    </cfRule>
    <cfRule type="containsText" dxfId="248" priority="401" operator="containsText" text="Menor">
      <formula>NOT(ISERROR(SEARCH("Menor",G892)))</formula>
    </cfRule>
    <cfRule type="containsText" dxfId="247" priority="402" operator="containsText" text="Insignificante">
      <formula>NOT(ISERROR(SEARCH("Insignificante",G892)))</formula>
    </cfRule>
  </conditionalFormatting>
  <conditionalFormatting sqref="G897:P901">
    <cfRule type="containsText" dxfId="246" priority="393" operator="containsText" text="Catastrófico">
      <formula>NOT(ISERROR(SEARCH("Catastrófico",G897)))</formula>
    </cfRule>
    <cfRule type="containsText" dxfId="245" priority="394" operator="containsText" text="Mayor">
      <formula>NOT(ISERROR(SEARCH("Mayor",G897)))</formula>
    </cfRule>
    <cfRule type="containsText" dxfId="244" priority="395" operator="containsText" text="Moderado">
      <formula>NOT(ISERROR(SEARCH("Moderado",G897)))</formula>
    </cfRule>
    <cfRule type="containsText" dxfId="243" priority="396" operator="containsText" text="Menor">
      <formula>NOT(ISERROR(SEARCH("Menor",G897)))</formula>
    </cfRule>
    <cfRule type="containsText" dxfId="242" priority="397" operator="containsText" text="Insignificante">
      <formula>NOT(ISERROR(SEARCH("Insignificante",G897)))</formula>
    </cfRule>
  </conditionalFormatting>
  <conditionalFormatting sqref="G902:P906">
    <cfRule type="containsText" dxfId="241" priority="388" operator="containsText" text="Catastrófico">
      <formula>NOT(ISERROR(SEARCH("Catastrófico",G902)))</formula>
    </cfRule>
    <cfRule type="containsText" dxfId="240" priority="389" operator="containsText" text="Mayor">
      <formula>NOT(ISERROR(SEARCH("Mayor",G902)))</formula>
    </cfRule>
    <cfRule type="containsText" dxfId="239" priority="390" operator="containsText" text="Moderado">
      <formula>NOT(ISERROR(SEARCH("Moderado",G902)))</formula>
    </cfRule>
    <cfRule type="containsText" dxfId="238" priority="391" operator="containsText" text="Menor">
      <formula>NOT(ISERROR(SEARCH("Menor",G902)))</formula>
    </cfRule>
    <cfRule type="containsText" dxfId="237" priority="392" operator="containsText" text="Insignificante">
      <formula>NOT(ISERROR(SEARCH("Insignificante",G902)))</formula>
    </cfRule>
  </conditionalFormatting>
  <conditionalFormatting sqref="X907">
    <cfRule type="cellIs" dxfId="236" priority="384" operator="equal">
      <formula>"Extrema"</formula>
    </cfRule>
    <cfRule type="cellIs" dxfId="235" priority="385" operator="equal">
      <formula>"Alta"</formula>
    </cfRule>
    <cfRule type="cellIs" dxfId="234" priority="386" operator="equal">
      <formula>"Moderada"</formula>
    </cfRule>
    <cfRule type="cellIs" dxfId="233" priority="387" operator="equal">
      <formula>"Baja"</formula>
    </cfRule>
  </conditionalFormatting>
  <conditionalFormatting sqref="X912">
    <cfRule type="cellIs" dxfId="232" priority="368" operator="equal">
      <formula>"Extrema"</formula>
    </cfRule>
    <cfRule type="cellIs" dxfId="231" priority="369" operator="equal">
      <formula>"Alta"</formula>
    </cfRule>
    <cfRule type="cellIs" dxfId="230" priority="370" operator="equal">
      <formula>"Moderada"</formula>
    </cfRule>
    <cfRule type="cellIs" dxfId="229" priority="371" operator="equal">
      <formula>"Baja"</formula>
    </cfRule>
  </conditionalFormatting>
  <conditionalFormatting sqref="X917">
    <cfRule type="cellIs" dxfId="228" priority="364" operator="equal">
      <formula>"Extrema"</formula>
    </cfRule>
    <cfRule type="cellIs" dxfId="227" priority="365" operator="equal">
      <formula>"Alta"</formula>
    </cfRule>
    <cfRule type="cellIs" dxfId="226" priority="366" operator="equal">
      <formula>"Moderada"</formula>
    </cfRule>
    <cfRule type="cellIs" dxfId="225" priority="367" operator="equal">
      <formula>"Baja"</formula>
    </cfRule>
  </conditionalFormatting>
  <conditionalFormatting sqref="X922">
    <cfRule type="cellIs" dxfId="224" priority="360" operator="equal">
      <formula>"Extrema"</formula>
    </cfRule>
    <cfRule type="cellIs" dxfId="223" priority="361" operator="equal">
      <formula>"Alta"</formula>
    </cfRule>
    <cfRule type="cellIs" dxfId="222" priority="362" operator="equal">
      <formula>"Moderada"</formula>
    </cfRule>
    <cfRule type="cellIs" dxfId="221" priority="363" operator="equal">
      <formula>"Baja"</formula>
    </cfRule>
  </conditionalFormatting>
  <conditionalFormatting sqref="X927 X932 X937 X942 X947 X952">
    <cfRule type="cellIs" dxfId="220" priority="356" operator="equal">
      <formula>"Extrema"</formula>
    </cfRule>
    <cfRule type="cellIs" dxfId="219" priority="357" operator="equal">
      <formula>"Alta"</formula>
    </cfRule>
    <cfRule type="cellIs" dxfId="218" priority="358" operator="equal">
      <formula>"Moderada"</formula>
    </cfRule>
    <cfRule type="cellIs" dxfId="217" priority="359" operator="equal">
      <formula>"Baja"</formula>
    </cfRule>
  </conditionalFormatting>
  <conditionalFormatting sqref="G907:G931 H922:H931 I912:P931">
    <cfRule type="containsText" dxfId="216" priority="335" operator="containsText" text="Catastrófico">
      <formula>NOT(ISERROR(SEARCH("Catastrófico",G907)))</formula>
    </cfRule>
    <cfRule type="containsText" dxfId="215" priority="336" operator="containsText" text="Mayor">
      <formula>NOT(ISERROR(SEARCH("Mayor",G907)))</formula>
    </cfRule>
    <cfRule type="containsText" dxfId="214" priority="337" operator="containsText" text="Moderado">
      <formula>NOT(ISERROR(SEARCH("Moderado",G907)))</formula>
    </cfRule>
    <cfRule type="containsText" dxfId="213" priority="338" operator="containsText" text="Menor">
      <formula>NOT(ISERROR(SEARCH("Menor",G907)))</formula>
    </cfRule>
    <cfRule type="containsText" dxfId="212" priority="339" operator="containsText" text="Insignificante">
      <formula>NOT(ISERROR(SEARCH("Insignificante",G907)))</formula>
    </cfRule>
  </conditionalFormatting>
  <conditionalFormatting sqref="H907:H911">
    <cfRule type="containsText" dxfId="211" priority="330" operator="containsText" text="Catastrófico">
      <formula>NOT(ISERROR(SEARCH("Catastrófico",H907)))</formula>
    </cfRule>
    <cfRule type="containsText" dxfId="210" priority="331" operator="containsText" text="Mayor">
      <formula>NOT(ISERROR(SEARCH("Mayor",H907)))</formula>
    </cfRule>
    <cfRule type="containsText" dxfId="209" priority="332" operator="containsText" text="Moderado">
      <formula>NOT(ISERROR(SEARCH("Moderado",H907)))</formula>
    </cfRule>
    <cfRule type="containsText" dxfId="208" priority="333" operator="containsText" text="Menor">
      <formula>NOT(ISERROR(SEARCH("Menor",H907)))</formula>
    </cfRule>
    <cfRule type="containsText" dxfId="207" priority="334" operator="containsText" text="Insignificante">
      <formula>NOT(ISERROR(SEARCH("Insignificante",H907)))</formula>
    </cfRule>
  </conditionalFormatting>
  <conditionalFormatting sqref="H912:H916">
    <cfRule type="containsText" dxfId="206" priority="325" operator="containsText" text="Catastrófico">
      <formula>NOT(ISERROR(SEARCH("Catastrófico",H912)))</formula>
    </cfRule>
    <cfRule type="containsText" dxfId="205" priority="326" operator="containsText" text="Mayor">
      <formula>NOT(ISERROR(SEARCH("Mayor",H912)))</formula>
    </cfRule>
    <cfRule type="containsText" dxfId="204" priority="327" operator="containsText" text="Moderado">
      <formula>NOT(ISERROR(SEARCH("Moderado",H912)))</formula>
    </cfRule>
    <cfRule type="containsText" dxfId="203" priority="328" operator="containsText" text="Menor">
      <formula>NOT(ISERROR(SEARCH("Menor",H912)))</formula>
    </cfRule>
    <cfRule type="containsText" dxfId="202" priority="329" operator="containsText" text="Insignificante">
      <formula>NOT(ISERROR(SEARCH("Insignificante",H912)))</formula>
    </cfRule>
  </conditionalFormatting>
  <conditionalFormatting sqref="H917:H921">
    <cfRule type="containsText" dxfId="201" priority="320" operator="containsText" text="Catastrófico">
      <formula>NOT(ISERROR(SEARCH("Catastrófico",H917)))</formula>
    </cfRule>
    <cfRule type="containsText" dxfId="200" priority="321" operator="containsText" text="Mayor">
      <formula>NOT(ISERROR(SEARCH("Mayor",H917)))</formula>
    </cfRule>
    <cfRule type="containsText" dxfId="199" priority="322" operator="containsText" text="Moderado">
      <formula>NOT(ISERROR(SEARCH("Moderado",H917)))</formula>
    </cfRule>
    <cfRule type="containsText" dxfId="198" priority="323" operator="containsText" text="Menor">
      <formula>NOT(ISERROR(SEARCH("Menor",H917)))</formula>
    </cfRule>
    <cfRule type="containsText" dxfId="197" priority="324" operator="containsText" text="Insignificante">
      <formula>NOT(ISERROR(SEARCH("Insignificante",H917)))</formula>
    </cfRule>
  </conditionalFormatting>
  <conditionalFormatting sqref="I907:P911">
    <cfRule type="containsText" dxfId="196" priority="315" operator="containsText" text="Catastrófico">
      <formula>NOT(ISERROR(SEARCH("Catastrófico",I907)))</formula>
    </cfRule>
    <cfRule type="containsText" dxfId="195" priority="316" operator="containsText" text="Mayor">
      <formula>NOT(ISERROR(SEARCH("Mayor",I907)))</formula>
    </cfRule>
    <cfRule type="containsText" dxfId="194" priority="317" operator="containsText" text="Moderado">
      <formula>NOT(ISERROR(SEARCH("Moderado",I907)))</formula>
    </cfRule>
    <cfRule type="containsText" dxfId="193" priority="318" operator="containsText" text="Menor">
      <formula>NOT(ISERROR(SEARCH("Menor",I907)))</formula>
    </cfRule>
    <cfRule type="containsText" dxfId="192" priority="319" operator="containsText" text="Insignificante">
      <formula>NOT(ISERROR(SEARCH("Insignificante",I907)))</formula>
    </cfRule>
  </conditionalFormatting>
  <conditionalFormatting sqref="G932:P936">
    <cfRule type="containsText" dxfId="191" priority="310" operator="containsText" text="Catastrófico">
      <formula>NOT(ISERROR(SEARCH("Catastrófico",G932)))</formula>
    </cfRule>
    <cfRule type="containsText" dxfId="190" priority="311" operator="containsText" text="Mayor">
      <formula>NOT(ISERROR(SEARCH("Mayor",G932)))</formula>
    </cfRule>
    <cfRule type="containsText" dxfId="189" priority="312" operator="containsText" text="Moderado">
      <formula>NOT(ISERROR(SEARCH("Moderado",G932)))</formula>
    </cfRule>
    <cfRule type="containsText" dxfId="188" priority="313" operator="containsText" text="Menor">
      <formula>NOT(ISERROR(SEARCH("Menor",G932)))</formula>
    </cfRule>
    <cfRule type="containsText" dxfId="187" priority="314" operator="containsText" text="Insignificante">
      <formula>NOT(ISERROR(SEARCH("Insignificante",G932)))</formula>
    </cfRule>
  </conditionalFormatting>
  <conditionalFormatting sqref="G937:P941">
    <cfRule type="containsText" dxfId="186" priority="305" operator="containsText" text="Catastrófico">
      <formula>NOT(ISERROR(SEARCH("Catastrófico",G937)))</formula>
    </cfRule>
    <cfRule type="containsText" dxfId="185" priority="306" operator="containsText" text="Mayor">
      <formula>NOT(ISERROR(SEARCH("Mayor",G937)))</formula>
    </cfRule>
    <cfRule type="containsText" dxfId="184" priority="307" operator="containsText" text="Moderado">
      <formula>NOT(ISERROR(SEARCH("Moderado",G937)))</formula>
    </cfRule>
    <cfRule type="containsText" dxfId="183" priority="308" operator="containsText" text="Menor">
      <formula>NOT(ISERROR(SEARCH("Menor",G937)))</formula>
    </cfRule>
    <cfRule type="containsText" dxfId="182" priority="309" operator="containsText" text="Insignificante">
      <formula>NOT(ISERROR(SEARCH("Insignificante",G937)))</formula>
    </cfRule>
  </conditionalFormatting>
  <conditionalFormatting sqref="G942:P946">
    <cfRule type="containsText" dxfId="181" priority="300" operator="containsText" text="Catastrófico">
      <formula>NOT(ISERROR(SEARCH("Catastrófico",G942)))</formula>
    </cfRule>
    <cfRule type="containsText" dxfId="180" priority="301" operator="containsText" text="Mayor">
      <formula>NOT(ISERROR(SEARCH("Mayor",G942)))</formula>
    </cfRule>
    <cfRule type="containsText" dxfId="179" priority="302" operator="containsText" text="Moderado">
      <formula>NOT(ISERROR(SEARCH("Moderado",G942)))</formula>
    </cfRule>
    <cfRule type="containsText" dxfId="178" priority="303" operator="containsText" text="Menor">
      <formula>NOT(ISERROR(SEARCH("Menor",G942)))</formula>
    </cfRule>
    <cfRule type="containsText" dxfId="177" priority="304" operator="containsText" text="Insignificante">
      <formula>NOT(ISERROR(SEARCH("Insignificante",G942)))</formula>
    </cfRule>
  </conditionalFormatting>
  <conditionalFormatting sqref="G947:P951">
    <cfRule type="containsText" dxfId="176" priority="295" operator="containsText" text="Catastrófico">
      <formula>NOT(ISERROR(SEARCH("Catastrófico",G947)))</formula>
    </cfRule>
    <cfRule type="containsText" dxfId="175" priority="296" operator="containsText" text="Mayor">
      <formula>NOT(ISERROR(SEARCH("Mayor",G947)))</formula>
    </cfRule>
    <cfRule type="containsText" dxfId="174" priority="297" operator="containsText" text="Moderado">
      <formula>NOT(ISERROR(SEARCH("Moderado",G947)))</formula>
    </cfRule>
    <cfRule type="containsText" dxfId="173" priority="298" operator="containsText" text="Menor">
      <formula>NOT(ISERROR(SEARCH("Menor",G947)))</formula>
    </cfRule>
    <cfRule type="containsText" dxfId="172" priority="299" operator="containsText" text="Insignificante">
      <formula>NOT(ISERROR(SEARCH("Insignificante",G947)))</formula>
    </cfRule>
  </conditionalFormatting>
  <conditionalFormatting sqref="G952:P956">
    <cfRule type="containsText" dxfId="171" priority="290" operator="containsText" text="Catastrófico">
      <formula>NOT(ISERROR(SEARCH("Catastrófico",G952)))</formula>
    </cfRule>
    <cfRule type="containsText" dxfId="170" priority="291" operator="containsText" text="Mayor">
      <formula>NOT(ISERROR(SEARCH("Mayor",G952)))</formula>
    </cfRule>
    <cfRule type="containsText" dxfId="169" priority="292" operator="containsText" text="Moderado">
      <formula>NOT(ISERROR(SEARCH("Moderado",G952)))</formula>
    </cfRule>
    <cfRule type="containsText" dxfId="168" priority="293" operator="containsText" text="Menor">
      <formula>NOT(ISERROR(SEARCH("Menor",G952)))</formula>
    </cfRule>
    <cfRule type="containsText" dxfId="167" priority="294" operator="containsText" text="Insignificante">
      <formula>NOT(ISERROR(SEARCH("Insignificante",G952)))</formula>
    </cfRule>
  </conditionalFormatting>
  <conditionalFormatting sqref="X957">
    <cfRule type="cellIs" dxfId="166" priority="286" operator="equal">
      <formula>"Extrema"</formula>
    </cfRule>
    <cfRule type="cellIs" dxfId="165" priority="287" operator="equal">
      <formula>"Alta"</formula>
    </cfRule>
    <cfRule type="cellIs" dxfId="164" priority="288" operator="equal">
      <formula>"Moderada"</formula>
    </cfRule>
    <cfRule type="cellIs" dxfId="163" priority="289" operator="equal">
      <formula>"Baja"</formula>
    </cfRule>
  </conditionalFormatting>
  <conditionalFormatting sqref="X962">
    <cfRule type="cellIs" dxfId="162" priority="270" operator="equal">
      <formula>"Extrema"</formula>
    </cfRule>
    <cfRule type="cellIs" dxfId="161" priority="271" operator="equal">
      <formula>"Alta"</formula>
    </cfRule>
    <cfRule type="cellIs" dxfId="160" priority="272" operator="equal">
      <formula>"Moderada"</formula>
    </cfRule>
    <cfRule type="cellIs" dxfId="159" priority="273" operator="equal">
      <formula>"Baja"</formula>
    </cfRule>
  </conditionalFormatting>
  <conditionalFormatting sqref="X967">
    <cfRule type="cellIs" dxfId="158" priority="266" operator="equal">
      <formula>"Extrema"</formula>
    </cfRule>
    <cfRule type="cellIs" dxfId="157" priority="267" operator="equal">
      <formula>"Alta"</formula>
    </cfRule>
    <cfRule type="cellIs" dxfId="156" priority="268" operator="equal">
      <formula>"Moderada"</formula>
    </cfRule>
    <cfRule type="cellIs" dxfId="155" priority="269" operator="equal">
      <formula>"Baja"</formula>
    </cfRule>
  </conditionalFormatting>
  <conditionalFormatting sqref="X972">
    <cfRule type="cellIs" dxfId="154" priority="262" operator="equal">
      <formula>"Extrema"</formula>
    </cfRule>
    <cfRule type="cellIs" dxfId="153" priority="263" operator="equal">
      <formula>"Alta"</formula>
    </cfRule>
    <cfRule type="cellIs" dxfId="152" priority="264" operator="equal">
      <formula>"Moderada"</formula>
    </cfRule>
    <cfRule type="cellIs" dxfId="151" priority="265" operator="equal">
      <formula>"Baja"</formula>
    </cfRule>
  </conditionalFormatting>
  <conditionalFormatting sqref="X977 X982 X987 X992 X997 X1002">
    <cfRule type="cellIs" dxfId="150" priority="258" operator="equal">
      <formula>"Extrema"</formula>
    </cfRule>
    <cfRule type="cellIs" dxfId="149" priority="259" operator="equal">
      <formula>"Alta"</formula>
    </cfRule>
    <cfRule type="cellIs" dxfId="148" priority="260" operator="equal">
      <formula>"Moderada"</formula>
    </cfRule>
    <cfRule type="cellIs" dxfId="147" priority="261" operator="equal">
      <formula>"Baja"</formula>
    </cfRule>
  </conditionalFormatting>
  <conditionalFormatting sqref="G957:G981 H972:H981 I962:P981">
    <cfRule type="containsText" dxfId="146" priority="237" operator="containsText" text="Catastrófico">
      <formula>NOT(ISERROR(SEARCH("Catastrófico",G957)))</formula>
    </cfRule>
    <cfRule type="containsText" dxfId="145" priority="238" operator="containsText" text="Mayor">
      <formula>NOT(ISERROR(SEARCH("Mayor",G957)))</formula>
    </cfRule>
    <cfRule type="containsText" dxfId="144" priority="239" operator="containsText" text="Moderado">
      <formula>NOT(ISERROR(SEARCH("Moderado",G957)))</formula>
    </cfRule>
    <cfRule type="containsText" dxfId="143" priority="240" operator="containsText" text="Menor">
      <formula>NOT(ISERROR(SEARCH("Menor",G957)))</formula>
    </cfRule>
    <cfRule type="containsText" dxfId="142" priority="241" operator="containsText" text="Insignificante">
      <formula>NOT(ISERROR(SEARCH("Insignificante",G957)))</formula>
    </cfRule>
  </conditionalFormatting>
  <conditionalFormatting sqref="H957:H961">
    <cfRule type="containsText" dxfId="141" priority="232" operator="containsText" text="Catastrófico">
      <formula>NOT(ISERROR(SEARCH("Catastrófico",H957)))</formula>
    </cfRule>
    <cfRule type="containsText" dxfId="140" priority="233" operator="containsText" text="Mayor">
      <formula>NOT(ISERROR(SEARCH("Mayor",H957)))</formula>
    </cfRule>
    <cfRule type="containsText" dxfId="139" priority="234" operator="containsText" text="Moderado">
      <formula>NOT(ISERROR(SEARCH("Moderado",H957)))</formula>
    </cfRule>
    <cfRule type="containsText" dxfId="138" priority="235" operator="containsText" text="Menor">
      <formula>NOT(ISERROR(SEARCH("Menor",H957)))</formula>
    </cfRule>
    <cfRule type="containsText" dxfId="137" priority="236" operator="containsText" text="Insignificante">
      <formula>NOT(ISERROR(SEARCH("Insignificante",H957)))</formula>
    </cfRule>
  </conditionalFormatting>
  <conditionalFormatting sqref="H962:H966">
    <cfRule type="containsText" dxfId="136" priority="227" operator="containsText" text="Catastrófico">
      <formula>NOT(ISERROR(SEARCH("Catastrófico",H962)))</formula>
    </cfRule>
    <cfRule type="containsText" dxfId="135" priority="228" operator="containsText" text="Mayor">
      <formula>NOT(ISERROR(SEARCH("Mayor",H962)))</formula>
    </cfRule>
    <cfRule type="containsText" dxfId="134" priority="229" operator="containsText" text="Moderado">
      <formula>NOT(ISERROR(SEARCH("Moderado",H962)))</formula>
    </cfRule>
    <cfRule type="containsText" dxfId="133" priority="230" operator="containsText" text="Menor">
      <formula>NOT(ISERROR(SEARCH("Menor",H962)))</formula>
    </cfRule>
    <cfRule type="containsText" dxfId="132" priority="231" operator="containsText" text="Insignificante">
      <formula>NOT(ISERROR(SEARCH("Insignificante",H962)))</formula>
    </cfRule>
  </conditionalFormatting>
  <conditionalFormatting sqref="H967:H971">
    <cfRule type="containsText" dxfId="131" priority="222" operator="containsText" text="Catastrófico">
      <formula>NOT(ISERROR(SEARCH("Catastrófico",H967)))</formula>
    </cfRule>
    <cfRule type="containsText" dxfId="130" priority="223" operator="containsText" text="Mayor">
      <formula>NOT(ISERROR(SEARCH("Mayor",H967)))</formula>
    </cfRule>
    <cfRule type="containsText" dxfId="129" priority="224" operator="containsText" text="Moderado">
      <formula>NOT(ISERROR(SEARCH("Moderado",H967)))</formula>
    </cfRule>
    <cfRule type="containsText" dxfId="128" priority="225" operator="containsText" text="Menor">
      <formula>NOT(ISERROR(SEARCH("Menor",H967)))</formula>
    </cfRule>
    <cfRule type="containsText" dxfId="127" priority="226" operator="containsText" text="Insignificante">
      <formula>NOT(ISERROR(SEARCH("Insignificante",H967)))</formula>
    </cfRule>
  </conditionalFormatting>
  <conditionalFormatting sqref="I957:P961">
    <cfRule type="containsText" dxfId="126" priority="217" operator="containsText" text="Catastrófico">
      <formula>NOT(ISERROR(SEARCH("Catastrófico",I957)))</formula>
    </cfRule>
    <cfRule type="containsText" dxfId="125" priority="218" operator="containsText" text="Mayor">
      <formula>NOT(ISERROR(SEARCH("Mayor",I957)))</formula>
    </cfRule>
    <cfRule type="containsText" dxfId="124" priority="219" operator="containsText" text="Moderado">
      <formula>NOT(ISERROR(SEARCH("Moderado",I957)))</formula>
    </cfRule>
    <cfRule type="containsText" dxfId="123" priority="220" operator="containsText" text="Menor">
      <formula>NOT(ISERROR(SEARCH("Menor",I957)))</formula>
    </cfRule>
    <cfRule type="containsText" dxfId="122" priority="221" operator="containsText" text="Insignificante">
      <formula>NOT(ISERROR(SEARCH("Insignificante",I957)))</formula>
    </cfRule>
  </conditionalFormatting>
  <conditionalFormatting sqref="G982:P986">
    <cfRule type="containsText" dxfId="121" priority="212" operator="containsText" text="Catastrófico">
      <formula>NOT(ISERROR(SEARCH("Catastrófico",G982)))</formula>
    </cfRule>
    <cfRule type="containsText" dxfId="120" priority="213" operator="containsText" text="Mayor">
      <formula>NOT(ISERROR(SEARCH("Mayor",G982)))</formula>
    </cfRule>
    <cfRule type="containsText" dxfId="119" priority="214" operator="containsText" text="Moderado">
      <formula>NOT(ISERROR(SEARCH("Moderado",G982)))</formula>
    </cfRule>
    <cfRule type="containsText" dxfId="118" priority="215" operator="containsText" text="Menor">
      <formula>NOT(ISERROR(SEARCH("Menor",G982)))</formula>
    </cfRule>
    <cfRule type="containsText" dxfId="117" priority="216" operator="containsText" text="Insignificante">
      <formula>NOT(ISERROR(SEARCH("Insignificante",G982)))</formula>
    </cfRule>
  </conditionalFormatting>
  <conditionalFormatting sqref="G987:P991">
    <cfRule type="containsText" dxfId="116" priority="207" operator="containsText" text="Catastrófico">
      <formula>NOT(ISERROR(SEARCH("Catastrófico",G987)))</formula>
    </cfRule>
    <cfRule type="containsText" dxfId="115" priority="208" operator="containsText" text="Mayor">
      <formula>NOT(ISERROR(SEARCH("Mayor",G987)))</formula>
    </cfRule>
    <cfRule type="containsText" dxfId="114" priority="209" operator="containsText" text="Moderado">
      <formula>NOT(ISERROR(SEARCH("Moderado",G987)))</formula>
    </cfRule>
    <cfRule type="containsText" dxfId="113" priority="210" operator="containsText" text="Menor">
      <formula>NOT(ISERROR(SEARCH("Menor",G987)))</formula>
    </cfRule>
    <cfRule type="containsText" dxfId="112" priority="211" operator="containsText" text="Insignificante">
      <formula>NOT(ISERROR(SEARCH("Insignificante",G987)))</formula>
    </cfRule>
  </conditionalFormatting>
  <conditionalFormatting sqref="G992:P996">
    <cfRule type="containsText" dxfId="111" priority="202" operator="containsText" text="Catastrófico">
      <formula>NOT(ISERROR(SEARCH("Catastrófico",G992)))</formula>
    </cfRule>
    <cfRule type="containsText" dxfId="110" priority="203" operator="containsText" text="Mayor">
      <formula>NOT(ISERROR(SEARCH("Mayor",G992)))</formula>
    </cfRule>
    <cfRule type="containsText" dxfId="109" priority="204" operator="containsText" text="Moderado">
      <formula>NOT(ISERROR(SEARCH("Moderado",G992)))</formula>
    </cfRule>
    <cfRule type="containsText" dxfId="108" priority="205" operator="containsText" text="Menor">
      <formula>NOT(ISERROR(SEARCH("Menor",G992)))</formula>
    </cfRule>
    <cfRule type="containsText" dxfId="107" priority="206" operator="containsText" text="Insignificante">
      <formula>NOT(ISERROR(SEARCH("Insignificante",G992)))</formula>
    </cfRule>
  </conditionalFormatting>
  <conditionalFormatting sqref="G997:P1001">
    <cfRule type="containsText" dxfId="106" priority="197" operator="containsText" text="Catastrófico">
      <formula>NOT(ISERROR(SEARCH("Catastrófico",G997)))</formula>
    </cfRule>
    <cfRule type="containsText" dxfId="105" priority="198" operator="containsText" text="Mayor">
      <formula>NOT(ISERROR(SEARCH("Mayor",G997)))</formula>
    </cfRule>
    <cfRule type="containsText" dxfId="104" priority="199" operator="containsText" text="Moderado">
      <formula>NOT(ISERROR(SEARCH("Moderado",G997)))</formula>
    </cfRule>
    <cfRule type="containsText" dxfId="103" priority="200" operator="containsText" text="Menor">
      <formula>NOT(ISERROR(SEARCH("Menor",G997)))</formula>
    </cfRule>
    <cfRule type="containsText" dxfId="102" priority="201" operator="containsText" text="Insignificante">
      <formula>NOT(ISERROR(SEARCH("Insignificante",G997)))</formula>
    </cfRule>
  </conditionalFormatting>
  <conditionalFormatting sqref="G1002:P1006">
    <cfRule type="containsText" dxfId="101" priority="192" operator="containsText" text="Catastrófico">
      <formula>NOT(ISERROR(SEARCH("Catastrófico",G1002)))</formula>
    </cfRule>
    <cfRule type="containsText" dxfId="100" priority="193" operator="containsText" text="Mayor">
      <formula>NOT(ISERROR(SEARCH("Mayor",G1002)))</formula>
    </cfRule>
    <cfRule type="containsText" dxfId="99" priority="194" operator="containsText" text="Moderado">
      <formula>NOT(ISERROR(SEARCH("Moderado",G1002)))</formula>
    </cfRule>
    <cfRule type="containsText" dxfId="98" priority="195" operator="containsText" text="Menor">
      <formula>NOT(ISERROR(SEARCH("Menor",G1002)))</formula>
    </cfRule>
    <cfRule type="containsText" dxfId="97" priority="196" operator="containsText" text="Insignificante">
      <formula>NOT(ISERROR(SEARCH("Insignificante",G1002)))</formula>
    </cfRule>
  </conditionalFormatting>
  <conditionalFormatting sqref="Q402:Q1006">
    <cfRule type="containsText" dxfId="96" priority="103" operator="containsText" text="Catastrófico">
      <formula>NOT(ISERROR(SEARCH("Catastrófico",Q402)))</formula>
    </cfRule>
    <cfRule type="containsText" dxfId="95" priority="104" operator="containsText" text="Mayor">
      <formula>NOT(ISERROR(SEARCH("Mayor",Q402)))</formula>
    </cfRule>
    <cfRule type="containsText" dxfId="94" priority="105" operator="containsText" text="Moderado">
      <formula>NOT(ISERROR(SEARCH("Moderado",Q402)))</formula>
    </cfRule>
    <cfRule type="containsText" dxfId="93" priority="106" operator="containsText" text="Menor">
      <formula>NOT(ISERROR(SEARCH("Menor",Q402)))</formula>
    </cfRule>
    <cfRule type="containsText" dxfId="92" priority="107" operator="containsText" text="Insignificante">
      <formula>NOT(ISERROR(SEARCH("Insignificante",Q402)))</formula>
    </cfRule>
  </conditionalFormatting>
  <conditionalFormatting sqref="R7:R401">
    <cfRule type="containsText" dxfId="91" priority="98" operator="containsText" text="Catastrófico">
      <formula>NOT(ISERROR(SEARCH("Catastrófico",R7)))</formula>
    </cfRule>
    <cfRule type="containsText" dxfId="90" priority="99" operator="containsText" text="Mayor">
      <formula>NOT(ISERROR(SEARCH("Mayor",R7)))</formula>
    </cfRule>
    <cfRule type="containsText" dxfId="89" priority="100" operator="containsText" text="Moderado">
      <formula>NOT(ISERROR(SEARCH("Moderado",R7)))</formula>
    </cfRule>
    <cfRule type="containsText" dxfId="88" priority="101" operator="containsText" text="Menor">
      <formula>NOT(ISERROR(SEARCH("Menor",R7)))</formula>
    </cfRule>
    <cfRule type="containsText" dxfId="87" priority="102" operator="containsText" text="Insignificante">
      <formula>NOT(ISERROR(SEARCH("Insignificante",R7)))</formula>
    </cfRule>
  </conditionalFormatting>
  <conditionalFormatting sqref="E7:E401">
    <cfRule type="containsText" dxfId="86" priority="93" operator="containsText" text="Muy Alta">
      <formula>NOT(ISERROR(SEARCH("Muy Alta",E7)))</formula>
    </cfRule>
    <cfRule type="containsText" dxfId="85" priority="94" operator="containsText" text="Alta">
      <formula>NOT(ISERROR(SEARCH("Alta",E7)))</formula>
    </cfRule>
    <cfRule type="containsText" dxfId="84" priority="95" operator="containsText" text="Media">
      <formula>NOT(ISERROR(SEARCH("Media",E7)))</formula>
    </cfRule>
    <cfRule type="containsText" dxfId="83" priority="96" operator="containsText" text="Baja">
      <formula>NOT(ISERROR(SEARCH("Baja",E7)))</formula>
    </cfRule>
    <cfRule type="containsText" dxfId="82" priority="97" operator="containsText" text="Muy Baja">
      <formula>NOT(ISERROR(SEARCH("Muy Baja",E7)))</formula>
    </cfRule>
  </conditionalFormatting>
  <conditionalFormatting sqref="AX7:AX11">
    <cfRule type="containsText" dxfId="81" priority="88" operator="containsText" text="Muy Alta">
      <formula>NOT(ISERROR(SEARCH("Muy Alta",AX7)))</formula>
    </cfRule>
    <cfRule type="containsText" dxfId="80" priority="89" operator="containsText" text="Alta">
      <formula>NOT(ISERROR(SEARCH("Alta",AX7)))</formula>
    </cfRule>
    <cfRule type="containsText" dxfId="79" priority="90" operator="containsText" text="Media">
      <formula>NOT(ISERROR(SEARCH("Media",AX7)))</formula>
    </cfRule>
    <cfRule type="containsText" dxfId="78" priority="91" operator="containsText" text="Baja">
      <formula>NOT(ISERROR(SEARCH("Baja",AX7)))</formula>
    </cfRule>
    <cfRule type="containsText" dxfId="77" priority="92" operator="containsText" text="Muy Baja">
      <formula>NOT(ISERROR(SEARCH("Muy Baja",AX7)))</formula>
    </cfRule>
  </conditionalFormatting>
  <conditionalFormatting sqref="AX12:AX16">
    <cfRule type="containsText" dxfId="76" priority="83" operator="containsText" text="Muy Alta">
      <formula>NOT(ISERROR(SEARCH("Muy Alta",AX12)))</formula>
    </cfRule>
    <cfRule type="containsText" dxfId="75" priority="84" operator="containsText" text="Alta">
      <formula>NOT(ISERROR(SEARCH("Alta",AX12)))</formula>
    </cfRule>
    <cfRule type="containsText" dxfId="74" priority="85" operator="containsText" text="Media">
      <formula>NOT(ISERROR(SEARCH("Media",AX12)))</formula>
    </cfRule>
    <cfRule type="containsText" dxfId="73" priority="86" operator="containsText" text="Baja">
      <formula>NOT(ISERROR(SEARCH("Baja",AX12)))</formula>
    </cfRule>
    <cfRule type="containsText" dxfId="72" priority="87" operator="containsText" text="Muy Baja">
      <formula>NOT(ISERROR(SEARCH("Muy Baja",AX12)))</formula>
    </cfRule>
  </conditionalFormatting>
  <conditionalFormatting sqref="AZ7:AZ1006">
    <cfRule type="containsText" dxfId="71" priority="78" operator="containsText" text="Catastrófico">
      <formula>NOT(ISERROR(SEARCH("Catastrófico",AZ7)))</formula>
    </cfRule>
    <cfRule type="containsText" dxfId="70" priority="79" operator="containsText" text="Mayor">
      <formula>NOT(ISERROR(SEARCH("Mayor",AZ7)))</formula>
    </cfRule>
    <cfRule type="containsText" dxfId="69" priority="80" operator="containsText" text="Moderado">
      <formula>NOT(ISERROR(SEARCH("Moderado",AZ7)))</formula>
    </cfRule>
    <cfRule type="containsText" dxfId="68" priority="81" operator="containsText" text="Menor">
      <formula>NOT(ISERROR(SEARCH("Menor",AZ7)))</formula>
    </cfRule>
    <cfRule type="containsText" dxfId="67" priority="82" operator="containsText" text="Insignificante">
      <formula>NOT(ISERROR(SEARCH("Insignificante",AZ7)))</formula>
    </cfRule>
  </conditionalFormatting>
  <conditionalFormatting sqref="BF7 BF12 BF17 BF22 BF27 BF32 BF37 BF42 BF47 BF52 BF57 BF62 BF67 BF72 BF77 BF82 BF87 BF92 BF97 BF102 BF107 BF112 BF117 BF122 BF127 BF132 BF137 BF142 BF147 BF152 BF157 BF162 BF167 BF172 BF177 BF182 BF187 BF192 BF197 BF202 BF207 BF212 BF217 BF222 BF227 BF232 BF237 BF242 BF247 BF252 BF257 BF262 BF267 BF272 BF277 BF282 BF287 BF292 BF297 BF302 BF307 BF312 BF317 BF322 BF327 BF332 BF337 BF342 BF347 BF352 BF357 BF362 BF367 BF372 BF377 BF382 BF387 BF392 BF397 BF402 BF407 BF412 BF417 BF422 BF427 BF432 BF437 BF442 BF447 BF452 BF457 BF462 BF467 BF472 BF477 BF482 BF487 BF492 BF497 BF502 BF507 BF512 BF517 BF522 BF527 BF532 BF537 BF542 BF547 BF552 BF557 BF562 BF567 BF572 BF577 BF582 BF587 BF592 BF597 BF602 BF607 BF612 BF617 BF622 BF627 BF632 BF637 BF642 BF647 BF652 BF657 BF662 BF667 BF672 BF677 BF682 BF687 BF692 BF697 BF702 BF707 BF712 BF717 BF722 BF727 BF732 BF737 BF742 BF747 BF752 BF757 BF762 BF767 BF772 BF777 BF782 BF787 BF792 BF797 BF802 BF807 BF812 BF817 BF822 BF827 BF832 BF837 BF842 BF847 BF852 BF857 BF862 BF867 BF872 BF877 BF882 BF887 BF892 BF897 BF902 BF907 BF912 BF917 BF922 BF927 BF932 BF937 BF942 BF947 BF952 BF957 BF962 BF967 BF972 BF977 BF982 BF987 BF992 BF997 BF1002">
    <cfRule type="cellIs" dxfId="66" priority="74" operator="equal">
      <formula>"Extrema"</formula>
    </cfRule>
    <cfRule type="cellIs" dxfId="65" priority="75" operator="equal">
      <formula>"Alta"</formula>
    </cfRule>
    <cfRule type="cellIs" dxfId="64" priority="76" operator="equal">
      <formula>"Moderada"</formula>
    </cfRule>
    <cfRule type="cellIs" dxfId="63" priority="77" operator="equal">
      <formula>"Baja"</formula>
    </cfRule>
  </conditionalFormatting>
  <conditionalFormatting sqref="AB7:AB56">
    <cfRule type="containsText" dxfId="62" priority="53" operator="containsText" text="Muy Baja">
      <formula>NOT(ISERROR(SEARCH("Muy Baja",AB7)))</formula>
    </cfRule>
    <cfRule type="containsText" dxfId="61" priority="69" operator="containsText" text="Muy Alta">
      <formula>NOT(ISERROR(SEARCH("Muy Alta",AB7)))</formula>
    </cfRule>
    <cfRule type="containsText" dxfId="60" priority="70" operator="containsText" text="Alta">
      <formula>NOT(ISERROR(SEARCH("Alta",AB7)))</formula>
    </cfRule>
    <cfRule type="containsText" dxfId="59" priority="71" operator="containsText" text="Media">
      <formula>NOT(ISERROR(SEARCH("Media",AB7)))</formula>
    </cfRule>
    <cfRule type="containsText" dxfId="58" priority="72" operator="containsText" text="Baja">
      <formula>NOT(ISERROR(SEARCH("Baja",AB7)))</formula>
    </cfRule>
    <cfRule type="containsText" dxfId="57" priority="73" operator="containsText" text="Muy Baja">
      <formula>NOT(ISERROR(SEARCH("Muy Baja",AB7)))</formula>
    </cfRule>
  </conditionalFormatting>
  <conditionalFormatting sqref="AC7:AC56">
    <cfRule type="containsText" dxfId="56" priority="59" operator="containsText" text="Catastrófico">
      <formula>NOT(ISERROR(SEARCH("Catastrófico",AC7)))</formula>
    </cfRule>
    <cfRule type="containsText" dxfId="55" priority="60" operator="containsText" text="Mayor">
      <formula>NOT(ISERROR(SEARCH("Mayor",AC7)))</formula>
    </cfRule>
    <cfRule type="containsText" dxfId="54" priority="61" operator="containsText" text="Moderado">
      <formula>NOT(ISERROR(SEARCH("Moderado",AC7)))</formula>
    </cfRule>
    <cfRule type="containsText" dxfId="53" priority="62" operator="containsText" text="Menor">
      <formula>NOT(ISERROR(SEARCH("Menor",AC7)))</formula>
    </cfRule>
    <cfRule type="containsText" dxfId="52" priority="63" operator="containsText" text="Insignificante">
      <formula>NOT(ISERROR(SEARCH("Insignificante",AC7)))</formula>
    </cfRule>
  </conditionalFormatting>
  <conditionalFormatting sqref="AC57:AC1006">
    <cfRule type="containsText" dxfId="51" priority="54" operator="containsText" text="Catastrófico">
      <formula>NOT(ISERROR(SEARCH("Catastrófico",AC57)))</formula>
    </cfRule>
    <cfRule type="containsText" dxfId="50" priority="55" operator="containsText" text="Mayor">
      <formula>NOT(ISERROR(SEARCH("Mayor",AC57)))</formula>
    </cfRule>
    <cfRule type="containsText" dxfId="49" priority="56" operator="containsText" text="Moderado">
      <formula>NOT(ISERROR(SEARCH("Moderado",AC57)))</formula>
    </cfRule>
    <cfRule type="containsText" dxfId="48" priority="57" operator="containsText" text="Menor">
      <formula>NOT(ISERROR(SEARCH("Menor",AC57)))</formula>
    </cfRule>
    <cfRule type="containsText" dxfId="47" priority="58" operator="containsText" text="Insignificante">
      <formula>NOT(ISERROR(SEARCH("Insignificante",AC57)))</formula>
    </cfRule>
  </conditionalFormatting>
  <conditionalFormatting sqref="AB57:AB1006">
    <cfRule type="containsText" dxfId="46" priority="47" operator="containsText" text="Muy Baja">
      <formula>NOT(ISERROR(SEARCH("Muy Baja",AB57)))</formula>
    </cfRule>
    <cfRule type="containsText" dxfId="45" priority="48" operator="containsText" text="Muy Alta">
      <formula>NOT(ISERROR(SEARCH("Muy Alta",AB57)))</formula>
    </cfRule>
    <cfRule type="containsText" dxfId="44" priority="49" operator="containsText" text="Alta">
      <formula>NOT(ISERROR(SEARCH("Alta",AB57)))</formula>
    </cfRule>
    <cfRule type="containsText" dxfId="43" priority="50" operator="containsText" text="Media">
      <formula>NOT(ISERROR(SEARCH("Media",AB57)))</formula>
    </cfRule>
    <cfRule type="containsText" dxfId="42" priority="51" operator="containsText" text="Baja">
      <formula>NOT(ISERROR(SEARCH("Baja",AB57)))</formula>
    </cfRule>
    <cfRule type="containsText" dxfId="41" priority="52" operator="containsText" text="Muy Baja">
      <formula>NOT(ISERROR(SEARCH("Muy Baja",AB57)))</formula>
    </cfRule>
  </conditionalFormatting>
  <conditionalFormatting sqref="AD7:AD56">
    <cfRule type="containsText" dxfId="40" priority="43" operator="containsText" text="Extrema">
      <formula>NOT(ISERROR(SEARCH("Extrema",AD7)))</formula>
    </cfRule>
    <cfRule type="containsText" dxfId="39" priority="44" operator="containsText" text="Alta">
      <formula>NOT(ISERROR(SEARCH("Alta",AD7)))</formula>
    </cfRule>
    <cfRule type="containsText" dxfId="38" priority="45" operator="containsText" text="Moderada">
      <formula>NOT(ISERROR(SEARCH("Moderada",AD7)))</formula>
    </cfRule>
    <cfRule type="containsText" dxfId="37" priority="46" operator="containsText" text="Baja">
      <formula>NOT(ISERROR(SEARCH("Baja",AD7)))</formula>
    </cfRule>
  </conditionalFormatting>
  <conditionalFormatting sqref="AD57 AD107 AD157 AD207 AD257 AD307 AD357 AD407 AD457 AD507 AD557 AD607 AD657 AD707 AD757 AD807 AD857 AD907 AD957">
    <cfRule type="cellIs" dxfId="36" priority="39" operator="equal">
      <formula>"Extrema"</formula>
    </cfRule>
    <cfRule type="cellIs" dxfId="35" priority="40" operator="equal">
      <formula>"Alta"</formula>
    </cfRule>
    <cfRule type="cellIs" dxfId="34" priority="41" operator="equal">
      <formula>"Moderada"</formula>
    </cfRule>
    <cfRule type="cellIs" dxfId="33" priority="42" operator="equal">
      <formula>"Baja"</formula>
    </cfRule>
  </conditionalFormatting>
  <conditionalFormatting sqref="AD57:AD1006">
    <cfRule type="containsText" dxfId="32" priority="35" operator="containsText" text="Extrema">
      <formula>NOT(ISERROR(SEARCH("Extrema",AD57)))</formula>
    </cfRule>
    <cfRule type="containsText" dxfId="31" priority="36" operator="containsText" text="Alta">
      <formula>NOT(ISERROR(SEARCH("Alta",AD57)))</formula>
    </cfRule>
    <cfRule type="containsText" dxfId="30" priority="37" operator="containsText" text="Moderada">
      <formula>NOT(ISERROR(SEARCH("Moderada",AD57)))</formula>
    </cfRule>
    <cfRule type="containsText" dxfId="29" priority="38" operator="containsText" text="Baja">
      <formula>NOT(ISERROR(SEARCH("Baja",AD57)))</formula>
    </cfRule>
  </conditionalFormatting>
  <conditionalFormatting sqref="BD7:BD1006">
    <cfRule type="containsText" dxfId="28" priority="29" operator="containsText" text="Muy Baja">
      <formula>NOT(ISERROR(SEARCH("Muy Baja",BD7)))</formula>
    </cfRule>
    <cfRule type="containsText" dxfId="27" priority="30" operator="containsText" text="Muy Alta">
      <formula>NOT(ISERROR(SEARCH("Muy Alta",BD7)))</formula>
    </cfRule>
    <cfRule type="containsText" dxfId="26" priority="31" operator="containsText" text="Alta">
      <formula>NOT(ISERROR(SEARCH("Alta",BD7)))</formula>
    </cfRule>
    <cfRule type="containsText" dxfId="25" priority="32" operator="containsText" text="Media">
      <formula>NOT(ISERROR(SEARCH("Media",BD7)))</formula>
    </cfRule>
    <cfRule type="containsText" dxfId="24" priority="33" operator="containsText" text="Baja">
      <formula>NOT(ISERROR(SEARCH("Baja",BD7)))</formula>
    </cfRule>
    <cfRule type="containsText" dxfId="23" priority="34" operator="containsText" text="Muy Baja">
      <formula>NOT(ISERROR(SEARCH("Muy Baja",BD7)))</formula>
    </cfRule>
  </conditionalFormatting>
  <conditionalFormatting sqref="BE7:BE1006">
    <cfRule type="containsText" dxfId="22" priority="24" operator="containsText" text="Catastrófico">
      <formula>NOT(ISERROR(SEARCH("Catastrófico",BE7)))</formula>
    </cfRule>
    <cfRule type="containsText" dxfId="21" priority="25" operator="containsText" text="Mayor">
      <formula>NOT(ISERROR(SEARCH("Mayor",BE7)))</formula>
    </cfRule>
    <cfRule type="containsText" dxfId="20" priority="26" operator="containsText" text="Moderado">
      <formula>NOT(ISERROR(SEARCH("Moderado",BE7)))</formula>
    </cfRule>
    <cfRule type="containsText" dxfId="19" priority="27" operator="containsText" text="Menor">
      <formula>NOT(ISERROR(SEARCH("Menor",BE7)))</formula>
    </cfRule>
    <cfRule type="containsText" dxfId="18" priority="28" operator="containsText" text="Insignificante">
      <formula>NOT(ISERROR(SEARCH("Insignificante",BE7)))</formula>
    </cfRule>
  </conditionalFormatting>
  <conditionalFormatting sqref="BG7 BG57 BG107 BG157 BG207 BG257 BG307 BG357 BG407 BG457 BG507 BG557 BG607 BG657 BG707 BG757 BG807 BG857 BG907 BG957">
    <cfRule type="cellIs" dxfId="17" priority="20" operator="equal">
      <formula>"Extrema"</formula>
    </cfRule>
    <cfRule type="cellIs" dxfId="16" priority="21" operator="equal">
      <formula>"Alta"</formula>
    </cfRule>
    <cfRule type="cellIs" dxfId="15" priority="22" operator="equal">
      <formula>"Moderada"</formula>
    </cfRule>
    <cfRule type="cellIs" dxfId="14" priority="23" operator="equal">
      <formula>"Baja"</formula>
    </cfRule>
  </conditionalFormatting>
  <conditionalFormatting sqref="BG7:BG1006">
    <cfRule type="containsText" dxfId="13" priority="16" operator="containsText" text="Extrema">
      <formula>NOT(ISERROR(SEARCH("Extrema",BG7)))</formula>
    </cfRule>
    <cfRule type="containsText" dxfId="12" priority="17" operator="containsText" text="Alta">
      <formula>NOT(ISERROR(SEARCH("Alta",BG7)))</formula>
    </cfRule>
    <cfRule type="containsText" dxfId="11" priority="18" operator="containsText" text="Moderada">
      <formula>NOT(ISERROR(SEARCH("Moderada",BG7)))</formula>
    </cfRule>
    <cfRule type="containsText" dxfId="10" priority="19" operator="containsText" text="Baja">
      <formula>NOT(ISERROR(SEARCH("Baja",BG7)))</formula>
    </cfRule>
  </conditionalFormatting>
  <conditionalFormatting sqref="AX17:AX1006">
    <cfRule type="containsText" dxfId="9" priority="6" operator="containsText" text="Muy Alta">
      <formula>NOT(ISERROR(SEARCH("Muy Alta",AX17)))</formula>
    </cfRule>
    <cfRule type="containsText" dxfId="8" priority="7" operator="containsText" text="Alta">
      <formula>NOT(ISERROR(SEARCH("Alta",AX17)))</formula>
    </cfRule>
    <cfRule type="containsText" dxfId="7" priority="8" operator="containsText" text="Media">
      <formula>NOT(ISERROR(SEARCH("Media",AX17)))</formula>
    </cfRule>
    <cfRule type="containsText" dxfId="6" priority="9" operator="containsText" text="Baja">
      <formula>NOT(ISERROR(SEARCH("Baja",AX17)))</formula>
    </cfRule>
    <cfRule type="containsText" dxfId="5" priority="10" operator="containsText" text="Muy Baja">
      <formula>NOT(ISERROR(SEARCH("Muy Baja",AX17)))</formula>
    </cfRule>
  </conditionalFormatting>
  <conditionalFormatting sqref="L112:P126 G107:K126">
    <cfRule type="containsText" dxfId="4" priority="1" operator="containsText" text="Catastrófico">
      <formula>NOT(ISERROR(SEARCH("Catastrófico",G107)))</formula>
    </cfRule>
    <cfRule type="containsText" dxfId="3" priority="2" operator="containsText" text="Mayor">
      <formula>NOT(ISERROR(SEARCH("Mayor",G107)))</formula>
    </cfRule>
    <cfRule type="containsText" dxfId="2" priority="3" operator="containsText" text="Moderado">
      <formula>NOT(ISERROR(SEARCH("Moderado",G107)))</formula>
    </cfRule>
    <cfRule type="containsText" dxfId="1" priority="4" operator="containsText" text="Menor">
      <formula>NOT(ISERROR(SEARCH("Menor",G107)))</formula>
    </cfRule>
    <cfRule type="containsText" dxfId="0" priority="5" operator="containsText" text="Insignificante">
      <formula>NOT(ISERROR(SEARCH("Insignificante",G107)))</formula>
    </cfRule>
  </conditionalFormatting>
  <dataValidations count="2">
    <dataValidation type="list" allowBlank="1" showInputMessage="1" showErrorMessage="1" sqref="E7 E32 E37 E962:E1006 E42 E47 E52 E402:E407 E22 E412:E457 E462:E507 E512:E557 E562:E607 E612:E657 E662:E707 E712:E757 E762:E807 E812:E857 E862:E907 E912:E957 E12 E17 E57 E27 E62 E67 E72 E77 E82 E87 E92 E97 E102 E382 E387 E392 E397 E127 E132 E137 E142 E147 E152 E157 E162 E167 E172 E177 E182 E187 E192 E197 E202 E207 E212 E217 E222 E227 E232 E237 E242 E247 E252 E257 E262 E267 E272 E277 E282 E287 E292 E297 E302 E307 E312 E317 E322 E327 E332 E337 E342 E347 E352 E357 E362 E367 E372 E377 E107 E122 E112 E117" xr:uid="{00000000-0002-0000-0200-000000000000}">
      <formula1>escala_prob</formula1>
    </dataValidation>
    <dataValidation type="list" allowBlank="1" showInputMessage="1" showErrorMessage="1" sqref="G62:K107 G212:K257 G12:K57 G162:K207 G362:K407 G262:K307 G312:K357 G962:K1006 G412:K457 G462:K507 G512:K557 G562:K607 G612:K657 G662:K707 G712:K757 G762:K807 G812:K857 G862:K907 G912:K957 G7:K7 G112:K157" xr:uid="{00000000-0002-0000-0200-000001000000}">
      <formula1>escala_imp</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Tutorial.tutorial">
                <anchor moveWithCells="1" sizeWithCells="1">
                  <from>
                    <xdr:col>2</xdr:col>
                    <xdr:colOff>723900</xdr:colOff>
                    <xdr:row>1</xdr:row>
                    <xdr:rowOff>38100</xdr:rowOff>
                  </from>
                  <to>
                    <xdr:col>3</xdr:col>
                    <xdr:colOff>1676400</xdr:colOff>
                    <xdr:row>3</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200-000002000000}">
          <x14:formula1>
            <xm:f>Tablas!$G$3:$G$4</xm:f>
          </x14:formula1>
          <xm:sqref>AT8:AT56 AT208:AT256 AT58:AT106 AT158:AT206 AT958:AT1006 AT108:AT156 AT258:AT306 AT308:AT356 AT358:AT406 AT408:AT456 AT458:AT506 AT508:AT556 AT558:AT606 AT608:AT656 AT658:AT706 AT708:AT756 AT758:AT806 AT808:AT856 AT858:AT906 AT908:AT956 AJ7:AJ1006</xm:sqref>
        </x14:dataValidation>
        <x14:dataValidation type="list" allowBlank="1" showInputMessage="1" showErrorMessage="1" xr:uid="{00000000-0002-0000-0200-000003000000}">
          <x14:formula1>
            <xm:f>Tablas!$E$3:$E$6</xm:f>
          </x14:formula1>
          <xm:sqref>AI7:AI1006</xm:sqref>
        </x14:dataValidation>
        <x14:dataValidation type="list" allowBlank="1" showInputMessage="1" showErrorMessage="1" xr:uid="{00000000-0002-0000-0200-000004000000}">
          <x14:formula1>
            <xm:f>Tablas!$I$3:$I$6</xm:f>
          </x14:formula1>
          <xm:sqref>AK7:AK1006</xm:sqref>
        </x14:dataValidation>
        <x14:dataValidation type="list" allowBlank="1" showInputMessage="1" showErrorMessage="1" xr:uid="{00000000-0002-0000-0200-000005000000}">
          <x14:formula1>
            <xm:f>Tablas!$K$3:$K$5</xm:f>
          </x14:formula1>
          <xm:sqref>AL7:AL1006</xm:sqref>
        </x14:dataValidation>
        <x14:dataValidation type="list" allowBlank="1" showInputMessage="1" showErrorMessage="1" xr:uid="{00000000-0002-0000-0200-000006000000}">
          <x14:formula1>
            <xm:f>Tablas!$C$11:$C$13</xm:f>
          </x14:formula1>
          <xm:sqref>AN7:AN1006</xm:sqref>
        </x14:dataValidation>
        <x14:dataValidation type="list" allowBlank="1" showInputMessage="1" showErrorMessage="1" xr:uid="{00000000-0002-0000-0200-000007000000}">
          <x14:formula1>
            <xm:f>Tablas!$G$11:$G$13</xm:f>
          </x14:formula1>
          <xm:sqref>AP7:AP1006</xm:sqref>
        </x14:dataValidation>
        <x14:dataValidation type="list" allowBlank="1" showInputMessage="1" showErrorMessage="1" xr:uid="{00000000-0002-0000-0200-000008000000}">
          <x14:formula1>
            <xm:f>Tablas!$C$3:$C$5</xm:f>
          </x14:formula1>
          <xm:sqref>AH7:AH1006</xm:sqref>
        </x14:dataValidation>
        <x14:dataValidation type="list" allowBlank="1" showInputMessage="1" showErrorMessage="1" xr:uid="{00000000-0002-0000-0200-000009000000}">
          <x14:formula1>
            <xm:f>Tablas!$E$11:$E$13</xm:f>
          </x14:formula1>
          <xm:sqref>AO7:AO1006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6"/>
  <dimension ref="B3:L25"/>
  <sheetViews>
    <sheetView zoomScale="85" zoomScaleNormal="85" workbookViewId="0"/>
  </sheetViews>
  <sheetFormatPr baseColWidth="10" defaultColWidth="11.42578125" defaultRowHeight="15" x14ac:dyDescent="0.25"/>
  <cols>
    <col min="1" max="1" width="11.42578125" style="1" customWidth="1"/>
    <col min="2" max="2" width="24" style="1" customWidth="1"/>
    <col min="3" max="8" width="11.42578125" style="1" customWidth="1"/>
    <col min="9" max="9" width="11.42578125" style="1"/>
    <col min="10" max="10" width="26.85546875" style="1" customWidth="1"/>
    <col min="11" max="11" width="11.42578125" style="1"/>
    <col min="12" max="12" width="16.140625" style="1" customWidth="1"/>
    <col min="13" max="13" width="11.42578125" style="1"/>
    <col min="14" max="14" width="26.85546875" style="1" customWidth="1"/>
    <col min="15" max="16384" width="11.42578125" style="1"/>
  </cols>
  <sheetData>
    <row r="3" spans="2:12" x14ac:dyDescent="0.25">
      <c r="B3" s="1" t="s">
        <v>174</v>
      </c>
      <c r="C3" s="1">
        <f>COUNTIF(Matriz!S7:S1006, "X")</f>
        <v>6</v>
      </c>
      <c r="D3" s="117">
        <f>C3/$C$9</f>
        <v>9.0909090909090912E-2</v>
      </c>
      <c r="E3" s="119">
        <f>D3</f>
        <v>9.0909090909090912E-2</v>
      </c>
      <c r="J3" s="16" t="s">
        <v>64</v>
      </c>
      <c r="K3" s="16" t="s">
        <v>229</v>
      </c>
      <c r="L3" s="16" t="s">
        <v>230</v>
      </c>
    </row>
    <row r="4" spans="2:12" x14ac:dyDescent="0.25">
      <c r="B4" s="1" t="s">
        <v>175</v>
      </c>
      <c r="C4" s="1">
        <f>COUNTIF(Matriz!S7:T1006, "X")</f>
        <v>6</v>
      </c>
      <c r="D4" s="117">
        <f>C4/$C$9</f>
        <v>9.0909090909090912E-2</v>
      </c>
      <c r="E4" s="119">
        <f>D4+E3</f>
        <v>0.18181818181818182</v>
      </c>
    </row>
    <row r="5" spans="2:12" x14ac:dyDescent="0.25">
      <c r="B5" s="1" t="s">
        <v>176</v>
      </c>
      <c r="C5" s="1">
        <f>COUNTIF(Matriz!S6:U1006, "X")</f>
        <v>18</v>
      </c>
      <c r="D5" s="117">
        <f>C5/$C$9</f>
        <v>0.27272727272727271</v>
      </c>
      <c r="E5" s="119">
        <f t="shared" ref="E5" si="0">D5+E4</f>
        <v>0.45454545454545453</v>
      </c>
      <c r="J5" s="1" t="s">
        <v>69</v>
      </c>
      <c r="K5" s="1">
        <f>COUNTIF(Matriz!AH7:$AH$1006, J5)</f>
        <v>11</v>
      </c>
      <c r="L5" s="117">
        <f>K5/$K$8</f>
        <v>0.91666666666666663</v>
      </c>
    </row>
    <row r="6" spans="2:12" x14ac:dyDescent="0.25">
      <c r="B6" s="1" t="s">
        <v>177</v>
      </c>
      <c r="C6" s="1">
        <f>COUNTIF(Matriz!S7:V1006, "X")</f>
        <v>18</v>
      </c>
      <c r="D6" s="117">
        <f>C6/$C$9</f>
        <v>0.27272727272727271</v>
      </c>
      <c r="E6" s="119">
        <f>D6+E7</f>
        <v>1</v>
      </c>
      <c r="J6" s="1" t="s">
        <v>68</v>
      </c>
      <c r="K6" s="1">
        <f>COUNTIF(Matriz!AH7:$AH$1006, J6)</f>
        <v>1</v>
      </c>
      <c r="L6" s="117">
        <f>K6/$K$8</f>
        <v>8.3333333333333329E-2</v>
      </c>
    </row>
    <row r="7" spans="2:12" x14ac:dyDescent="0.25">
      <c r="B7" s="1" t="s">
        <v>178</v>
      </c>
      <c r="C7" s="1">
        <f>COUNTIF(Matriz!S6:W1006, "X")</f>
        <v>18</v>
      </c>
      <c r="D7" s="117">
        <f>C7/$C$9</f>
        <v>0.27272727272727271</v>
      </c>
      <c r="E7" s="119">
        <f>D7+E5</f>
        <v>0.72727272727272729</v>
      </c>
      <c r="J7" s="1" t="s">
        <v>67</v>
      </c>
      <c r="K7" s="1">
        <f>COUNTIF(Matriz!$AH7:AH$1006, J7)</f>
        <v>0</v>
      </c>
      <c r="L7" s="117">
        <f>K7/$K$8</f>
        <v>0</v>
      </c>
    </row>
    <row r="8" spans="2:12" x14ac:dyDescent="0.25">
      <c r="J8" s="16" t="s">
        <v>231</v>
      </c>
      <c r="K8" s="16">
        <f>SUM(K5:K7)</f>
        <v>12</v>
      </c>
      <c r="L8" s="118">
        <f t="shared" ref="L8" si="1">K8/$K$8</f>
        <v>1</v>
      </c>
    </row>
    <row r="9" spans="2:12" x14ac:dyDescent="0.25">
      <c r="B9" s="1" t="s">
        <v>231</v>
      </c>
      <c r="C9" s="1">
        <f>SUM(C3:C7)</f>
        <v>66</v>
      </c>
      <c r="D9" s="119">
        <f>SUM(D3:D7)</f>
        <v>1</v>
      </c>
      <c r="E9" s="1" t="s">
        <v>158</v>
      </c>
    </row>
    <row r="11" spans="2:12" x14ac:dyDescent="0.25">
      <c r="J11" s="16" t="s">
        <v>65</v>
      </c>
      <c r="K11" s="16" t="s">
        <v>229</v>
      </c>
      <c r="L11" s="16" t="s">
        <v>230</v>
      </c>
    </row>
    <row r="13" spans="2:12" x14ac:dyDescent="0.25">
      <c r="J13" s="1" t="s">
        <v>71</v>
      </c>
      <c r="K13" s="1">
        <f>COUNTIF(Matriz!AI7:$AI$1006, J13)</f>
        <v>8</v>
      </c>
      <c r="L13" s="117">
        <f>K13/$K$17</f>
        <v>0.66666666666666663</v>
      </c>
    </row>
    <row r="14" spans="2:12" x14ac:dyDescent="0.25">
      <c r="J14" s="1" t="s">
        <v>222</v>
      </c>
      <c r="K14" s="1">
        <f>COUNTIF(Matriz!AI7:$AI$1006, J14)</f>
        <v>0</v>
      </c>
      <c r="L14" s="117">
        <f>K14/$K$17</f>
        <v>0</v>
      </c>
    </row>
    <row r="15" spans="2:12" x14ac:dyDescent="0.25">
      <c r="J15" s="1" t="s">
        <v>72</v>
      </c>
      <c r="K15" s="1">
        <f>COUNTIF(Matriz!AI7:$AI$1006, J15)</f>
        <v>3</v>
      </c>
      <c r="L15" s="117">
        <f>K15/$K$17</f>
        <v>0.25</v>
      </c>
    </row>
    <row r="16" spans="2:12" x14ac:dyDescent="0.25">
      <c r="J16" s="1" t="s">
        <v>121</v>
      </c>
      <c r="K16" s="1">
        <f>COUNTIF(Matriz!AI7:$AI$1006, J16)</f>
        <v>1</v>
      </c>
      <c r="L16" s="117">
        <f>K16/$K$17</f>
        <v>8.3333333333333329E-2</v>
      </c>
    </row>
    <row r="17" spans="10:12" x14ac:dyDescent="0.25">
      <c r="K17" s="16">
        <f>SUM(K13:K16)</f>
        <v>12</v>
      </c>
      <c r="L17" s="117">
        <f>K17/$K$17</f>
        <v>1</v>
      </c>
    </row>
    <row r="20" spans="10:12" x14ac:dyDescent="0.25">
      <c r="J20" s="16" t="s">
        <v>128</v>
      </c>
      <c r="K20" s="16" t="s">
        <v>229</v>
      </c>
      <c r="L20" s="16" t="s">
        <v>230</v>
      </c>
    </row>
    <row r="22" spans="10:12" x14ac:dyDescent="0.25">
      <c r="J22" s="1" t="s">
        <v>130</v>
      </c>
      <c r="K22" s="1">
        <f>COUNTIF(Matriz!AL7:AL1006, J22)</f>
        <v>12</v>
      </c>
      <c r="L22" s="117">
        <f>K22/$K$25</f>
        <v>1</v>
      </c>
    </row>
    <row r="23" spans="10:12" x14ac:dyDescent="0.25">
      <c r="J23" s="1" t="s">
        <v>131</v>
      </c>
      <c r="K23" s="1">
        <f>COUNTIF(Matriz!AL7:AL1006, J23)</f>
        <v>0</v>
      </c>
      <c r="L23" s="117">
        <f>K23/$K$25</f>
        <v>0</v>
      </c>
    </row>
    <row r="24" spans="10:12" x14ac:dyDescent="0.25">
      <c r="J24" s="1" t="s">
        <v>129</v>
      </c>
      <c r="K24" s="1">
        <f>COUNTIF(Matriz!AL7:AL1006, J24)</f>
        <v>0</v>
      </c>
      <c r="L24" s="117">
        <f>K24/$K$25</f>
        <v>0</v>
      </c>
    </row>
    <row r="25" spans="10:12" x14ac:dyDescent="0.25">
      <c r="K25" s="16">
        <f>SUM(K22:K24)</f>
        <v>12</v>
      </c>
      <c r="L25" s="117">
        <f t="shared" ref="L25" si="2">K25/$K$25</f>
        <v>1</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
  <dimension ref="A1:AM46"/>
  <sheetViews>
    <sheetView topLeftCell="I1" zoomScale="85" zoomScaleNormal="85" workbookViewId="0">
      <selection activeCell="A18" sqref="A18"/>
    </sheetView>
  </sheetViews>
  <sheetFormatPr baseColWidth="10" defaultRowHeight="15" x14ac:dyDescent="0.25"/>
  <cols>
    <col min="1" max="1" width="14.5703125" style="1" bestFit="1" customWidth="1"/>
    <col min="2" max="2" width="13" style="1" bestFit="1" customWidth="1"/>
    <col min="3" max="3" width="15.85546875" style="1" bestFit="1" customWidth="1"/>
    <col min="4" max="4" width="9.140625" style="1" bestFit="1" customWidth="1"/>
    <col min="5" max="5" width="25.140625" style="1" bestFit="1" customWidth="1"/>
    <col min="6" max="6" width="7.85546875" style="1" bestFit="1" customWidth="1"/>
    <col min="7" max="7" width="18.5703125" style="1" bestFit="1" customWidth="1"/>
    <col min="8" max="8" width="7.85546875" style="1" bestFit="1" customWidth="1"/>
    <col min="9" max="9" width="16.7109375" style="1" bestFit="1" customWidth="1"/>
    <col min="10" max="10" width="8.28515625" bestFit="1" customWidth="1"/>
    <col min="11" max="11" width="25.7109375" bestFit="1" customWidth="1"/>
    <col min="12" max="12" width="7.85546875" bestFit="1" customWidth="1"/>
    <col min="13" max="13" width="12" bestFit="1" customWidth="1"/>
    <col min="14" max="14" width="8.28515625" style="33" bestFit="1" customWidth="1"/>
    <col min="15" max="15" width="11.28515625" style="33" bestFit="1" customWidth="1"/>
    <col min="16" max="16" width="11.42578125" style="33"/>
    <col min="17" max="17" width="5.85546875" bestFit="1" customWidth="1"/>
    <col min="18" max="18" width="7.85546875" bestFit="1" customWidth="1"/>
    <col min="19" max="19" width="4.42578125" bestFit="1" customWidth="1"/>
    <col min="20" max="20" width="7.5703125" bestFit="1" customWidth="1"/>
    <col min="21" max="21" width="12" bestFit="1" customWidth="1"/>
    <col min="23" max="23" width="6.140625" bestFit="1" customWidth="1"/>
    <col min="24" max="24" width="2.28515625" bestFit="1" customWidth="1"/>
    <col min="25" max="25" width="5.5703125" bestFit="1" customWidth="1"/>
    <col min="26" max="28" width="6.140625" bestFit="1" customWidth="1"/>
    <col min="29" max="29" width="6.7109375" bestFit="1" customWidth="1"/>
    <col min="30" max="30" width="2.28515625" bestFit="1" customWidth="1"/>
    <col min="31" max="31" width="7.28515625" bestFit="1" customWidth="1"/>
    <col min="32" max="32" width="13.42578125" bestFit="1" customWidth="1"/>
    <col min="33" max="33" width="6.7109375" bestFit="1" customWidth="1"/>
    <col min="34" max="35" width="7.85546875" bestFit="1" customWidth="1"/>
    <col min="36" max="37" width="6.7109375" bestFit="1" customWidth="1"/>
    <col min="38" max="39" width="5" bestFit="1" customWidth="1"/>
  </cols>
  <sheetData>
    <row r="1" spans="1:39" x14ac:dyDescent="0.25">
      <c r="C1" s="30">
        <v>0.3</v>
      </c>
      <c r="E1" s="30">
        <v>0.25</v>
      </c>
      <c r="G1" s="30">
        <v>0.15</v>
      </c>
      <c r="H1" s="2"/>
      <c r="I1" s="29">
        <v>0.15</v>
      </c>
      <c r="J1" s="36"/>
      <c r="K1" s="29">
        <v>0.15</v>
      </c>
      <c r="L1" s="36"/>
    </row>
    <row r="2" spans="1:39" x14ac:dyDescent="0.25">
      <c r="A2" s="34" t="s">
        <v>4</v>
      </c>
      <c r="B2" s="16"/>
      <c r="C2" s="23" t="s">
        <v>64</v>
      </c>
      <c r="D2" s="23" t="s">
        <v>70</v>
      </c>
      <c r="E2" s="23" t="s">
        <v>65</v>
      </c>
      <c r="F2" s="23" t="s">
        <v>70</v>
      </c>
      <c r="G2" s="23" t="s">
        <v>66</v>
      </c>
      <c r="H2" s="46" t="s">
        <v>70</v>
      </c>
      <c r="I2" s="23" t="s">
        <v>123</v>
      </c>
      <c r="J2" s="23" t="s">
        <v>70</v>
      </c>
      <c r="K2" s="23" t="s">
        <v>128</v>
      </c>
      <c r="L2" s="23" t="s">
        <v>70</v>
      </c>
      <c r="M2" s="23" t="s">
        <v>133</v>
      </c>
      <c r="N2" s="23" t="s">
        <v>81</v>
      </c>
      <c r="O2" s="23" t="s">
        <v>82</v>
      </c>
      <c r="P2" s="25"/>
      <c r="Q2" s="34" t="s">
        <v>10</v>
      </c>
      <c r="R2" s="34" t="s">
        <v>12</v>
      </c>
      <c r="S2" s="34" t="s">
        <v>17</v>
      </c>
      <c r="T2" s="34" t="s">
        <v>13</v>
      </c>
      <c r="U2" s="34" t="s">
        <v>58</v>
      </c>
      <c r="W2" s="41">
        <v>27.53</v>
      </c>
      <c r="X2" s="16">
        <v>5</v>
      </c>
      <c r="Y2" s="12">
        <v>1.71</v>
      </c>
      <c r="Z2" s="13">
        <v>2.57</v>
      </c>
      <c r="AA2" s="14">
        <v>4</v>
      </c>
      <c r="AB2" s="14">
        <v>6</v>
      </c>
      <c r="AC2" s="14">
        <v>8.58</v>
      </c>
    </row>
    <row r="3" spans="1:39" x14ac:dyDescent="0.25">
      <c r="A3" s="2" t="s">
        <v>5</v>
      </c>
      <c r="C3" s="2" t="s">
        <v>67</v>
      </c>
      <c r="D3" s="44">
        <v>1</v>
      </c>
      <c r="E3" s="2" t="s">
        <v>71</v>
      </c>
      <c r="F3" s="2">
        <v>3</v>
      </c>
      <c r="G3" s="45" t="s">
        <v>73</v>
      </c>
      <c r="H3" s="44">
        <v>5</v>
      </c>
      <c r="I3" s="2" t="s">
        <v>124</v>
      </c>
      <c r="J3" s="2">
        <v>1</v>
      </c>
      <c r="K3" s="47" t="s">
        <v>131</v>
      </c>
      <c r="L3" s="2">
        <v>1</v>
      </c>
      <c r="M3" s="31">
        <v>0.4</v>
      </c>
      <c r="N3" s="2" t="s">
        <v>73</v>
      </c>
      <c r="O3" s="2" t="s">
        <v>74</v>
      </c>
      <c r="P3" s="26"/>
      <c r="Q3" s="2">
        <v>1</v>
      </c>
      <c r="R3" s="2">
        <v>1</v>
      </c>
      <c r="S3" s="24" t="s">
        <v>23</v>
      </c>
      <c r="T3" s="17">
        <f>$Y$6</f>
        <v>0.56999999999999995</v>
      </c>
      <c r="U3" s="17" t="s">
        <v>50</v>
      </c>
      <c r="W3" s="41">
        <v>20.869999999999997</v>
      </c>
      <c r="X3" s="16">
        <v>4</v>
      </c>
      <c r="Y3" s="12">
        <v>1.43</v>
      </c>
      <c r="Z3" s="12">
        <v>2.29</v>
      </c>
      <c r="AA3" s="13">
        <v>3.71</v>
      </c>
      <c r="AB3" s="14">
        <v>5.71</v>
      </c>
      <c r="AC3" s="14">
        <v>8.2899999999999991</v>
      </c>
    </row>
    <row r="4" spans="1:39" x14ac:dyDescent="0.25">
      <c r="A4" s="2" t="s">
        <v>6</v>
      </c>
      <c r="C4" s="2" t="s">
        <v>68</v>
      </c>
      <c r="D4" s="44">
        <v>5</v>
      </c>
      <c r="E4" s="2" t="s">
        <v>121</v>
      </c>
      <c r="F4" s="2">
        <v>5</v>
      </c>
      <c r="G4" s="45" t="s">
        <v>74</v>
      </c>
      <c r="H4" s="44">
        <v>10</v>
      </c>
      <c r="I4" s="2" t="s">
        <v>125</v>
      </c>
      <c r="J4" s="2">
        <v>5</v>
      </c>
      <c r="K4" s="47" t="s">
        <v>129</v>
      </c>
      <c r="L4" s="2">
        <v>5</v>
      </c>
      <c r="M4" s="23" t="s">
        <v>148</v>
      </c>
      <c r="N4" s="2" t="s">
        <v>73</v>
      </c>
      <c r="O4" s="2" t="s">
        <v>74</v>
      </c>
      <c r="P4" s="26"/>
      <c r="Q4" s="2">
        <v>1</v>
      </c>
      <c r="R4" s="2">
        <v>2</v>
      </c>
      <c r="S4" s="24" t="s">
        <v>24</v>
      </c>
      <c r="T4" s="17">
        <f>$Z$6</f>
        <v>1.43</v>
      </c>
      <c r="U4" s="17" t="s">
        <v>50</v>
      </c>
      <c r="W4" s="41">
        <v>18.979999999999997</v>
      </c>
      <c r="X4" s="16">
        <v>3</v>
      </c>
      <c r="Y4" s="15">
        <v>1.1399999999999999</v>
      </c>
      <c r="Z4" s="12">
        <v>2</v>
      </c>
      <c r="AA4" s="13">
        <v>3.43</v>
      </c>
      <c r="AB4" s="14">
        <v>5.43</v>
      </c>
      <c r="AC4" s="14">
        <v>8</v>
      </c>
      <c r="AE4" s="22">
        <f>SUM(Y2:AC6)</f>
        <v>99.999999999999972</v>
      </c>
      <c r="AF4" s="37"/>
      <c r="AG4" s="37"/>
      <c r="AH4" s="37"/>
      <c r="AI4" s="37"/>
      <c r="AJ4" s="37"/>
      <c r="AK4" s="37"/>
    </row>
    <row r="5" spans="1:39" x14ac:dyDescent="0.25">
      <c r="A5" s="2" t="s">
        <v>7</v>
      </c>
      <c r="C5" s="2" t="s">
        <v>69</v>
      </c>
      <c r="D5" s="44">
        <v>10</v>
      </c>
      <c r="E5" s="2" t="s">
        <v>222</v>
      </c>
      <c r="F5" s="2">
        <v>5</v>
      </c>
      <c r="G5" s="45" t="s">
        <v>75</v>
      </c>
      <c r="H5" s="44" t="s">
        <v>75</v>
      </c>
      <c r="I5" s="2" t="s">
        <v>126</v>
      </c>
      <c r="J5" s="2">
        <v>10</v>
      </c>
      <c r="K5" s="47" t="s">
        <v>130</v>
      </c>
      <c r="L5" s="2">
        <v>10</v>
      </c>
      <c r="M5" s="31">
        <v>0.6</v>
      </c>
      <c r="N5" s="2" t="s">
        <v>74</v>
      </c>
      <c r="O5" s="2" t="s">
        <v>73</v>
      </c>
      <c r="P5" s="26"/>
      <c r="Q5" s="2">
        <v>1</v>
      </c>
      <c r="R5" s="2">
        <v>3</v>
      </c>
      <c r="S5" s="24" t="s">
        <v>25</v>
      </c>
      <c r="T5" s="17">
        <f>$AA$6</f>
        <v>2.86</v>
      </c>
      <c r="U5" s="17" t="s">
        <v>59</v>
      </c>
      <c r="W5" s="41">
        <v>17.100000000000001</v>
      </c>
      <c r="X5" s="16">
        <v>2</v>
      </c>
      <c r="Y5" s="15">
        <v>0.86</v>
      </c>
      <c r="Z5" s="15">
        <v>1.71</v>
      </c>
      <c r="AA5" s="12">
        <v>3.14</v>
      </c>
      <c r="AB5" s="13">
        <v>5.14</v>
      </c>
      <c r="AC5" s="14">
        <v>7.71</v>
      </c>
    </row>
    <row r="6" spans="1:39" x14ac:dyDescent="0.25">
      <c r="A6" s="2" t="s">
        <v>94</v>
      </c>
      <c r="E6" s="2" t="s">
        <v>72</v>
      </c>
      <c r="F6" s="2">
        <v>10</v>
      </c>
      <c r="I6" s="2" t="s">
        <v>127</v>
      </c>
      <c r="J6" s="2">
        <v>10</v>
      </c>
      <c r="M6" s="26"/>
      <c r="Q6" s="2">
        <v>1</v>
      </c>
      <c r="R6" s="2">
        <v>4</v>
      </c>
      <c r="S6" s="24" t="s">
        <v>26</v>
      </c>
      <c r="T6" s="17">
        <f>$AB$6</f>
        <v>4.8600000000000003</v>
      </c>
      <c r="U6" s="17" t="s">
        <v>51</v>
      </c>
      <c r="W6" s="41">
        <v>15.510000000000002</v>
      </c>
      <c r="X6" s="16">
        <v>1</v>
      </c>
      <c r="Y6" s="15">
        <v>0.56999999999999995</v>
      </c>
      <c r="Z6" s="15">
        <v>1.43</v>
      </c>
      <c r="AA6" s="12">
        <v>2.86</v>
      </c>
      <c r="AB6" s="13">
        <v>4.8600000000000003</v>
      </c>
      <c r="AC6" s="14">
        <v>7.43</v>
      </c>
    </row>
    <row r="7" spans="1:39" x14ac:dyDescent="0.25">
      <c r="A7" s="2" t="s">
        <v>95</v>
      </c>
      <c r="Q7" s="2">
        <v>1</v>
      </c>
      <c r="R7" s="2">
        <v>5</v>
      </c>
      <c r="S7" s="24" t="s">
        <v>27</v>
      </c>
      <c r="T7" s="17">
        <f>$AC$6</f>
        <v>7.43</v>
      </c>
      <c r="U7" s="17" t="s">
        <v>60</v>
      </c>
      <c r="X7" s="1"/>
      <c r="Y7" s="16">
        <v>1</v>
      </c>
      <c r="Z7" s="16">
        <v>2</v>
      </c>
      <c r="AA7" s="16">
        <v>3</v>
      </c>
      <c r="AB7" s="16">
        <v>4</v>
      </c>
      <c r="AC7" s="16">
        <v>5</v>
      </c>
    </row>
    <row r="8" spans="1:39" x14ac:dyDescent="0.25">
      <c r="Q8" s="2">
        <v>2</v>
      </c>
      <c r="R8" s="2">
        <v>1</v>
      </c>
      <c r="S8" s="24" t="s">
        <v>28</v>
      </c>
      <c r="T8" s="17">
        <f>$Y$5</f>
        <v>0.86</v>
      </c>
      <c r="U8" s="17" t="s">
        <v>50</v>
      </c>
      <c r="W8" s="35">
        <f>SUM(W2:W7)</f>
        <v>99.99</v>
      </c>
      <c r="Y8" s="3">
        <f>SUM(Y2:Y6)</f>
        <v>5.71</v>
      </c>
      <c r="Z8" s="3">
        <f t="shared" ref="Z8:AC8" si="0">SUM(Z2:Z6)</f>
        <v>10</v>
      </c>
      <c r="AA8" s="3">
        <f t="shared" si="0"/>
        <v>17.14</v>
      </c>
      <c r="AB8" s="3">
        <f t="shared" si="0"/>
        <v>27.14</v>
      </c>
      <c r="AC8" s="3">
        <f t="shared" si="0"/>
        <v>40.01</v>
      </c>
    </row>
    <row r="9" spans="1:39" x14ac:dyDescent="0.25">
      <c r="C9" s="29">
        <v>0.2</v>
      </c>
      <c r="E9" s="29">
        <v>0.4</v>
      </c>
      <c r="G9" s="29">
        <v>0.4</v>
      </c>
      <c r="H9" s="32"/>
      <c r="Q9" s="2">
        <v>2</v>
      </c>
      <c r="R9" s="2">
        <v>2</v>
      </c>
      <c r="S9" s="24" t="s">
        <v>29</v>
      </c>
      <c r="T9" s="17">
        <f>$Z$5</f>
        <v>1.71</v>
      </c>
      <c r="U9" s="17" t="s">
        <v>50</v>
      </c>
      <c r="AF9" s="1">
        <f t="array" ref="AF9">SUM(AF12:AF14*AD12:AD14)/SUM(AF12:AF14)</f>
        <v>4.1208728921638089</v>
      </c>
    </row>
    <row r="10" spans="1:39" x14ac:dyDescent="0.25">
      <c r="C10" s="23" t="s">
        <v>136</v>
      </c>
      <c r="D10" s="23" t="s">
        <v>70</v>
      </c>
      <c r="E10" s="23" t="s">
        <v>140</v>
      </c>
      <c r="F10" s="23" t="s">
        <v>70</v>
      </c>
      <c r="G10" s="23" t="s">
        <v>144</v>
      </c>
      <c r="H10" s="23" t="s">
        <v>70</v>
      </c>
      <c r="Q10" s="2">
        <v>2</v>
      </c>
      <c r="R10" s="2">
        <v>3</v>
      </c>
      <c r="S10" s="24" t="s">
        <v>30</v>
      </c>
      <c r="T10" s="17">
        <f>$AA$5</f>
        <v>3.14</v>
      </c>
      <c r="U10" s="17" t="s">
        <v>59</v>
      </c>
      <c r="AL10" s="16" t="s">
        <v>21</v>
      </c>
      <c r="AM10" s="16" t="s">
        <v>22</v>
      </c>
    </row>
    <row r="11" spans="1:39" x14ac:dyDescent="0.25">
      <c r="C11" s="2" t="s">
        <v>137</v>
      </c>
      <c r="D11" s="49">
        <v>0</v>
      </c>
      <c r="E11" s="2" t="s">
        <v>141</v>
      </c>
      <c r="F11" s="27">
        <v>0</v>
      </c>
      <c r="G11" s="28" t="s">
        <v>145</v>
      </c>
      <c r="H11" s="27">
        <v>0</v>
      </c>
      <c r="I11" s="25"/>
      <c r="Q11" s="2">
        <v>2</v>
      </c>
      <c r="R11" s="2">
        <v>4</v>
      </c>
      <c r="S11" s="24" t="s">
        <v>31</v>
      </c>
      <c r="T11" s="17">
        <f>$AB$5</f>
        <v>5.14</v>
      </c>
      <c r="U11" s="17" t="s">
        <v>51</v>
      </c>
    </row>
    <row r="12" spans="1:39" x14ac:dyDescent="0.25">
      <c r="C12" s="2" t="s">
        <v>138</v>
      </c>
      <c r="D12" s="49">
        <v>5</v>
      </c>
      <c r="E12" s="2" t="s">
        <v>142</v>
      </c>
      <c r="F12" s="2">
        <v>5</v>
      </c>
      <c r="G12" s="2" t="s">
        <v>146</v>
      </c>
      <c r="H12" s="2">
        <v>5</v>
      </c>
      <c r="I12" s="26"/>
      <c r="Q12" s="2">
        <v>2</v>
      </c>
      <c r="R12" s="2">
        <v>5</v>
      </c>
      <c r="S12" s="24" t="s">
        <v>32</v>
      </c>
      <c r="T12" s="17">
        <f>$AC$5</f>
        <v>7.71</v>
      </c>
      <c r="U12" s="17" t="s">
        <v>60</v>
      </c>
      <c r="Y12" s="36"/>
      <c r="Z12" s="23" t="s">
        <v>21</v>
      </c>
      <c r="AA12" s="23" t="s">
        <v>22</v>
      </c>
      <c r="AD12" s="2">
        <v>5</v>
      </c>
      <c r="AE12" s="2">
        <v>5</v>
      </c>
      <c r="AF12" s="2">
        <f>VLOOKUP(AD12, tabla_z, 2, 0)</f>
        <v>27.53</v>
      </c>
      <c r="AG12" s="2">
        <f>VLOOKUP(AD12, tabla_z, 3, 0)</f>
        <v>40.01</v>
      </c>
      <c r="AH12" s="2">
        <f>AD12*AF12</f>
        <v>137.65</v>
      </c>
      <c r="AI12" s="2">
        <f>AE12*AG12</f>
        <v>200.04999999999998</v>
      </c>
      <c r="AJ12" s="218">
        <f>SUM(AF12:AF14)</f>
        <v>70.570000000000007</v>
      </c>
      <c r="AK12" s="218">
        <f>SUM(AG12:AG14)</f>
        <v>85.72999999999999</v>
      </c>
      <c r="AL12" s="217">
        <f>SUM(AH12:AH14)/AJ12</f>
        <v>4.1208728921638089</v>
      </c>
      <c r="AM12" s="217">
        <f>SUM(AI12:AI14)/AK12</f>
        <v>4.7335821766009563</v>
      </c>
    </row>
    <row r="13" spans="1:39" x14ac:dyDescent="0.25">
      <c r="C13" s="2" t="s">
        <v>139</v>
      </c>
      <c r="D13" s="49">
        <v>10</v>
      </c>
      <c r="E13" s="2" t="s">
        <v>143</v>
      </c>
      <c r="F13" s="2">
        <v>10</v>
      </c>
      <c r="G13" s="2" t="s">
        <v>147</v>
      </c>
      <c r="H13" s="2">
        <v>10</v>
      </c>
      <c r="I13" s="26"/>
      <c r="Q13" s="2">
        <v>3</v>
      </c>
      <c r="R13" s="2">
        <v>1</v>
      </c>
      <c r="S13" s="24" t="s">
        <v>33</v>
      </c>
      <c r="T13" s="17">
        <f>$Y$4</f>
        <v>1.1399999999999999</v>
      </c>
      <c r="U13" s="17" t="s">
        <v>50</v>
      </c>
      <c r="Y13" s="2">
        <v>1</v>
      </c>
      <c r="Z13" s="17">
        <f>$W$6</f>
        <v>15.510000000000002</v>
      </c>
      <c r="AA13" s="17">
        <f>$Y$8</f>
        <v>5.71</v>
      </c>
      <c r="AD13" s="2">
        <v>5</v>
      </c>
      <c r="AE13" s="2">
        <v>5</v>
      </c>
      <c r="AF13" s="2">
        <f>VLOOKUP(AD13, tabla_z, 2, 0)</f>
        <v>27.53</v>
      </c>
      <c r="AG13" s="2">
        <f>VLOOKUP(AD13, tabla_z, 3, 0)</f>
        <v>40.01</v>
      </c>
      <c r="AH13" s="2">
        <f t="shared" ref="AH13:AH14" si="1">AD13*AF13</f>
        <v>137.65</v>
      </c>
      <c r="AI13" s="2">
        <f t="shared" ref="AI13:AI14" si="2">AE13*AG13</f>
        <v>200.04999999999998</v>
      </c>
      <c r="AJ13" s="218"/>
      <c r="AK13" s="218"/>
      <c r="AL13" s="217"/>
      <c r="AM13" s="217"/>
    </row>
    <row r="14" spans="1:39" x14ac:dyDescent="0.25">
      <c r="C14" s="26"/>
      <c r="D14" s="48"/>
      <c r="E14" s="26"/>
      <c r="F14" s="26"/>
      <c r="G14" s="26"/>
      <c r="H14" s="26"/>
      <c r="I14" s="26"/>
      <c r="Q14" s="2">
        <v>3</v>
      </c>
      <c r="R14" s="2">
        <v>2</v>
      </c>
      <c r="S14" s="24" t="s">
        <v>34</v>
      </c>
      <c r="T14" s="17">
        <f>$Z$4</f>
        <v>2</v>
      </c>
      <c r="U14" s="17" t="s">
        <v>59</v>
      </c>
      <c r="Y14" s="2">
        <v>2</v>
      </c>
      <c r="Z14" s="17">
        <f>$W$5</f>
        <v>17.100000000000001</v>
      </c>
      <c r="AA14" s="17">
        <f>$Z$8</f>
        <v>10</v>
      </c>
      <c r="AD14" s="2">
        <v>1</v>
      </c>
      <c r="AE14" s="2">
        <v>1</v>
      </c>
      <c r="AF14" s="2">
        <f>VLOOKUP(AD14, tabla_z, 2, 0)</f>
        <v>15.510000000000002</v>
      </c>
      <c r="AG14" s="2">
        <f>VLOOKUP(AD14, tabla_z, 3, 0)</f>
        <v>5.71</v>
      </c>
      <c r="AH14" s="2">
        <f t="shared" si="1"/>
        <v>15.510000000000002</v>
      </c>
      <c r="AI14" s="2">
        <f t="shared" si="2"/>
        <v>5.71</v>
      </c>
      <c r="AJ14" s="218"/>
      <c r="AK14" s="218"/>
      <c r="AL14" s="217"/>
      <c r="AM14" s="217"/>
    </row>
    <row r="15" spans="1:39" x14ac:dyDescent="0.25">
      <c r="C15" s="26"/>
      <c r="D15" s="26"/>
      <c r="E15" s="26"/>
      <c r="F15" s="26"/>
      <c r="G15" s="26"/>
      <c r="H15" s="26"/>
      <c r="I15" s="26"/>
      <c r="Q15" s="2">
        <v>3</v>
      </c>
      <c r="R15" s="2">
        <v>3</v>
      </c>
      <c r="S15" s="24" t="s">
        <v>35</v>
      </c>
      <c r="T15" s="17">
        <f>$AA$4</f>
        <v>3.43</v>
      </c>
      <c r="U15" s="17" t="s">
        <v>51</v>
      </c>
      <c r="Y15" s="2">
        <v>3</v>
      </c>
      <c r="Z15" s="17">
        <f>$W$4</f>
        <v>18.979999999999997</v>
      </c>
      <c r="AA15" s="17">
        <f>$AA$8</f>
        <v>17.14</v>
      </c>
      <c r="AD15" s="1"/>
      <c r="AE15" s="1"/>
      <c r="AF15" s="1"/>
      <c r="AG15" s="1"/>
      <c r="AH15" s="1"/>
      <c r="AI15" s="1"/>
      <c r="AJ15" s="1"/>
      <c r="AK15" s="1"/>
      <c r="AL15" s="1"/>
      <c r="AM15" s="1"/>
    </row>
    <row r="16" spans="1:39" x14ac:dyDescent="0.25">
      <c r="D16" s="26"/>
      <c r="E16" s="26"/>
      <c r="F16" s="26"/>
      <c r="G16" s="26"/>
      <c r="H16" s="26"/>
      <c r="I16" s="26"/>
      <c r="Q16" s="2">
        <v>3</v>
      </c>
      <c r="R16" s="2">
        <v>4</v>
      </c>
      <c r="S16" s="24" t="s">
        <v>36</v>
      </c>
      <c r="T16" s="17">
        <f>$AB$4</f>
        <v>5.43</v>
      </c>
      <c r="U16" s="17" t="s">
        <v>60</v>
      </c>
      <c r="Y16" s="2">
        <v>4</v>
      </c>
      <c r="Z16" s="17">
        <f>$W$3</f>
        <v>20.869999999999997</v>
      </c>
      <c r="AA16" s="17">
        <f>$AB$8</f>
        <v>27.14</v>
      </c>
      <c r="AD16" s="2">
        <v>5</v>
      </c>
      <c r="AE16" s="2">
        <v>5</v>
      </c>
      <c r="AF16" s="2">
        <f>VLOOKUP(AD16, tabla_z, 2, 0)</f>
        <v>27.53</v>
      </c>
      <c r="AG16" s="2">
        <f>VLOOKUP(AD16, tabla_z, 3, 0)</f>
        <v>40.01</v>
      </c>
      <c r="AH16" s="2">
        <f>AD16*AF16</f>
        <v>137.65</v>
      </c>
      <c r="AI16" s="2">
        <f>AE16*AG16</f>
        <v>200.04999999999998</v>
      </c>
      <c r="AJ16" s="218">
        <f>SUM(AF16:AF18)</f>
        <v>70.570000000000007</v>
      </c>
      <c r="AK16" s="218">
        <f>SUM(AG16:AG18)</f>
        <v>85.72999999999999</v>
      </c>
      <c r="AL16" s="217">
        <f>SUM(AH16:AH18)/AJ16</f>
        <v>4.1208728921638089</v>
      </c>
      <c r="AM16" s="217">
        <f>SUM(AI16:AI18)/AK16</f>
        <v>5</v>
      </c>
    </row>
    <row r="17" spans="1:39" x14ac:dyDescent="0.25">
      <c r="Q17" s="2">
        <v>3</v>
      </c>
      <c r="R17" s="2">
        <v>5</v>
      </c>
      <c r="S17" s="2" t="s">
        <v>37</v>
      </c>
      <c r="T17" s="17">
        <f>$AC$4</f>
        <v>8</v>
      </c>
      <c r="U17" s="17" t="s">
        <v>60</v>
      </c>
      <c r="Y17" s="2">
        <v>5</v>
      </c>
      <c r="Z17" s="17">
        <f>$W$2</f>
        <v>27.53</v>
      </c>
      <c r="AA17" s="17">
        <f>$AC$8</f>
        <v>40.01</v>
      </c>
      <c r="AD17" s="2">
        <v>5</v>
      </c>
      <c r="AE17" s="2">
        <v>5</v>
      </c>
      <c r="AF17" s="2">
        <f>VLOOKUP(AD17, tabla_z, 2, 0)</f>
        <v>27.53</v>
      </c>
      <c r="AG17" s="2">
        <f>VLOOKUP(AD17, tabla_z, 3, 0)</f>
        <v>40.01</v>
      </c>
      <c r="AH17" s="2">
        <f t="shared" ref="AH17:AH18" si="3">AD17*AF17</f>
        <v>137.65</v>
      </c>
      <c r="AI17" s="2">
        <f t="shared" ref="AI17:AI18" si="4">AE17*AG17</f>
        <v>200.04999999999998</v>
      </c>
      <c r="AJ17" s="218"/>
      <c r="AK17" s="218"/>
      <c r="AL17" s="217"/>
      <c r="AM17" s="217"/>
    </row>
    <row r="18" spans="1:39" x14ac:dyDescent="0.25">
      <c r="A18" s="34" t="s">
        <v>21</v>
      </c>
      <c r="B18" s="34" t="s">
        <v>22</v>
      </c>
      <c r="C18" s="34" t="s">
        <v>48</v>
      </c>
      <c r="D18" s="34" t="s">
        <v>21</v>
      </c>
      <c r="E18" s="34" t="s">
        <v>22</v>
      </c>
      <c r="G18" s="34" t="s">
        <v>85</v>
      </c>
      <c r="H18" s="34" t="s">
        <v>84</v>
      </c>
      <c r="Q18" s="2">
        <v>4</v>
      </c>
      <c r="R18" s="2">
        <v>1</v>
      </c>
      <c r="S18" s="2" t="s">
        <v>38</v>
      </c>
      <c r="T18" s="17">
        <f>$Y$3</f>
        <v>1.43</v>
      </c>
      <c r="U18" s="17" t="s">
        <v>59</v>
      </c>
      <c r="AD18" s="2">
        <v>1</v>
      </c>
      <c r="AE18" s="2">
        <v>5</v>
      </c>
      <c r="AF18" s="2">
        <f>VLOOKUP(AD18, tabla_z, 2, 0)</f>
        <v>15.510000000000002</v>
      </c>
      <c r="AG18" s="2">
        <f>VLOOKUP(AD18, tabla_z, 3, 0)</f>
        <v>5.71</v>
      </c>
      <c r="AH18" s="2">
        <f t="shared" si="3"/>
        <v>15.510000000000002</v>
      </c>
      <c r="AI18" s="2">
        <f t="shared" si="4"/>
        <v>28.55</v>
      </c>
      <c r="AJ18" s="218"/>
      <c r="AK18" s="218"/>
      <c r="AL18" s="217"/>
      <c r="AM18" s="217"/>
    </row>
    <row r="19" spans="1:39" x14ac:dyDescent="0.25">
      <c r="A19" s="2" t="s">
        <v>49</v>
      </c>
      <c r="B19" s="2" t="s">
        <v>53</v>
      </c>
      <c r="C19" s="2">
        <v>1</v>
      </c>
      <c r="D19" s="2" t="s">
        <v>49</v>
      </c>
      <c r="E19" s="2" t="s">
        <v>53</v>
      </c>
      <c r="G19" s="31">
        <v>0.4</v>
      </c>
      <c r="H19" s="2">
        <v>0</v>
      </c>
      <c r="Q19" s="2">
        <v>4</v>
      </c>
      <c r="R19" s="2">
        <v>2</v>
      </c>
      <c r="S19" s="2" t="s">
        <v>39</v>
      </c>
      <c r="T19" s="17">
        <f>$Z$3</f>
        <v>2.29</v>
      </c>
      <c r="U19" s="17" t="s">
        <v>59</v>
      </c>
    </row>
    <row r="20" spans="1:39" x14ac:dyDescent="0.25">
      <c r="A20" s="2" t="s">
        <v>50</v>
      </c>
      <c r="B20" s="2" t="s">
        <v>54</v>
      </c>
      <c r="C20" s="2">
        <v>2</v>
      </c>
      <c r="D20" s="2" t="s">
        <v>50</v>
      </c>
      <c r="E20" s="2" t="s">
        <v>54</v>
      </c>
      <c r="G20" s="31">
        <v>0.6</v>
      </c>
      <c r="H20" s="2">
        <v>1</v>
      </c>
      <c r="Q20" s="2">
        <v>4</v>
      </c>
      <c r="R20" s="2">
        <v>3</v>
      </c>
      <c r="S20" s="2" t="s">
        <v>40</v>
      </c>
      <c r="T20" s="17">
        <f>$AA$3</f>
        <v>3.71</v>
      </c>
      <c r="U20" s="17" t="s">
        <v>51</v>
      </c>
    </row>
    <row r="21" spans="1:39" x14ac:dyDescent="0.25">
      <c r="A21" s="2" t="s">
        <v>5</v>
      </c>
      <c r="B21" s="2" t="s">
        <v>55</v>
      </c>
      <c r="C21" s="2">
        <v>3</v>
      </c>
      <c r="D21" s="2" t="s">
        <v>5</v>
      </c>
      <c r="E21" s="2" t="s">
        <v>55</v>
      </c>
      <c r="G21" s="31">
        <v>0.8</v>
      </c>
      <c r="H21" s="2">
        <v>2</v>
      </c>
      <c r="Q21" s="2">
        <v>4</v>
      </c>
      <c r="R21" s="2">
        <v>4</v>
      </c>
      <c r="S21" s="2" t="s">
        <v>41</v>
      </c>
      <c r="T21" s="17">
        <f>$AB$3</f>
        <v>5.71</v>
      </c>
      <c r="U21" s="17" t="s">
        <v>60</v>
      </c>
    </row>
    <row r="22" spans="1:39" x14ac:dyDescent="0.25">
      <c r="A22" s="2" t="s">
        <v>51</v>
      </c>
      <c r="B22" s="2" t="s">
        <v>56</v>
      </c>
      <c r="C22" s="2">
        <v>4</v>
      </c>
      <c r="D22" s="2" t="s">
        <v>51</v>
      </c>
      <c r="E22" s="2" t="s">
        <v>56</v>
      </c>
      <c r="G22" s="31">
        <v>1</v>
      </c>
      <c r="H22" s="2">
        <v>3</v>
      </c>
      <c r="Q22" s="2">
        <v>4</v>
      </c>
      <c r="R22" s="2">
        <v>5</v>
      </c>
      <c r="S22" s="2" t="s">
        <v>42</v>
      </c>
      <c r="T22" s="17">
        <f>$AC$3</f>
        <v>8.2899999999999991</v>
      </c>
      <c r="U22" s="17" t="s">
        <v>60</v>
      </c>
    </row>
    <row r="23" spans="1:39" x14ac:dyDescent="0.25">
      <c r="A23" s="2" t="s">
        <v>52</v>
      </c>
      <c r="B23" s="2" t="s">
        <v>57</v>
      </c>
      <c r="C23" s="2">
        <v>5</v>
      </c>
      <c r="D23" s="2" t="s">
        <v>52</v>
      </c>
      <c r="E23" s="2" t="s">
        <v>57</v>
      </c>
      <c r="Q23" s="2">
        <v>5</v>
      </c>
      <c r="R23" s="2">
        <v>1</v>
      </c>
      <c r="S23" s="2" t="s">
        <v>43</v>
      </c>
      <c r="T23" s="17">
        <f>$Y$2</f>
        <v>1.71</v>
      </c>
      <c r="U23" s="17" t="s">
        <v>59</v>
      </c>
      <c r="Y23" s="1">
        <v>0.79</v>
      </c>
      <c r="Z23" s="1">
        <v>1.74</v>
      </c>
      <c r="AA23" s="1">
        <v>5.22</v>
      </c>
      <c r="AB23" s="1">
        <v>6.33</v>
      </c>
      <c r="AC23" s="1">
        <v>13.45</v>
      </c>
    </row>
    <row r="24" spans="1:39" x14ac:dyDescent="0.25">
      <c r="Q24" s="2">
        <v>5</v>
      </c>
      <c r="R24" s="2">
        <v>2</v>
      </c>
      <c r="S24" s="2" t="s">
        <v>44</v>
      </c>
      <c r="T24" s="17">
        <f>$Z$2</f>
        <v>2.57</v>
      </c>
      <c r="U24" s="17" t="s">
        <v>51</v>
      </c>
      <c r="Y24" s="1">
        <v>0.63</v>
      </c>
      <c r="Z24" s="1">
        <v>1.58</v>
      </c>
      <c r="AA24" s="1">
        <v>3.32</v>
      </c>
      <c r="AB24" s="1">
        <v>5.85</v>
      </c>
      <c r="AC24" s="1">
        <v>9.49</v>
      </c>
    </row>
    <row r="25" spans="1:39" x14ac:dyDescent="0.25">
      <c r="Q25" s="2">
        <v>5</v>
      </c>
      <c r="R25" s="2">
        <v>3</v>
      </c>
      <c r="S25" s="2" t="s">
        <v>45</v>
      </c>
      <c r="T25" s="17">
        <f>$AA$2</f>
        <v>4</v>
      </c>
      <c r="U25" s="17" t="s">
        <v>60</v>
      </c>
      <c r="Y25" s="1">
        <v>0.47</v>
      </c>
      <c r="Z25" s="1">
        <v>1.42</v>
      </c>
      <c r="AA25" s="1">
        <v>3.01</v>
      </c>
      <c r="AB25" s="1">
        <v>5.38</v>
      </c>
      <c r="AC25" s="1">
        <v>8.6999999999999993</v>
      </c>
    </row>
    <row r="26" spans="1:39" x14ac:dyDescent="0.25">
      <c r="Q26" s="2">
        <v>5</v>
      </c>
      <c r="R26" s="2">
        <v>4</v>
      </c>
      <c r="S26" s="2" t="s">
        <v>46</v>
      </c>
      <c r="T26" s="17">
        <f>$AB$2</f>
        <v>6</v>
      </c>
      <c r="U26" s="17" t="s">
        <v>60</v>
      </c>
      <c r="Y26" s="1">
        <v>0.32</v>
      </c>
      <c r="Z26" s="1">
        <v>1.27</v>
      </c>
      <c r="AA26" s="1">
        <v>2.69</v>
      </c>
      <c r="AB26" s="1">
        <v>4.91</v>
      </c>
      <c r="AC26" s="1">
        <v>7.91</v>
      </c>
    </row>
    <row r="27" spans="1:39" x14ac:dyDescent="0.25">
      <c r="Q27" s="2">
        <v>5</v>
      </c>
      <c r="R27" s="2">
        <v>5</v>
      </c>
      <c r="S27" s="2" t="s">
        <v>47</v>
      </c>
      <c r="T27" s="17">
        <f>$AC$2</f>
        <v>8.58</v>
      </c>
      <c r="U27" s="17" t="s">
        <v>60</v>
      </c>
      <c r="Y27" s="1">
        <v>0.16</v>
      </c>
      <c r="Z27" s="1">
        <v>1.1100000000000001</v>
      </c>
      <c r="AA27" s="1">
        <v>2.37</v>
      </c>
      <c r="AB27" s="1">
        <v>4.75</v>
      </c>
      <c r="AC27" s="1">
        <v>7.12</v>
      </c>
    </row>
    <row r="28" spans="1:39" x14ac:dyDescent="0.25">
      <c r="B28" s="34" t="s">
        <v>11</v>
      </c>
      <c r="C28" s="34" t="s">
        <v>48</v>
      </c>
    </row>
    <row r="29" spans="1:39" x14ac:dyDescent="0.25">
      <c r="B29" s="2" t="s">
        <v>49</v>
      </c>
      <c r="C29" s="2">
        <v>1</v>
      </c>
    </row>
    <row r="30" spans="1:39" x14ac:dyDescent="0.25">
      <c r="B30" s="2" t="s">
        <v>50</v>
      </c>
      <c r="C30" s="2">
        <v>2</v>
      </c>
      <c r="H30" s="1" t="s">
        <v>1</v>
      </c>
      <c r="I30" s="1" t="s">
        <v>11</v>
      </c>
      <c r="J30" t="s">
        <v>3</v>
      </c>
    </row>
    <row r="31" spans="1:39" x14ac:dyDescent="0.25">
      <c r="B31" s="2" t="s">
        <v>5</v>
      </c>
      <c r="C31" s="2">
        <v>3</v>
      </c>
      <c r="G31" s="216" t="s">
        <v>0</v>
      </c>
      <c r="H31" s="42" t="s">
        <v>99</v>
      </c>
    </row>
    <row r="32" spans="1:39" x14ac:dyDescent="0.25">
      <c r="B32" s="2" t="s">
        <v>51</v>
      </c>
      <c r="C32" s="2">
        <v>4</v>
      </c>
      <c r="G32" s="216"/>
      <c r="H32" s="42" t="s">
        <v>100</v>
      </c>
    </row>
    <row r="33" spans="2:8" x14ac:dyDescent="0.25">
      <c r="B33" s="2" t="s">
        <v>52</v>
      </c>
      <c r="C33" s="2">
        <v>5</v>
      </c>
      <c r="G33" s="216"/>
      <c r="H33" s="42" t="s">
        <v>101</v>
      </c>
    </row>
    <row r="34" spans="2:8" x14ac:dyDescent="0.25">
      <c r="G34" s="216"/>
      <c r="H34" s="42" t="s">
        <v>106</v>
      </c>
    </row>
    <row r="35" spans="2:8" x14ac:dyDescent="0.25">
      <c r="G35" s="216"/>
      <c r="H35" s="42" t="s">
        <v>107</v>
      </c>
    </row>
    <row r="37" spans="2:8" x14ac:dyDescent="0.25">
      <c r="B37" s="34" t="s">
        <v>3</v>
      </c>
      <c r="C37" s="34" t="s">
        <v>48</v>
      </c>
    </row>
    <row r="38" spans="2:8" x14ac:dyDescent="0.25">
      <c r="B38" s="2" t="s">
        <v>53</v>
      </c>
      <c r="C38" s="2">
        <v>1</v>
      </c>
    </row>
    <row r="39" spans="2:8" x14ac:dyDescent="0.25">
      <c r="B39" s="2" t="s">
        <v>54</v>
      </c>
      <c r="C39" s="2">
        <v>2</v>
      </c>
    </row>
    <row r="40" spans="2:8" x14ac:dyDescent="0.25">
      <c r="B40" s="2" t="s">
        <v>55</v>
      </c>
      <c r="C40" s="2">
        <v>3</v>
      </c>
    </row>
    <row r="41" spans="2:8" x14ac:dyDescent="0.25">
      <c r="B41" s="2" t="s">
        <v>56</v>
      </c>
      <c r="C41" s="2">
        <v>4</v>
      </c>
    </row>
    <row r="42" spans="2:8" x14ac:dyDescent="0.25">
      <c r="B42" s="2" t="s">
        <v>57</v>
      </c>
      <c r="C42" s="2">
        <v>5</v>
      </c>
    </row>
    <row r="43" spans="2:8" x14ac:dyDescent="0.25">
      <c r="G43" s="43" t="s">
        <v>102</v>
      </c>
    </row>
    <row r="44" spans="2:8" x14ac:dyDescent="0.25">
      <c r="G44" s="43" t="s">
        <v>103</v>
      </c>
    </row>
    <row r="45" spans="2:8" x14ac:dyDescent="0.25">
      <c r="G45" s="43" t="s">
        <v>104</v>
      </c>
    </row>
    <row r="46" spans="2:8" x14ac:dyDescent="0.25">
      <c r="G46" s="43" t="s">
        <v>105</v>
      </c>
    </row>
  </sheetData>
  <mergeCells count="9">
    <mergeCell ref="G31:G35"/>
    <mergeCell ref="AL12:AL14"/>
    <mergeCell ref="AL16:AL18"/>
    <mergeCell ref="AM12:AM14"/>
    <mergeCell ref="AM16:AM18"/>
    <mergeCell ref="AJ12:AJ14"/>
    <mergeCell ref="AK12:AK14"/>
    <mergeCell ref="AJ16:AJ18"/>
    <mergeCell ref="AK16:AK18"/>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3"/>
  <dimension ref="A2:AD35"/>
  <sheetViews>
    <sheetView zoomScale="85" zoomScaleNormal="85" workbookViewId="0">
      <selection activeCell="V4" sqref="V4"/>
    </sheetView>
  </sheetViews>
  <sheetFormatPr baseColWidth="10" defaultRowHeight="15" x14ac:dyDescent="0.25"/>
  <cols>
    <col min="1" max="1" width="4.7109375" style="1" customWidth="1"/>
    <col min="2" max="4" width="5" bestFit="1" customWidth="1"/>
    <col min="5" max="5" width="4.7109375" customWidth="1"/>
    <col min="6" max="6" width="6" bestFit="1" customWidth="1"/>
    <col min="10" max="10" width="13.28515625" customWidth="1"/>
    <col min="11" max="11" width="13.42578125" customWidth="1"/>
    <col min="13" max="13" width="7.42578125" style="1" customWidth="1"/>
    <col min="14" max="15" width="8.140625" style="1" customWidth="1"/>
    <col min="16" max="16" width="7.42578125" style="1" bestFit="1" customWidth="1"/>
    <col min="18" max="18" width="8.42578125" style="1" customWidth="1"/>
    <col min="19" max="19" width="7.42578125" customWidth="1"/>
    <col min="20" max="20" width="6.7109375" customWidth="1"/>
    <col min="21" max="21" width="8.85546875" customWidth="1"/>
    <col min="25" max="30" width="7.28515625" customWidth="1"/>
  </cols>
  <sheetData>
    <row r="2" spans="1:30" x14ac:dyDescent="0.25">
      <c r="J2" s="1">
        <v>5</v>
      </c>
      <c r="K2" s="1">
        <v>5</v>
      </c>
    </row>
    <row r="3" spans="1:30" x14ac:dyDescent="0.25">
      <c r="A3" s="1">
        <v>5</v>
      </c>
      <c r="B3" s="8">
        <v>0.79</v>
      </c>
      <c r="C3" s="9">
        <v>1.74</v>
      </c>
      <c r="D3" s="10">
        <v>5.22</v>
      </c>
      <c r="E3" s="10">
        <v>6.33</v>
      </c>
      <c r="F3" s="10">
        <v>13.45</v>
      </c>
    </row>
    <row r="4" spans="1:30" x14ac:dyDescent="0.25">
      <c r="A4" s="1">
        <v>4</v>
      </c>
      <c r="B4" s="8">
        <v>0.63</v>
      </c>
      <c r="C4" s="8">
        <v>1.58</v>
      </c>
      <c r="D4" s="9">
        <v>3.32</v>
      </c>
      <c r="E4" s="10">
        <v>5.85</v>
      </c>
      <c r="F4" s="10">
        <v>9.49</v>
      </c>
      <c r="Y4" s="1">
        <v>5</v>
      </c>
      <c r="Z4" s="8">
        <v>0.79</v>
      </c>
      <c r="AA4" s="9">
        <v>1.74</v>
      </c>
      <c r="AB4" s="10">
        <v>5.22</v>
      </c>
      <c r="AC4" s="10">
        <v>6.33</v>
      </c>
      <c r="AD4" s="10">
        <v>13.45</v>
      </c>
    </row>
    <row r="5" spans="1:30" x14ac:dyDescent="0.25">
      <c r="A5" s="1">
        <v>3</v>
      </c>
      <c r="B5" s="11">
        <v>0.47</v>
      </c>
      <c r="C5" s="8">
        <v>1.42</v>
      </c>
      <c r="D5" s="9">
        <v>3.01</v>
      </c>
      <c r="E5" s="10">
        <v>5.38</v>
      </c>
      <c r="F5" s="10">
        <v>8.6999999999999993</v>
      </c>
      <c r="Y5" s="1">
        <v>4</v>
      </c>
      <c r="Z5" s="8">
        <v>0.63</v>
      </c>
      <c r="AA5" s="8">
        <v>1.58</v>
      </c>
      <c r="AB5" s="9">
        <v>3.32</v>
      </c>
      <c r="AC5" s="10">
        <v>5.85</v>
      </c>
      <c r="AD5" s="10">
        <v>9.49</v>
      </c>
    </row>
    <row r="6" spans="1:30" x14ac:dyDescent="0.25">
      <c r="A6" s="1">
        <v>2</v>
      </c>
      <c r="B6" s="11">
        <v>0.32</v>
      </c>
      <c r="C6" s="11">
        <v>1.27</v>
      </c>
      <c r="D6" s="8">
        <v>2.69</v>
      </c>
      <c r="E6" s="9">
        <v>4.91</v>
      </c>
      <c r="F6" s="10">
        <v>7.91</v>
      </c>
      <c r="Y6" s="1">
        <v>3</v>
      </c>
      <c r="Z6" s="11">
        <v>0.47</v>
      </c>
      <c r="AA6" s="8">
        <v>1.42</v>
      </c>
      <c r="AB6" s="9">
        <v>3.01</v>
      </c>
      <c r="AC6" s="10">
        <v>5.38</v>
      </c>
      <c r="AD6" s="10">
        <v>8.6999999999999993</v>
      </c>
    </row>
    <row r="7" spans="1:30" x14ac:dyDescent="0.25">
      <c r="A7" s="1">
        <v>1</v>
      </c>
      <c r="B7" s="11">
        <v>0.16</v>
      </c>
      <c r="C7" s="11">
        <v>1.1100000000000001</v>
      </c>
      <c r="D7" s="8">
        <v>2.37</v>
      </c>
      <c r="E7" s="9">
        <v>4.75</v>
      </c>
      <c r="F7" s="10">
        <v>7.12</v>
      </c>
      <c r="J7" s="16" t="s">
        <v>11</v>
      </c>
      <c r="K7" s="16" t="s">
        <v>3</v>
      </c>
      <c r="Y7" s="1">
        <v>2</v>
      </c>
      <c r="Z7" s="11">
        <v>0.32</v>
      </c>
      <c r="AA7" s="11">
        <v>1.27</v>
      </c>
      <c r="AB7" s="8">
        <v>2.69</v>
      </c>
      <c r="AC7" s="9">
        <v>4.91</v>
      </c>
      <c r="AD7" s="10">
        <v>7.91</v>
      </c>
    </row>
    <row r="8" spans="1:30" x14ac:dyDescent="0.25">
      <c r="B8" s="1">
        <v>1</v>
      </c>
      <c r="C8" s="1">
        <v>2</v>
      </c>
      <c r="D8" s="1">
        <v>3</v>
      </c>
      <c r="E8" s="1">
        <v>4</v>
      </c>
      <c r="F8" s="1">
        <v>5</v>
      </c>
      <c r="Y8" s="1">
        <v>1</v>
      </c>
      <c r="Z8" s="11">
        <v>0.16</v>
      </c>
      <c r="AA8" s="11">
        <v>1.1100000000000001</v>
      </c>
      <c r="AB8" s="8">
        <v>2.37</v>
      </c>
      <c r="AC8" s="9">
        <v>4.75</v>
      </c>
      <c r="AD8" s="10">
        <v>7.12</v>
      </c>
    </row>
    <row r="9" spans="1:30" x14ac:dyDescent="0.25">
      <c r="J9" s="18">
        <f>ROUND(SUM(J11:J15), 0)</f>
        <v>4</v>
      </c>
      <c r="K9" s="18">
        <f>ROUND(SUM(K11:K15), 0)</f>
        <v>5</v>
      </c>
      <c r="V9" s="3">
        <f>SUMPRODUCT(S11:S13,U11:U13)/SUM(U11:U13)</f>
        <v>4.1628453850676079</v>
      </c>
      <c r="Y9" s="1"/>
      <c r="Z9" s="1">
        <v>1</v>
      </c>
      <c r="AA9" s="1">
        <v>2</v>
      </c>
      <c r="AB9" s="1">
        <v>3</v>
      </c>
      <c r="AC9" s="1">
        <v>4</v>
      </c>
      <c r="AD9" s="1">
        <v>5</v>
      </c>
    </row>
    <row r="10" spans="1:30" x14ac:dyDescent="0.25">
      <c r="M10" s="16" t="s">
        <v>10</v>
      </c>
      <c r="N10" s="16" t="s">
        <v>12</v>
      </c>
      <c r="O10" s="16" t="s">
        <v>17</v>
      </c>
      <c r="P10" s="16" t="s">
        <v>13</v>
      </c>
      <c r="S10" s="21" t="s">
        <v>21</v>
      </c>
      <c r="T10" s="21" t="s">
        <v>22</v>
      </c>
    </row>
    <row r="11" spans="1:30" x14ac:dyDescent="0.25">
      <c r="A11" s="1">
        <v>5</v>
      </c>
      <c r="B11" s="4"/>
      <c r="C11" s="5"/>
      <c r="D11" s="6"/>
      <c r="E11" s="6"/>
      <c r="F11" s="6">
        <v>2</v>
      </c>
      <c r="H11" s="1">
        <f>SUMPRODUCT(B3:F7,B11:F15)</f>
        <v>34.019999999999996</v>
      </c>
      <c r="J11" s="17">
        <f>(SUM(B19:F19)/$H$11)*A11</f>
        <v>3.9535567313345092</v>
      </c>
      <c r="K11" s="17">
        <f>(SUM(B19:B23)/$H$11)*B24</f>
        <v>0</v>
      </c>
      <c r="M11" s="1">
        <v>1</v>
      </c>
      <c r="N11" s="1">
        <v>1</v>
      </c>
      <c r="O11" s="1" t="str">
        <f>CONCATENATE(M11, "-",N11)</f>
        <v>1-1</v>
      </c>
      <c r="P11" s="19">
        <v>0.16</v>
      </c>
      <c r="R11" s="1" t="s">
        <v>14</v>
      </c>
      <c r="S11" s="1">
        <v>5</v>
      </c>
      <c r="T11" s="1">
        <v>5</v>
      </c>
      <c r="U11" s="1">
        <f>VLOOKUP(CONCATENATE(S11, "-", T11), $O$11:$P$35, 2, 0)</f>
        <v>13.45</v>
      </c>
      <c r="V11" s="3">
        <f>(U11/$U$18)*S11</f>
        <v>1.9767783656672546</v>
      </c>
      <c r="W11" s="3">
        <f>(U11/$U$18)*T11</f>
        <v>1.9767783656672546</v>
      </c>
    </row>
    <row r="12" spans="1:30" x14ac:dyDescent="0.25">
      <c r="A12" s="1">
        <v>4</v>
      </c>
      <c r="B12" s="4"/>
      <c r="C12" s="4"/>
      <c r="D12" s="5"/>
      <c r="E12" s="6"/>
      <c r="F12" s="6"/>
      <c r="J12" s="17">
        <f>(SUM(B20:F20)/$H$11)*A12</f>
        <v>0</v>
      </c>
      <c r="K12" s="17">
        <f>(SUM(C19:C23)/$H$11)*C24</f>
        <v>0</v>
      </c>
      <c r="M12" s="1">
        <v>1</v>
      </c>
      <c r="N12" s="1">
        <v>2</v>
      </c>
      <c r="O12" s="1" t="str">
        <f t="shared" ref="O12:O35" si="0">CONCATENATE(M12, "-",N12)</f>
        <v>1-2</v>
      </c>
      <c r="P12" s="19">
        <v>1.1100000000000001</v>
      </c>
      <c r="R12" s="1" t="s">
        <v>15</v>
      </c>
      <c r="S12" s="1">
        <v>5</v>
      </c>
      <c r="T12" s="1">
        <v>5</v>
      </c>
      <c r="U12" s="1">
        <f t="shared" ref="U12" si="1">VLOOKUP(CONCATENATE(S12, "-", T12), $O$11:$P$35, 2, 0)</f>
        <v>13.45</v>
      </c>
      <c r="V12" s="3">
        <f>(U12/$U$18)*S12</f>
        <v>1.9767783656672546</v>
      </c>
      <c r="W12" s="3">
        <f>(U12/$U$18)*T12</f>
        <v>1.9767783656672546</v>
      </c>
    </row>
    <row r="13" spans="1:30" x14ac:dyDescent="0.25">
      <c r="A13" s="1">
        <v>3</v>
      </c>
      <c r="B13" s="7"/>
      <c r="C13" s="4"/>
      <c r="D13" s="5"/>
      <c r="E13" s="6"/>
      <c r="F13" s="6"/>
      <c r="J13" s="17">
        <f t="shared" ref="J13:J14" si="2">(SUM(B21:F21)/$H$11)*A13</f>
        <v>0</v>
      </c>
      <c r="K13" s="17">
        <f>(SUM(D19:D23)/$H$11)*D24</f>
        <v>0</v>
      </c>
      <c r="M13" s="1">
        <v>1</v>
      </c>
      <c r="N13" s="1">
        <v>3</v>
      </c>
      <c r="O13" s="1" t="str">
        <f t="shared" si="0"/>
        <v>1-3</v>
      </c>
      <c r="P13" s="19">
        <v>2.37</v>
      </c>
      <c r="R13" s="1" t="s">
        <v>16</v>
      </c>
      <c r="S13" s="1">
        <v>1</v>
      </c>
      <c r="T13" s="1">
        <v>5</v>
      </c>
      <c r="U13" s="1">
        <f>VLOOKUP(CONCATENATE(S13, "-", T13), $O$11:$P$35, 2, 0)</f>
        <v>7.12</v>
      </c>
      <c r="V13" s="3">
        <f t="shared" ref="V13" si="3">(U13/$U$18)*S13</f>
        <v>0.20928865373309821</v>
      </c>
      <c r="W13" s="3">
        <f t="shared" ref="W13" si="4">(U13/$U$18)*T13</f>
        <v>1.046443268665491</v>
      </c>
      <c r="Y13" s="1">
        <v>5</v>
      </c>
      <c r="Z13" s="8">
        <v>2</v>
      </c>
      <c r="AA13" s="9">
        <v>2</v>
      </c>
      <c r="AB13" s="10">
        <v>8</v>
      </c>
      <c r="AC13" s="10">
        <v>11</v>
      </c>
      <c r="AD13" s="10">
        <v>20</v>
      </c>
    </row>
    <row r="14" spans="1:30" x14ac:dyDescent="0.25">
      <c r="A14" s="1">
        <v>2</v>
      </c>
      <c r="B14" s="7"/>
      <c r="C14" s="7"/>
      <c r="D14" s="4"/>
      <c r="E14" s="5"/>
      <c r="F14" s="6"/>
      <c r="J14" s="17">
        <f t="shared" si="2"/>
        <v>0</v>
      </c>
      <c r="K14" s="17">
        <f>(SUM(E19:E23)/$H$11)*E24</f>
        <v>0</v>
      </c>
      <c r="M14" s="1">
        <v>1</v>
      </c>
      <c r="N14" s="1">
        <v>4</v>
      </c>
      <c r="O14" s="1" t="str">
        <f t="shared" si="0"/>
        <v>1-4</v>
      </c>
      <c r="P14" s="19">
        <v>4.75</v>
      </c>
      <c r="R14" s="1" t="s">
        <v>18</v>
      </c>
      <c r="S14" s="1"/>
      <c r="T14" s="1"/>
      <c r="U14" s="1"/>
      <c r="V14" s="3"/>
      <c r="W14" s="3"/>
      <c r="Y14" s="1">
        <v>4</v>
      </c>
      <c r="Z14" s="8">
        <v>1</v>
      </c>
      <c r="AA14" s="8">
        <v>1.5</v>
      </c>
      <c r="AB14" s="9">
        <v>3</v>
      </c>
      <c r="AC14" s="10">
        <v>8</v>
      </c>
      <c r="AD14" s="10">
        <v>11</v>
      </c>
    </row>
    <row r="15" spans="1:30" x14ac:dyDescent="0.25">
      <c r="A15" s="1">
        <v>1</v>
      </c>
      <c r="B15" s="7"/>
      <c r="C15" s="7"/>
      <c r="D15" s="4"/>
      <c r="E15" s="5"/>
      <c r="F15" s="6">
        <v>1</v>
      </c>
      <c r="J15" s="17">
        <f>(SUM(B23:F23)/$H$11)*A15</f>
        <v>0.20928865373309821</v>
      </c>
      <c r="K15" s="17">
        <f>(SUM(F19:F23)/$H$11)*F24</f>
        <v>5</v>
      </c>
      <c r="M15" s="1">
        <v>1</v>
      </c>
      <c r="N15" s="1">
        <v>5</v>
      </c>
      <c r="O15" s="1" t="str">
        <f t="shared" si="0"/>
        <v>1-5</v>
      </c>
      <c r="P15" s="19">
        <v>7.12</v>
      </c>
      <c r="R15" s="1" t="s">
        <v>19</v>
      </c>
      <c r="S15" s="1"/>
      <c r="T15" s="1"/>
      <c r="U15" s="1"/>
      <c r="V15" s="3"/>
      <c r="W15" s="3"/>
      <c r="Y15" s="1">
        <v>3</v>
      </c>
      <c r="Z15" s="11">
        <v>0.5</v>
      </c>
      <c r="AA15" s="8">
        <v>1.5</v>
      </c>
      <c r="AB15" s="9">
        <v>2</v>
      </c>
      <c r="AC15" s="10">
        <v>5</v>
      </c>
      <c r="AD15" s="10">
        <v>8</v>
      </c>
    </row>
    <row r="16" spans="1:30" x14ac:dyDescent="0.25">
      <c r="B16" s="1">
        <v>1</v>
      </c>
      <c r="C16" s="1">
        <v>2</v>
      </c>
      <c r="D16" s="1">
        <v>3</v>
      </c>
      <c r="E16" s="1">
        <v>4</v>
      </c>
      <c r="F16" s="1">
        <v>5</v>
      </c>
      <c r="M16" s="1">
        <v>2</v>
      </c>
      <c r="N16" s="1">
        <v>1</v>
      </c>
      <c r="O16" s="1" t="str">
        <f t="shared" si="0"/>
        <v>2-1</v>
      </c>
      <c r="P16" s="19">
        <v>0.32</v>
      </c>
      <c r="R16" s="1" t="s">
        <v>20</v>
      </c>
      <c r="S16" s="1"/>
      <c r="T16" s="1"/>
      <c r="U16" s="1"/>
      <c r="V16" s="3"/>
      <c r="W16" s="3"/>
      <c r="Y16" s="1">
        <v>2</v>
      </c>
      <c r="Z16" s="11">
        <v>0.5</v>
      </c>
      <c r="AA16" s="11">
        <v>0.5</v>
      </c>
      <c r="AB16" s="8">
        <v>1</v>
      </c>
      <c r="AC16" s="9">
        <v>3</v>
      </c>
      <c r="AD16" s="10">
        <v>5</v>
      </c>
    </row>
    <row r="17" spans="1:30" x14ac:dyDescent="0.25">
      <c r="M17" s="1">
        <v>2</v>
      </c>
      <c r="N17" s="1">
        <v>2</v>
      </c>
      <c r="O17" s="1" t="str">
        <f t="shared" si="0"/>
        <v>2-2</v>
      </c>
      <c r="P17" s="19">
        <v>1.27</v>
      </c>
      <c r="Y17" s="1">
        <v>1</v>
      </c>
      <c r="Z17" s="11">
        <v>0.5</v>
      </c>
      <c r="AA17" s="11">
        <v>0.5</v>
      </c>
      <c r="AB17" s="8">
        <v>1</v>
      </c>
      <c r="AC17" s="9">
        <v>1.5</v>
      </c>
      <c r="AD17" s="10">
        <v>2</v>
      </c>
    </row>
    <row r="18" spans="1:30" x14ac:dyDescent="0.25">
      <c r="M18" s="1">
        <v>2</v>
      </c>
      <c r="N18" s="1">
        <v>3</v>
      </c>
      <c r="O18" s="1" t="str">
        <f t="shared" si="0"/>
        <v>2-3</v>
      </c>
      <c r="P18" s="19">
        <v>2.69</v>
      </c>
      <c r="U18" s="1">
        <f>SUM(U11:U16)</f>
        <v>34.019999999999996</v>
      </c>
      <c r="V18" s="18">
        <f>ROUND(SUM(V11:V16), 0)</f>
        <v>4</v>
      </c>
      <c r="W18" s="18">
        <f>ROUND(SUM(W11:W16), 0)</f>
        <v>5</v>
      </c>
      <c r="Y18" s="1"/>
      <c r="Z18" s="1">
        <v>1</v>
      </c>
      <c r="AA18" s="1">
        <v>2</v>
      </c>
      <c r="AB18" s="1">
        <v>3</v>
      </c>
      <c r="AC18" s="1">
        <v>4</v>
      </c>
      <c r="AD18" s="1">
        <v>5</v>
      </c>
    </row>
    <row r="19" spans="1:30" x14ac:dyDescent="0.25">
      <c r="A19" s="1">
        <v>5</v>
      </c>
      <c r="B19" s="4">
        <f>B11*B3</f>
        <v>0</v>
      </c>
      <c r="C19" s="5">
        <f t="shared" ref="C19:F19" si="5">C11*C3</f>
        <v>0</v>
      </c>
      <c r="D19" s="6">
        <f t="shared" si="5"/>
        <v>0</v>
      </c>
      <c r="E19" s="6">
        <f>E11*E3</f>
        <v>0</v>
      </c>
      <c r="F19" s="6">
        <f t="shared" si="5"/>
        <v>26.9</v>
      </c>
      <c r="M19" s="1">
        <v>2</v>
      </c>
      <c r="N19" s="1">
        <v>4</v>
      </c>
      <c r="O19" s="1" t="str">
        <f t="shared" si="0"/>
        <v>2-4</v>
      </c>
      <c r="P19" s="19">
        <v>4.91</v>
      </c>
    </row>
    <row r="20" spans="1:30" x14ac:dyDescent="0.25">
      <c r="A20" s="1">
        <v>4</v>
      </c>
      <c r="B20" s="4">
        <f t="shared" ref="B20:F20" si="6">B12*B4</f>
        <v>0</v>
      </c>
      <c r="C20" s="4">
        <f t="shared" si="6"/>
        <v>0</v>
      </c>
      <c r="D20" s="5">
        <f t="shared" si="6"/>
        <v>0</v>
      </c>
      <c r="E20" s="6">
        <f t="shared" si="6"/>
        <v>0</v>
      </c>
      <c r="F20" s="6">
        <f t="shared" si="6"/>
        <v>0</v>
      </c>
      <c r="M20" s="1">
        <v>2</v>
      </c>
      <c r="N20" s="1">
        <v>5</v>
      </c>
      <c r="O20" s="1" t="str">
        <f t="shared" si="0"/>
        <v>2-5</v>
      </c>
      <c r="P20" s="19">
        <v>7.91</v>
      </c>
      <c r="V20" s="20"/>
      <c r="W20" s="20"/>
    </row>
    <row r="21" spans="1:30" x14ac:dyDescent="0.25">
      <c r="A21" s="1">
        <v>3</v>
      </c>
      <c r="B21" s="7">
        <f t="shared" ref="B21:F21" si="7">B13*B5</f>
        <v>0</v>
      </c>
      <c r="C21" s="4">
        <f t="shared" si="7"/>
        <v>0</v>
      </c>
      <c r="D21" s="5">
        <f t="shared" si="7"/>
        <v>0</v>
      </c>
      <c r="E21" s="6">
        <f t="shared" si="7"/>
        <v>0</v>
      </c>
      <c r="F21" s="6">
        <f t="shared" si="7"/>
        <v>0</v>
      </c>
      <c r="M21" s="1">
        <v>3</v>
      </c>
      <c r="N21" s="1">
        <v>1</v>
      </c>
      <c r="O21" s="1" t="str">
        <f t="shared" si="0"/>
        <v>3-1</v>
      </c>
      <c r="P21" s="19">
        <v>0.47</v>
      </c>
    </row>
    <row r="22" spans="1:30" x14ac:dyDescent="0.25">
      <c r="A22" s="1">
        <v>2</v>
      </c>
      <c r="B22" s="7">
        <f t="shared" ref="B22:F22" si="8">B14*B6</f>
        <v>0</v>
      </c>
      <c r="C22" s="7">
        <f t="shared" si="8"/>
        <v>0</v>
      </c>
      <c r="D22" s="4">
        <f t="shared" si="8"/>
        <v>0</v>
      </c>
      <c r="E22" s="5">
        <f t="shared" si="8"/>
        <v>0</v>
      </c>
      <c r="F22" s="6">
        <f t="shared" si="8"/>
        <v>0</v>
      </c>
      <c r="M22" s="1">
        <v>3</v>
      </c>
      <c r="N22" s="1">
        <v>2</v>
      </c>
      <c r="O22" s="1" t="str">
        <f t="shared" si="0"/>
        <v>3-2</v>
      </c>
      <c r="P22" s="19">
        <v>1.42</v>
      </c>
    </row>
    <row r="23" spans="1:30" x14ac:dyDescent="0.25">
      <c r="A23" s="1">
        <v>1</v>
      </c>
      <c r="B23" s="7">
        <f t="shared" ref="B23:F23" si="9">B15*B7</f>
        <v>0</v>
      </c>
      <c r="C23" s="7">
        <f t="shared" si="9"/>
        <v>0</v>
      </c>
      <c r="D23" s="4">
        <f t="shared" si="9"/>
        <v>0</v>
      </c>
      <c r="E23" s="5">
        <f t="shared" si="9"/>
        <v>0</v>
      </c>
      <c r="F23" s="6">
        <f t="shared" si="9"/>
        <v>7.12</v>
      </c>
      <c r="M23" s="1">
        <v>3</v>
      </c>
      <c r="N23" s="1">
        <v>3</v>
      </c>
      <c r="O23" s="1" t="str">
        <f t="shared" si="0"/>
        <v>3-3</v>
      </c>
      <c r="P23" s="19">
        <v>3.01</v>
      </c>
    </row>
    <row r="24" spans="1:30" x14ac:dyDescent="0.25">
      <c r="B24" s="1">
        <v>1</v>
      </c>
      <c r="C24" s="1">
        <v>2</v>
      </c>
      <c r="D24" s="1">
        <v>3</v>
      </c>
      <c r="E24" s="1">
        <v>4</v>
      </c>
      <c r="F24" s="1">
        <v>5</v>
      </c>
      <c r="M24" s="1">
        <v>3</v>
      </c>
      <c r="N24" s="1">
        <v>4</v>
      </c>
      <c r="O24" s="1" t="str">
        <f t="shared" si="0"/>
        <v>3-4</v>
      </c>
      <c r="P24" s="19">
        <v>5.38</v>
      </c>
    </row>
    <row r="25" spans="1:30" x14ac:dyDescent="0.25">
      <c r="M25" s="1">
        <v>3</v>
      </c>
      <c r="N25" s="1">
        <v>5</v>
      </c>
      <c r="O25" s="1" t="str">
        <f t="shared" si="0"/>
        <v>3-5</v>
      </c>
      <c r="P25" s="19">
        <v>8.6999999999999993</v>
      </c>
    </row>
    <row r="26" spans="1:30" x14ac:dyDescent="0.25">
      <c r="M26" s="1">
        <v>4</v>
      </c>
      <c r="N26" s="1">
        <v>1</v>
      </c>
      <c r="O26" s="1" t="str">
        <f t="shared" si="0"/>
        <v>4-1</v>
      </c>
      <c r="P26" s="19">
        <v>0.63</v>
      </c>
    </row>
    <row r="27" spans="1:30" x14ac:dyDescent="0.25">
      <c r="M27" s="1">
        <v>4</v>
      </c>
      <c r="N27" s="1">
        <v>2</v>
      </c>
      <c r="O27" s="1" t="str">
        <f t="shared" si="0"/>
        <v>4-2</v>
      </c>
      <c r="P27" s="19">
        <v>1.58</v>
      </c>
    </row>
    <row r="28" spans="1:30" x14ac:dyDescent="0.25">
      <c r="M28" s="1">
        <v>4</v>
      </c>
      <c r="N28" s="1">
        <v>3</v>
      </c>
      <c r="O28" s="1" t="str">
        <f t="shared" si="0"/>
        <v>4-3</v>
      </c>
      <c r="P28" s="19">
        <v>3.32</v>
      </c>
    </row>
    <row r="29" spans="1:30" x14ac:dyDescent="0.25">
      <c r="M29" s="1">
        <v>4</v>
      </c>
      <c r="N29" s="1">
        <v>4</v>
      </c>
      <c r="O29" s="1" t="str">
        <f t="shared" si="0"/>
        <v>4-4</v>
      </c>
      <c r="P29" s="19">
        <v>5.85</v>
      </c>
    </row>
    <row r="30" spans="1:30" x14ac:dyDescent="0.25">
      <c r="M30" s="1">
        <v>4</v>
      </c>
      <c r="N30" s="1">
        <v>5</v>
      </c>
      <c r="O30" s="1" t="str">
        <f t="shared" si="0"/>
        <v>4-5</v>
      </c>
      <c r="P30" s="19">
        <v>9.49</v>
      </c>
    </row>
    <row r="31" spans="1:30" x14ac:dyDescent="0.25">
      <c r="M31" s="1">
        <v>5</v>
      </c>
      <c r="N31" s="1">
        <v>1</v>
      </c>
      <c r="O31" s="1" t="str">
        <f t="shared" si="0"/>
        <v>5-1</v>
      </c>
      <c r="P31" s="19">
        <v>0.79</v>
      </c>
    </row>
    <row r="32" spans="1:30" x14ac:dyDescent="0.25">
      <c r="M32" s="1">
        <v>5</v>
      </c>
      <c r="N32" s="1">
        <v>2</v>
      </c>
      <c r="O32" s="1" t="str">
        <f t="shared" si="0"/>
        <v>5-2</v>
      </c>
      <c r="P32" s="19">
        <v>1.74</v>
      </c>
    </row>
    <row r="33" spans="13:16" x14ac:dyDescent="0.25">
      <c r="M33" s="1">
        <v>5</v>
      </c>
      <c r="N33" s="1">
        <v>3</v>
      </c>
      <c r="O33" s="1" t="str">
        <f t="shared" si="0"/>
        <v>5-3</v>
      </c>
      <c r="P33" s="19">
        <v>5.22</v>
      </c>
    </row>
    <row r="34" spans="13:16" x14ac:dyDescent="0.25">
      <c r="M34" s="1">
        <v>5</v>
      </c>
      <c r="N34" s="1">
        <v>4</v>
      </c>
      <c r="O34" s="1" t="str">
        <f t="shared" si="0"/>
        <v>5-4</v>
      </c>
      <c r="P34" s="19">
        <v>6.33</v>
      </c>
    </row>
    <row r="35" spans="13:16" x14ac:dyDescent="0.25">
      <c r="M35" s="1">
        <v>5</v>
      </c>
      <c r="N35" s="1">
        <v>5</v>
      </c>
      <c r="O35" s="1" t="str">
        <f t="shared" si="0"/>
        <v>5-5</v>
      </c>
      <c r="P35" s="19">
        <v>13.45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22</vt:i4>
      </vt:variant>
    </vt:vector>
  </HeadingPairs>
  <TitlesOfParts>
    <vt:vector size="26" baseType="lpstr">
      <vt:lpstr>Mapas de Riesgo</vt:lpstr>
      <vt:lpstr>Resumen</vt:lpstr>
      <vt:lpstr>Matriz</vt:lpstr>
      <vt:lpstr>Tablas</vt:lpstr>
      <vt:lpstr>amb_control</vt:lpstr>
      <vt:lpstr>cobert_control</vt:lpstr>
      <vt:lpstr>cuadrante_sev</vt:lpstr>
      <vt:lpstr>cub_control</vt:lpstr>
      <vt:lpstr>doc_control</vt:lpstr>
      <vt:lpstr>ejec_control</vt:lpstr>
      <vt:lpstr>escala_imp</vt:lpstr>
      <vt:lpstr>escala_prob</vt:lpstr>
      <vt:lpstr>ev_control</vt:lpstr>
      <vt:lpstr>frec_control</vt:lpstr>
      <vt:lpstr>mad_control</vt:lpstr>
      <vt:lpstr>método</vt:lpstr>
      <vt:lpstr>nat_control</vt:lpstr>
      <vt:lpstr>peso_dis</vt:lpstr>
      <vt:lpstr>peso_ejec</vt:lpstr>
      <vt:lpstr>pesocuadrante</vt:lpstr>
      <vt:lpstr>tabla_z</vt:lpstr>
      <vt:lpstr>tabla01</vt:lpstr>
      <vt:lpstr>tabla02</vt:lpstr>
      <vt:lpstr>tabla03</vt:lpstr>
      <vt:lpstr>tabla04</vt:lpstr>
      <vt:lpstr>tipo_control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Gustavo Adolfo Guerra Galvez</dc:creator>
  <cp:lastModifiedBy>Alexandra Morales</cp:lastModifiedBy>
  <dcterms:created xsi:type="dcterms:W3CDTF">2017-11-20T15:42:46Z</dcterms:created>
  <dcterms:modified xsi:type="dcterms:W3CDTF">2022-10-31T21:48:28Z</dcterms:modified>
</cp:coreProperties>
</file>